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CB Workshop 2026\"/>
    </mc:Choice>
  </mc:AlternateContent>
  <xr:revisionPtr revIDLastSave="0" documentId="13_ncr:1_{D4D4E135-4843-47EE-AE89-391D99AFED93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Bootstrap" sheetId="1" r:id="rId1"/>
    <sheet name="freq chart" sheetId="2" r:id="rId2"/>
  </sheets>
  <definedNames>
    <definedName name="cum_wt">Bootstrap!$L$8:$L$218</definedName>
    <definedName name="histrets">Bootstrap!$C$9:$H$218</definedName>
    <definedName name="lambda">Bootstrap!$K$2</definedName>
    <definedName name="numobs">Bootstrap!$K$4</definedName>
    <definedName name="obs_nums">Bootstrap!$J$9:$J$218</definedName>
    <definedName name="sumweights">Bootstrap!$K$5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3" i="1" l="1"/>
  <c r="L8" i="1"/>
  <c r="L9" i="1" s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C5" i="2"/>
  <c r="B5" i="2"/>
  <c r="L10" i="1" l="1"/>
  <c r="L11" i="1" s="1"/>
  <c r="L12" i="1" s="1"/>
  <c r="L13" i="1" s="1"/>
  <c r="L14" i="1" s="1"/>
  <c r="L15" i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L93" i="1" s="1"/>
  <c r="L94" i="1" s="1"/>
  <c r="L95" i="1" s="1"/>
  <c r="L96" i="1" s="1"/>
  <c r="L97" i="1" s="1"/>
  <c r="L98" i="1" s="1"/>
  <c r="L99" i="1" s="1"/>
  <c r="L100" i="1" s="1"/>
  <c r="L101" i="1" s="1"/>
  <c r="L102" i="1" s="1"/>
  <c r="L103" i="1" s="1"/>
  <c r="L104" i="1" s="1"/>
  <c r="L105" i="1" s="1"/>
  <c r="L106" i="1" s="1"/>
  <c r="L107" i="1" s="1"/>
  <c r="L108" i="1" s="1"/>
  <c r="L109" i="1" s="1"/>
  <c r="L110" i="1" s="1"/>
  <c r="L111" i="1" s="1"/>
  <c r="L112" i="1" s="1"/>
  <c r="L113" i="1" s="1"/>
  <c r="L114" i="1" s="1"/>
  <c r="L115" i="1" s="1"/>
  <c r="L116" i="1" s="1"/>
  <c r="L117" i="1" s="1"/>
  <c r="L118" i="1" s="1"/>
  <c r="L119" i="1" s="1"/>
  <c r="L120" i="1" s="1"/>
  <c r="L121" i="1" s="1"/>
  <c r="L122" i="1" s="1"/>
  <c r="L123" i="1" s="1"/>
  <c r="L124" i="1" s="1"/>
  <c r="L125" i="1" s="1"/>
  <c r="L126" i="1" s="1"/>
  <c r="L127" i="1" s="1"/>
  <c r="L128" i="1" s="1"/>
  <c r="L129" i="1" s="1"/>
  <c r="L130" i="1" s="1"/>
  <c r="L131" i="1" s="1"/>
  <c r="L132" i="1" s="1"/>
  <c r="L133" i="1" s="1"/>
  <c r="L134" i="1" s="1"/>
  <c r="L135" i="1" s="1"/>
  <c r="L136" i="1" s="1"/>
  <c r="L137" i="1" s="1"/>
  <c r="L138" i="1" s="1"/>
  <c r="L139" i="1" s="1"/>
  <c r="L140" i="1" s="1"/>
  <c r="L141" i="1" s="1"/>
  <c r="L142" i="1" s="1"/>
  <c r="L143" i="1" s="1"/>
  <c r="L144" i="1" s="1"/>
  <c r="L145" i="1" s="1"/>
  <c r="L146" i="1" s="1"/>
  <c r="L147" i="1" s="1"/>
  <c r="L148" i="1" s="1"/>
  <c r="L149" i="1" s="1"/>
  <c r="L150" i="1" s="1"/>
  <c r="L151" i="1" s="1"/>
  <c r="L152" i="1" s="1"/>
  <c r="L153" i="1" s="1"/>
  <c r="L154" i="1" s="1"/>
  <c r="L155" i="1" s="1"/>
  <c r="L156" i="1" s="1"/>
  <c r="L157" i="1" s="1"/>
  <c r="L158" i="1" s="1"/>
  <c r="L159" i="1" s="1"/>
  <c r="L160" i="1" s="1"/>
  <c r="L161" i="1" s="1"/>
  <c r="L162" i="1" s="1"/>
  <c r="L163" i="1" s="1"/>
  <c r="L164" i="1" s="1"/>
  <c r="L165" i="1" s="1"/>
  <c r="L166" i="1" s="1"/>
  <c r="L167" i="1" s="1"/>
  <c r="L168" i="1" s="1"/>
  <c r="L169" i="1" s="1"/>
  <c r="L170" i="1" s="1"/>
  <c r="L171" i="1" s="1"/>
  <c r="L172" i="1" s="1"/>
  <c r="L173" i="1" s="1"/>
  <c r="L174" i="1" s="1"/>
  <c r="L175" i="1" s="1"/>
  <c r="L176" i="1" s="1"/>
  <c r="L177" i="1" s="1"/>
  <c r="L178" i="1" s="1"/>
  <c r="L179" i="1" s="1"/>
  <c r="L180" i="1" s="1"/>
  <c r="L181" i="1" s="1"/>
  <c r="L182" i="1" s="1"/>
  <c r="L183" i="1" s="1"/>
  <c r="L184" i="1" s="1"/>
  <c r="L185" i="1" s="1"/>
  <c r="L186" i="1" s="1"/>
  <c r="L187" i="1" s="1"/>
  <c r="L188" i="1" s="1"/>
  <c r="L189" i="1" s="1"/>
  <c r="L190" i="1" s="1"/>
  <c r="L191" i="1" s="1"/>
  <c r="L192" i="1" s="1"/>
  <c r="L193" i="1" s="1"/>
  <c r="L194" i="1" s="1"/>
  <c r="L195" i="1" s="1"/>
  <c r="L196" i="1" s="1"/>
  <c r="L197" i="1" s="1"/>
  <c r="L198" i="1" s="1"/>
  <c r="L199" i="1" s="1"/>
  <c r="L200" i="1" s="1"/>
  <c r="L201" i="1" s="1"/>
  <c r="L202" i="1" s="1"/>
  <c r="L203" i="1" s="1"/>
  <c r="L204" i="1" s="1"/>
  <c r="L205" i="1" s="1"/>
  <c r="L206" i="1" s="1"/>
  <c r="L207" i="1" s="1"/>
  <c r="L208" i="1" s="1"/>
  <c r="L209" i="1" s="1"/>
  <c r="L210" i="1" s="1"/>
  <c r="L211" i="1" s="1"/>
  <c r="L212" i="1" s="1"/>
  <c r="L213" i="1" s="1"/>
  <c r="L214" i="1" s="1"/>
  <c r="L215" i="1" s="1"/>
  <c r="L216" i="1" s="1"/>
  <c r="L217" i="1" s="1"/>
  <c r="L218" i="1" s="1"/>
  <c r="K5" i="1" s="1"/>
  <c r="B6" i="2"/>
  <c r="C6" i="2"/>
  <c r="P27" i="1" l="1"/>
  <c r="AC27" i="1" s="1"/>
  <c r="O9" i="1"/>
  <c r="AB9" i="1" s="1"/>
  <c r="Z9" i="1"/>
  <c r="AM9" i="1" s="1"/>
  <c r="P10" i="1"/>
  <c r="AC10" i="1" s="1"/>
  <c r="V11" i="1"/>
  <c r="AI11" i="1" s="1"/>
  <c r="R13" i="1"/>
  <c r="AE13" i="1" s="1"/>
  <c r="X14" i="1"/>
  <c r="AK14" i="1" s="1"/>
  <c r="T16" i="1"/>
  <c r="AG16" i="1" s="1"/>
  <c r="Z17" i="1"/>
  <c r="AM17" i="1" s="1"/>
  <c r="P18" i="1"/>
  <c r="AC18" i="1" s="1"/>
  <c r="V19" i="1"/>
  <c r="AI19" i="1" s="1"/>
  <c r="R21" i="1"/>
  <c r="AE21" i="1" s="1"/>
  <c r="X22" i="1"/>
  <c r="AK22" i="1" s="1"/>
  <c r="T24" i="1"/>
  <c r="AG24" i="1" s="1"/>
  <c r="Z25" i="1"/>
  <c r="AM25" i="1" s="1"/>
  <c r="P26" i="1"/>
  <c r="AC26" i="1" s="1"/>
  <c r="V27" i="1"/>
  <c r="AI27" i="1" s="1"/>
  <c r="R29" i="1"/>
  <c r="AE29" i="1" s="1"/>
  <c r="X30" i="1"/>
  <c r="AK30" i="1" s="1"/>
  <c r="T32" i="1"/>
  <c r="AG32" i="1" s="1"/>
  <c r="Z33" i="1"/>
  <c r="AM33" i="1" s="1"/>
  <c r="P34" i="1"/>
  <c r="AC34" i="1" s="1"/>
  <c r="V35" i="1"/>
  <c r="AI35" i="1" s="1"/>
  <c r="R37" i="1"/>
  <c r="AE37" i="1" s="1"/>
  <c r="X38" i="1"/>
  <c r="AK38" i="1" s="1"/>
  <c r="T40" i="1"/>
  <c r="AG40" i="1" s="1"/>
  <c r="Z41" i="1"/>
  <c r="AM41" i="1" s="1"/>
  <c r="P42" i="1"/>
  <c r="AC42" i="1" s="1"/>
  <c r="V43" i="1"/>
  <c r="AI43" i="1" s="1"/>
  <c r="R45" i="1"/>
  <c r="AE45" i="1" s="1"/>
  <c r="X46" i="1"/>
  <c r="AK46" i="1" s="1"/>
  <c r="T48" i="1"/>
  <c r="AG48" i="1" s="1"/>
  <c r="Z49" i="1"/>
  <c r="AM49" i="1" s="1"/>
  <c r="P50" i="1"/>
  <c r="AC50" i="1" s="1"/>
  <c r="Q10" i="1"/>
  <c r="AD10" i="1" s="1"/>
  <c r="W11" i="1"/>
  <c r="AJ11" i="1" s="1"/>
  <c r="S13" i="1"/>
  <c r="AF13" i="1" s="1"/>
  <c r="Y14" i="1"/>
  <c r="AL14" i="1" s="1"/>
  <c r="O15" i="1"/>
  <c r="AB15" i="1" s="1"/>
  <c r="U16" i="1"/>
  <c r="AH16" i="1" s="1"/>
  <c r="Q18" i="1"/>
  <c r="AD18" i="1" s="1"/>
  <c r="W19" i="1"/>
  <c r="AJ19" i="1" s="1"/>
  <c r="S21" i="1"/>
  <c r="AF21" i="1" s="1"/>
  <c r="Y22" i="1"/>
  <c r="AL22" i="1" s="1"/>
  <c r="O23" i="1"/>
  <c r="AB23" i="1" s="1"/>
  <c r="U24" i="1"/>
  <c r="AH24" i="1" s="1"/>
  <c r="Q26" i="1"/>
  <c r="AD26" i="1" s="1"/>
  <c r="W27" i="1"/>
  <c r="AJ27" i="1" s="1"/>
  <c r="S29" i="1"/>
  <c r="AF29" i="1" s="1"/>
  <c r="Y30" i="1"/>
  <c r="AL30" i="1" s="1"/>
  <c r="O31" i="1"/>
  <c r="AB31" i="1" s="1"/>
  <c r="U32" i="1"/>
  <c r="AH32" i="1" s="1"/>
  <c r="Q34" i="1"/>
  <c r="AD34" i="1" s="1"/>
  <c r="R10" i="1"/>
  <c r="AE10" i="1" s="1"/>
  <c r="X11" i="1"/>
  <c r="AK11" i="1" s="1"/>
  <c r="T13" i="1"/>
  <c r="AG13" i="1" s="1"/>
  <c r="Z14" i="1"/>
  <c r="AM14" i="1" s="1"/>
  <c r="P15" i="1"/>
  <c r="AC15" i="1" s="1"/>
  <c r="V16" i="1"/>
  <c r="AI16" i="1" s="1"/>
  <c r="R18" i="1"/>
  <c r="AE18" i="1" s="1"/>
  <c r="X19" i="1"/>
  <c r="AK19" i="1" s="1"/>
  <c r="T21" i="1"/>
  <c r="AG21" i="1" s="1"/>
  <c r="Z22" i="1"/>
  <c r="AM22" i="1" s="1"/>
  <c r="P23" i="1"/>
  <c r="AC23" i="1" s="1"/>
  <c r="V24" i="1"/>
  <c r="AI24" i="1" s="1"/>
  <c r="R26" i="1"/>
  <c r="AE26" i="1" s="1"/>
  <c r="X27" i="1"/>
  <c r="AK27" i="1" s="1"/>
  <c r="T29" i="1"/>
  <c r="AG29" i="1" s="1"/>
  <c r="Z30" i="1"/>
  <c r="AM30" i="1" s="1"/>
  <c r="P31" i="1"/>
  <c r="AC31" i="1" s="1"/>
  <c r="V32" i="1"/>
  <c r="AI32" i="1" s="1"/>
  <c r="R34" i="1"/>
  <c r="AE34" i="1" s="1"/>
  <c r="X35" i="1"/>
  <c r="AK35" i="1" s="1"/>
  <c r="T37" i="1"/>
  <c r="AG37" i="1" s="1"/>
  <c r="Z38" i="1"/>
  <c r="AM38" i="1" s="1"/>
  <c r="P39" i="1"/>
  <c r="AC39" i="1" s="1"/>
  <c r="V40" i="1"/>
  <c r="AI40" i="1" s="1"/>
  <c r="R42" i="1"/>
  <c r="AE42" i="1" s="1"/>
  <c r="X43" i="1"/>
  <c r="AK43" i="1" s="1"/>
  <c r="T45" i="1"/>
  <c r="AG45" i="1" s="1"/>
  <c r="Z46" i="1"/>
  <c r="AM46" i="1" s="1"/>
  <c r="P47" i="1"/>
  <c r="AC47" i="1" s="1"/>
  <c r="V48" i="1"/>
  <c r="AI48" i="1" s="1"/>
  <c r="R50" i="1"/>
  <c r="AE50" i="1" s="1"/>
  <c r="X51" i="1"/>
  <c r="AK51" i="1" s="1"/>
  <c r="S10" i="1"/>
  <c r="AF10" i="1" s="1"/>
  <c r="Y11" i="1"/>
  <c r="AL11" i="1" s="1"/>
  <c r="O12" i="1"/>
  <c r="AB12" i="1" s="1"/>
  <c r="U13" i="1"/>
  <c r="AH13" i="1" s="1"/>
  <c r="Q15" i="1"/>
  <c r="AD15" i="1" s="1"/>
  <c r="W16" i="1"/>
  <c r="AJ16" i="1" s="1"/>
  <c r="S18" i="1"/>
  <c r="AF18" i="1" s="1"/>
  <c r="Y19" i="1"/>
  <c r="AL19" i="1" s="1"/>
  <c r="O20" i="1"/>
  <c r="AB20" i="1" s="1"/>
  <c r="U21" i="1"/>
  <c r="AH21" i="1" s="1"/>
  <c r="Q23" i="1"/>
  <c r="AD23" i="1" s="1"/>
  <c r="W24" i="1"/>
  <c r="AJ24" i="1" s="1"/>
  <c r="S26" i="1"/>
  <c r="AF26" i="1" s="1"/>
  <c r="Y27" i="1"/>
  <c r="AL27" i="1" s="1"/>
  <c r="O28" i="1"/>
  <c r="AB28" i="1" s="1"/>
  <c r="U29" i="1"/>
  <c r="AH29" i="1" s="1"/>
  <c r="Q31" i="1"/>
  <c r="AD31" i="1" s="1"/>
  <c r="W32" i="1"/>
  <c r="AJ32" i="1" s="1"/>
  <c r="S34" i="1"/>
  <c r="AF34" i="1" s="1"/>
  <c r="Y35" i="1"/>
  <c r="AL35" i="1" s="1"/>
  <c r="O36" i="1"/>
  <c r="AB36" i="1" s="1"/>
  <c r="U37" i="1"/>
  <c r="AH37" i="1" s="1"/>
  <c r="Q39" i="1"/>
  <c r="AD39" i="1" s="1"/>
  <c r="W40" i="1"/>
  <c r="AJ40" i="1" s="1"/>
  <c r="S42" i="1"/>
  <c r="AF42" i="1" s="1"/>
  <c r="Y43" i="1"/>
  <c r="AL43" i="1" s="1"/>
  <c r="O44" i="1"/>
  <c r="AB44" i="1" s="1"/>
  <c r="U45" i="1"/>
  <c r="AH45" i="1" s="1"/>
  <c r="Q47" i="1"/>
  <c r="AD47" i="1" s="1"/>
  <c r="W48" i="1"/>
  <c r="AJ48" i="1" s="1"/>
  <c r="T10" i="1"/>
  <c r="AG10" i="1" s="1"/>
  <c r="Z11" i="1"/>
  <c r="AM11" i="1" s="1"/>
  <c r="P12" i="1"/>
  <c r="AC12" i="1" s="1"/>
  <c r="V13" i="1"/>
  <c r="AI13" i="1" s="1"/>
  <c r="R15" i="1"/>
  <c r="AE15" i="1" s="1"/>
  <c r="X16" i="1"/>
  <c r="AK16" i="1" s="1"/>
  <c r="T18" i="1"/>
  <c r="AG18" i="1" s="1"/>
  <c r="Z19" i="1"/>
  <c r="AM19" i="1" s="1"/>
  <c r="P20" i="1"/>
  <c r="AC20" i="1" s="1"/>
  <c r="V21" i="1"/>
  <c r="AI21" i="1" s="1"/>
  <c r="R23" i="1"/>
  <c r="AE23" i="1" s="1"/>
  <c r="X24" i="1"/>
  <c r="AK24" i="1" s="1"/>
  <c r="T26" i="1"/>
  <c r="AG26" i="1" s="1"/>
  <c r="Z27" i="1"/>
  <c r="AM27" i="1" s="1"/>
  <c r="P28" i="1"/>
  <c r="AC28" i="1" s="1"/>
  <c r="V29" i="1"/>
  <c r="AI29" i="1" s="1"/>
  <c r="R31" i="1"/>
  <c r="AE31" i="1" s="1"/>
  <c r="X32" i="1"/>
  <c r="AK32" i="1" s="1"/>
  <c r="T34" i="1"/>
  <c r="AG34" i="1" s="1"/>
  <c r="Z35" i="1"/>
  <c r="AM35" i="1" s="1"/>
  <c r="P36" i="1"/>
  <c r="AC36" i="1" s="1"/>
  <c r="V37" i="1"/>
  <c r="AI37" i="1" s="1"/>
  <c r="R39" i="1"/>
  <c r="AE39" i="1" s="1"/>
  <c r="X40" i="1"/>
  <c r="AK40" i="1" s="1"/>
  <c r="T42" i="1"/>
  <c r="AG42" i="1" s="1"/>
  <c r="Z43" i="1"/>
  <c r="AM43" i="1" s="1"/>
  <c r="P44" i="1"/>
  <c r="AC44" i="1" s="1"/>
  <c r="V45" i="1"/>
  <c r="AI45" i="1" s="1"/>
  <c r="R47" i="1"/>
  <c r="AE47" i="1" s="1"/>
  <c r="X48" i="1"/>
  <c r="AK48" i="1" s="1"/>
  <c r="U10" i="1"/>
  <c r="AH10" i="1" s="1"/>
  <c r="Q12" i="1"/>
  <c r="AD12" i="1" s="1"/>
  <c r="W13" i="1"/>
  <c r="AJ13" i="1" s="1"/>
  <c r="S15" i="1"/>
  <c r="AF15" i="1" s="1"/>
  <c r="Y16" i="1"/>
  <c r="AL16" i="1" s="1"/>
  <c r="O17" i="1"/>
  <c r="AB17" i="1" s="1"/>
  <c r="U18" i="1"/>
  <c r="AH18" i="1" s="1"/>
  <c r="Q20" i="1"/>
  <c r="AD20" i="1" s="1"/>
  <c r="W21" i="1"/>
  <c r="AJ21" i="1" s="1"/>
  <c r="S23" i="1"/>
  <c r="AF23" i="1" s="1"/>
  <c r="Y24" i="1"/>
  <c r="AL24" i="1" s="1"/>
  <c r="O25" i="1"/>
  <c r="AB25" i="1" s="1"/>
  <c r="U26" i="1"/>
  <c r="AH26" i="1" s="1"/>
  <c r="Q28" i="1"/>
  <c r="AD28" i="1" s="1"/>
  <c r="W29" i="1"/>
  <c r="AJ29" i="1" s="1"/>
  <c r="S31" i="1"/>
  <c r="AF31" i="1" s="1"/>
  <c r="Y32" i="1"/>
  <c r="AL32" i="1" s="1"/>
  <c r="O33" i="1"/>
  <c r="AB33" i="1" s="1"/>
  <c r="U34" i="1"/>
  <c r="AH34" i="1" s="1"/>
  <c r="Q36" i="1"/>
  <c r="AD36" i="1" s="1"/>
  <c r="W37" i="1"/>
  <c r="AJ37" i="1" s="1"/>
  <c r="S39" i="1"/>
  <c r="AF39" i="1" s="1"/>
  <c r="Y40" i="1"/>
  <c r="AL40" i="1" s="1"/>
  <c r="O41" i="1"/>
  <c r="AB41" i="1" s="1"/>
  <c r="U42" i="1"/>
  <c r="AH42" i="1" s="1"/>
  <c r="Q44" i="1"/>
  <c r="AD44" i="1" s="1"/>
  <c r="W45" i="1"/>
  <c r="AJ45" i="1" s="1"/>
  <c r="S47" i="1"/>
  <c r="AF47" i="1" s="1"/>
  <c r="Y48" i="1"/>
  <c r="AL48" i="1" s="1"/>
  <c r="O49" i="1"/>
  <c r="AB49" i="1" s="1"/>
  <c r="U50" i="1"/>
  <c r="AH50" i="1" s="1"/>
  <c r="Q52" i="1"/>
  <c r="AD52" i="1" s="1"/>
  <c r="P9" i="1"/>
  <c r="AC9" i="1" s="1"/>
  <c r="V10" i="1"/>
  <c r="AI10" i="1" s="1"/>
  <c r="R12" i="1"/>
  <c r="AE12" i="1" s="1"/>
  <c r="X13" i="1"/>
  <c r="AK13" i="1" s="1"/>
  <c r="T15" i="1"/>
  <c r="AG15" i="1" s="1"/>
  <c r="Z16" i="1"/>
  <c r="AM16" i="1" s="1"/>
  <c r="P17" i="1"/>
  <c r="AC17" i="1" s="1"/>
  <c r="V18" i="1"/>
  <c r="AI18" i="1" s="1"/>
  <c r="R20" i="1"/>
  <c r="AE20" i="1" s="1"/>
  <c r="X21" i="1"/>
  <c r="AK21" i="1" s="1"/>
  <c r="T23" i="1"/>
  <c r="AG23" i="1" s="1"/>
  <c r="Z24" i="1"/>
  <c r="AM24" i="1" s="1"/>
  <c r="P25" i="1"/>
  <c r="AC25" i="1" s="1"/>
  <c r="V26" i="1"/>
  <c r="AI26" i="1" s="1"/>
  <c r="R28" i="1"/>
  <c r="AE28" i="1" s="1"/>
  <c r="X29" i="1"/>
  <c r="AK29" i="1" s="1"/>
  <c r="T31" i="1"/>
  <c r="AG31" i="1" s="1"/>
  <c r="Z32" i="1"/>
  <c r="AM32" i="1" s="1"/>
  <c r="P33" i="1"/>
  <c r="AC33" i="1" s="1"/>
  <c r="V34" i="1"/>
  <c r="AI34" i="1" s="1"/>
  <c r="R36" i="1"/>
  <c r="AE36" i="1" s="1"/>
  <c r="X37" i="1"/>
  <c r="AK37" i="1" s="1"/>
  <c r="T39" i="1"/>
  <c r="AG39" i="1" s="1"/>
  <c r="Z40" i="1"/>
  <c r="AM40" i="1" s="1"/>
  <c r="P41" i="1"/>
  <c r="AC41" i="1" s="1"/>
  <c r="V42" i="1"/>
  <c r="AI42" i="1" s="1"/>
  <c r="R44" i="1"/>
  <c r="AE44" i="1" s="1"/>
  <c r="X45" i="1"/>
  <c r="AK45" i="1" s="1"/>
  <c r="T47" i="1"/>
  <c r="AG47" i="1" s="1"/>
  <c r="Q9" i="1"/>
  <c r="AD9" i="1" s="1"/>
  <c r="W10" i="1"/>
  <c r="AJ10" i="1" s="1"/>
  <c r="S12" i="1"/>
  <c r="AF12" i="1" s="1"/>
  <c r="Y13" i="1"/>
  <c r="AL13" i="1" s="1"/>
  <c r="O14" i="1"/>
  <c r="AB14" i="1" s="1"/>
  <c r="U15" i="1"/>
  <c r="AH15" i="1" s="1"/>
  <c r="Q17" i="1"/>
  <c r="AD17" i="1" s="1"/>
  <c r="W18" i="1"/>
  <c r="AJ18" i="1" s="1"/>
  <c r="S20" i="1"/>
  <c r="AF20" i="1" s="1"/>
  <c r="Y21" i="1"/>
  <c r="AL21" i="1" s="1"/>
  <c r="O22" i="1"/>
  <c r="AB22" i="1" s="1"/>
  <c r="U23" i="1"/>
  <c r="AH23" i="1" s="1"/>
  <c r="Q25" i="1"/>
  <c r="AD25" i="1" s="1"/>
  <c r="W26" i="1"/>
  <c r="AJ26" i="1" s="1"/>
  <c r="S28" i="1"/>
  <c r="AF28" i="1" s="1"/>
  <c r="Y29" i="1"/>
  <c r="AL29" i="1" s="1"/>
  <c r="O30" i="1"/>
  <c r="AB30" i="1" s="1"/>
  <c r="U31" i="1"/>
  <c r="AH31" i="1" s="1"/>
  <c r="Q33" i="1"/>
  <c r="AD33" i="1" s="1"/>
  <c r="W34" i="1"/>
  <c r="AJ34" i="1" s="1"/>
  <c r="S36" i="1"/>
  <c r="AF36" i="1" s="1"/>
  <c r="Y37" i="1"/>
  <c r="AL37" i="1" s="1"/>
  <c r="O38" i="1"/>
  <c r="AB38" i="1" s="1"/>
  <c r="U39" i="1"/>
  <c r="AH39" i="1" s="1"/>
  <c r="Q41" i="1"/>
  <c r="AD41" i="1" s="1"/>
  <c r="W42" i="1"/>
  <c r="AJ42" i="1" s="1"/>
  <c r="S44" i="1"/>
  <c r="AF44" i="1" s="1"/>
  <c r="Y45" i="1"/>
  <c r="AL45" i="1" s="1"/>
  <c r="O46" i="1"/>
  <c r="AB46" i="1" s="1"/>
  <c r="U47" i="1"/>
  <c r="AH47" i="1" s="1"/>
  <c r="Q49" i="1"/>
  <c r="AD49" i="1" s="1"/>
  <c r="W50" i="1"/>
  <c r="AJ50" i="1" s="1"/>
  <c r="S52" i="1"/>
  <c r="AF52" i="1" s="1"/>
  <c r="Y53" i="1"/>
  <c r="AL53" i="1" s="1"/>
  <c r="O54" i="1"/>
  <c r="AB54" i="1" s="1"/>
  <c r="U55" i="1"/>
  <c r="AH55" i="1" s="1"/>
  <c r="Q57" i="1"/>
  <c r="AD57" i="1" s="1"/>
  <c r="W58" i="1"/>
  <c r="AJ58" i="1" s="1"/>
  <c r="S60" i="1"/>
  <c r="AF60" i="1" s="1"/>
  <c r="R9" i="1"/>
  <c r="AE9" i="1" s="1"/>
  <c r="X10" i="1"/>
  <c r="AK10" i="1" s="1"/>
  <c r="T12" i="1"/>
  <c r="AG12" i="1" s="1"/>
  <c r="Z13" i="1"/>
  <c r="AM13" i="1" s="1"/>
  <c r="P14" i="1"/>
  <c r="AC14" i="1" s="1"/>
  <c r="V15" i="1"/>
  <c r="AI15" i="1" s="1"/>
  <c r="R17" i="1"/>
  <c r="AE17" i="1" s="1"/>
  <c r="X18" i="1"/>
  <c r="AK18" i="1" s="1"/>
  <c r="T20" i="1"/>
  <c r="AG20" i="1" s="1"/>
  <c r="Z21" i="1"/>
  <c r="AM21" i="1" s="1"/>
  <c r="P22" i="1"/>
  <c r="AC22" i="1" s="1"/>
  <c r="V23" i="1"/>
  <c r="AI23" i="1" s="1"/>
  <c r="R25" i="1"/>
  <c r="AE25" i="1" s="1"/>
  <c r="X26" i="1"/>
  <c r="AK26" i="1" s="1"/>
  <c r="T28" i="1"/>
  <c r="AG28" i="1" s="1"/>
  <c r="Z29" i="1"/>
  <c r="AM29" i="1" s="1"/>
  <c r="P30" i="1"/>
  <c r="AC30" i="1" s="1"/>
  <c r="V31" i="1"/>
  <c r="AI31" i="1" s="1"/>
  <c r="R33" i="1"/>
  <c r="AE33" i="1" s="1"/>
  <c r="X34" i="1"/>
  <c r="AK34" i="1" s="1"/>
  <c r="T36" i="1"/>
  <c r="AG36" i="1" s="1"/>
  <c r="Z37" i="1"/>
  <c r="AM37" i="1" s="1"/>
  <c r="P38" i="1"/>
  <c r="AC38" i="1" s="1"/>
  <c r="V39" i="1"/>
  <c r="AI39" i="1" s="1"/>
  <c r="R41" i="1"/>
  <c r="AE41" i="1" s="1"/>
  <c r="X42" i="1"/>
  <c r="AK42" i="1" s="1"/>
  <c r="T44" i="1"/>
  <c r="AG44" i="1" s="1"/>
  <c r="Z45" i="1"/>
  <c r="AM45" i="1" s="1"/>
  <c r="P46" i="1"/>
  <c r="AC46" i="1" s="1"/>
  <c r="V47" i="1"/>
  <c r="AI47" i="1" s="1"/>
  <c r="R49" i="1"/>
  <c r="AE49" i="1" s="1"/>
  <c r="X50" i="1"/>
  <c r="AK50" i="1" s="1"/>
  <c r="T52" i="1"/>
  <c r="AG52" i="1" s="1"/>
  <c r="Z53" i="1"/>
  <c r="AM53" i="1" s="1"/>
  <c r="P54" i="1"/>
  <c r="AC54" i="1" s="1"/>
  <c r="V55" i="1"/>
  <c r="AI55" i="1" s="1"/>
  <c r="R57" i="1"/>
  <c r="AE57" i="1" s="1"/>
  <c r="S9" i="1"/>
  <c r="AF9" i="1" s="1"/>
  <c r="Y10" i="1"/>
  <c r="AL10" i="1" s="1"/>
  <c r="O11" i="1"/>
  <c r="AB11" i="1" s="1"/>
  <c r="U12" i="1"/>
  <c r="AH12" i="1" s="1"/>
  <c r="Q14" i="1"/>
  <c r="AD14" i="1" s="1"/>
  <c r="W15" i="1"/>
  <c r="AJ15" i="1" s="1"/>
  <c r="S17" i="1"/>
  <c r="AF17" i="1" s="1"/>
  <c r="Y18" i="1"/>
  <c r="AL18" i="1" s="1"/>
  <c r="O19" i="1"/>
  <c r="AB19" i="1" s="1"/>
  <c r="U20" i="1"/>
  <c r="AH20" i="1" s="1"/>
  <c r="Q22" i="1"/>
  <c r="AD22" i="1" s="1"/>
  <c r="W23" i="1"/>
  <c r="AJ23" i="1" s="1"/>
  <c r="S25" i="1"/>
  <c r="AF25" i="1" s="1"/>
  <c r="Y26" i="1"/>
  <c r="AL26" i="1" s="1"/>
  <c r="O27" i="1"/>
  <c r="AB27" i="1" s="1"/>
  <c r="U28" i="1"/>
  <c r="AH28" i="1" s="1"/>
  <c r="Q30" i="1"/>
  <c r="AD30" i="1" s="1"/>
  <c r="W31" i="1"/>
  <c r="AJ31" i="1" s="1"/>
  <c r="S33" i="1"/>
  <c r="AF33" i="1" s="1"/>
  <c r="Y34" i="1"/>
  <c r="AL34" i="1" s="1"/>
  <c r="O35" i="1"/>
  <c r="AB35" i="1" s="1"/>
  <c r="U36" i="1"/>
  <c r="AH36" i="1" s="1"/>
  <c r="Q38" i="1"/>
  <c r="AD38" i="1" s="1"/>
  <c r="W39" i="1"/>
  <c r="AJ39" i="1" s="1"/>
  <c r="S41" i="1"/>
  <c r="AF41" i="1" s="1"/>
  <c r="Y42" i="1"/>
  <c r="AL42" i="1" s="1"/>
  <c r="O43" i="1"/>
  <c r="AB43" i="1" s="1"/>
  <c r="U44" i="1"/>
  <c r="AH44" i="1" s="1"/>
  <c r="Q46" i="1"/>
  <c r="AD46" i="1" s="1"/>
  <c r="W47" i="1"/>
  <c r="AJ47" i="1" s="1"/>
  <c r="S49" i="1"/>
  <c r="AF49" i="1" s="1"/>
  <c r="Y50" i="1"/>
  <c r="AL50" i="1" s="1"/>
  <c r="O51" i="1"/>
  <c r="AB51" i="1" s="1"/>
  <c r="U52" i="1"/>
  <c r="AH52" i="1" s="1"/>
  <c r="T9" i="1"/>
  <c r="AG9" i="1" s="1"/>
  <c r="Z10" i="1"/>
  <c r="AM10" i="1" s="1"/>
  <c r="P11" i="1"/>
  <c r="AC11" i="1" s="1"/>
  <c r="V12" i="1"/>
  <c r="AI12" i="1" s="1"/>
  <c r="R14" i="1"/>
  <c r="AE14" i="1" s="1"/>
  <c r="X15" i="1"/>
  <c r="AK15" i="1" s="1"/>
  <c r="T17" i="1"/>
  <c r="AG17" i="1" s="1"/>
  <c r="Z18" i="1"/>
  <c r="AM18" i="1" s="1"/>
  <c r="P19" i="1"/>
  <c r="AC19" i="1" s="1"/>
  <c r="V20" i="1"/>
  <c r="AI20" i="1" s="1"/>
  <c r="R22" i="1"/>
  <c r="AE22" i="1" s="1"/>
  <c r="X23" i="1"/>
  <c r="AK23" i="1" s="1"/>
  <c r="T25" i="1"/>
  <c r="AG25" i="1" s="1"/>
  <c r="Z26" i="1"/>
  <c r="AM26" i="1" s="1"/>
  <c r="V28" i="1"/>
  <c r="AI28" i="1" s="1"/>
  <c r="R30" i="1"/>
  <c r="AE30" i="1" s="1"/>
  <c r="X31" i="1"/>
  <c r="AK31" i="1" s="1"/>
  <c r="T33" i="1"/>
  <c r="AG33" i="1" s="1"/>
  <c r="Z34" i="1"/>
  <c r="AM34" i="1" s="1"/>
  <c r="P35" i="1"/>
  <c r="AC35" i="1" s="1"/>
  <c r="V36" i="1"/>
  <c r="AI36" i="1" s="1"/>
  <c r="R38" i="1"/>
  <c r="AE38" i="1" s="1"/>
  <c r="X39" i="1"/>
  <c r="AK39" i="1" s="1"/>
  <c r="T41" i="1"/>
  <c r="AG41" i="1" s="1"/>
  <c r="Z42" i="1"/>
  <c r="AM42" i="1" s="1"/>
  <c r="P43" i="1"/>
  <c r="AC43" i="1" s="1"/>
  <c r="V44" i="1"/>
  <c r="AI44" i="1" s="1"/>
  <c r="R46" i="1"/>
  <c r="AE46" i="1" s="1"/>
  <c r="X47" i="1"/>
  <c r="AK47" i="1" s="1"/>
  <c r="U9" i="1"/>
  <c r="AH9" i="1" s="1"/>
  <c r="Q11" i="1"/>
  <c r="AD11" i="1" s="1"/>
  <c r="W12" i="1"/>
  <c r="AJ12" i="1" s="1"/>
  <c r="S14" i="1"/>
  <c r="AF14" i="1" s="1"/>
  <c r="Y15" i="1"/>
  <c r="AL15" i="1" s="1"/>
  <c r="O16" i="1"/>
  <c r="AB16" i="1" s="1"/>
  <c r="U17" i="1"/>
  <c r="AH17" i="1" s="1"/>
  <c r="Q19" i="1"/>
  <c r="AD19" i="1" s="1"/>
  <c r="W20" i="1"/>
  <c r="AJ20" i="1" s="1"/>
  <c r="S22" i="1"/>
  <c r="AF22" i="1" s="1"/>
  <c r="Y23" i="1"/>
  <c r="AL23" i="1" s="1"/>
  <c r="O24" i="1"/>
  <c r="AB24" i="1" s="1"/>
  <c r="U25" i="1"/>
  <c r="AH25" i="1" s="1"/>
  <c r="Q27" i="1"/>
  <c r="AD27" i="1" s="1"/>
  <c r="W28" i="1"/>
  <c r="AJ28" i="1" s="1"/>
  <c r="S30" i="1"/>
  <c r="AF30" i="1" s="1"/>
  <c r="Y31" i="1"/>
  <c r="AL31" i="1" s="1"/>
  <c r="O32" i="1"/>
  <c r="AB32" i="1" s="1"/>
  <c r="U33" i="1"/>
  <c r="AH33" i="1" s="1"/>
  <c r="Q35" i="1"/>
  <c r="AD35" i="1" s="1"/>
  <c r="W36" i="1"/>
  <c r="AJ36" i="1" s="1"/>
  <c r="S38" i="1"/>
  <c r="AF38" i="1" s="1"/>
  <c r="Y39" i="1"/>
  <c r="AL39" i="1" s="1"/>
  <c r="O40" i="1"/>
  <c r="AB40" i="1" s="1"/>
  <c r="U41" i="1"/>
  <c r="AH41" i="1" s="1"/>
  <c r="Q43" i="1"/>
  <c r="AD43" i="1" s="1"/>
  <c r="W44" i="1"/>
  <c r="AJ44" i="1" s="1"/>
  <c r="S46" i="1"/>
  <c r="AF46" i="1" s="1"/>
  <c r="Y47" i="1"/>
  <c r="AL47" i="1" s="1"/>
  <c r="O48" i="1"/>
  <c r="AB48" i="1" s="1"/>
  <c r="U49" i="1"/>
  <c r="AH49" i="1" s="1"/>
  <c r="Q51" i="1"/>
  <c r="AD51" i="1" s="1"/>
  <c r="W52" i="1"/>
  <c r="AJ52" i="1" s="1"/>
  <c r="S54" i="1"/>
  <c r="AF54" i="1" s="1"/>
  <c r="Y55" i="1"/>
  <c r="AL55" i="1" s="1"/>
  <c r="O56" i="1"/>
  <c r="AB56" i="1" s="1"/>
  <c r="W9" i="1"/>
  <c r="AJ9" i="1" s="1"/>
  <c r="S11" i="1"/>
  <c r="AF11" i="1" s="1"/>
  <c r="Y12" i="1"/>
  <c r="AL12" i="1" s="1"/>
  <c r="O13" i="1"/>
  <c r="AB13" i="1" s="1"/>
  <c r="U14" i="1"/>
  <c r="AH14" i="1" s="1"/>
  <c r="Q16" i="1"/>
  <c r="AD16" i="1" s="1"/>
  <c r="W17" i="1"/>
  <c r="AJ17" i="1" s="1"/>
  <c r="S19" i="1"/>
  <c r="AF19" i="1" s="1"/>
  <c r="Y20" i="1"/>
  <c r="AL20" i="1" s="1"/>
  <c r="O21" i="1"/>
  <c r="AB21" i="1" s="1"/>
  <c r="U22" i="1"/>
  <c r="AH22" i="1" s="1"/>
  <c r="Q24" i="1"/>
  <c r="AD24" i="1" s="1"/>
  <c r="W25" i="1"/>
  <c r="AJ25" i="1" s="1"/>
  <c r="S27" i="1"/>
  <c r="AF27" i="1" s="1"/>
  <c r="Y28" i="1"/>
  <c r="AL28" i="1" s="1"/>
  <c r="O29" i="1"/>
  <c r="AB29" i="1" s="1"/>
  <c r="U30" i="1"/>
  <c r="AH30" i="1" s="1"/>
  <c r="Q32" i="1"/>
  <c r="AD32" i="1" s="1"/>
  <c r="W33" i="1"/>
  <c r="AJ33" i="1" s="1"/>
  <c r="S35" i="1"/>
  <c r="AF35" i="1" s="1"/>
  <c r="Y36" i="1"/>
  <c r="AL36" i="1" s="1"/>
  <c r="O37" i="1"/>
  <c r="AB37" i="1" s="1"/>
  <c r="U38" i="1"/>
  <c r="AH38" i="1" s="1"/>
  <c r="Q40" i="1"/>
  <c r="AD40" i="1" s="1"/>
  <c r="W41" i="1"/>
  <c r="AJ41" i="1" s="1"/>
  <c r="S43" i="1"/>
  <c r="AF43" i="1" s="1"/>
  <c r="O18" i="1"/>
  <c r="AB18" i="1" s="1"/>
  <c r="Z31" i="1"/>
  <c r="AM31" i="1" s="1"/>
  <c r="Q37" i="1"/>
  <c r="AD37" i="1" s="1"/>
  <c r="O42" i="1"/>
  <c r="AB42" i="1" s="1"/>
  <c r="Y44" i="1"/>
  <c r="AL44" i="1" s="1"/>
  <c r="V46" i="1"/>
  <c r="AI46" i="1" s="1"/>
  <c r="R48" i="1"/>
  <c r="AE48" i="1" s="1"/>
  <c r="Y49" i="1"/>
  <c r="AL49" i="1" s="1"/>
  <c r="U53" i="1"/>
  <c r="AH53" i="1" s="1"/>
  <c r="V56" i="1"/>
  <c r="AI56" i="1" s="1"/>
  <c r="Y58" i="1"/>
  <c r="AL58" i="1" s="1"/>
  <c r="P59" i="1"/>
  <c r="AC59" i="1" s="1"/>
  <c r="X60" i="1"/>
  <c r="AK60" i="1" s="1"/>
  <c r="O61" i="1"/>
  <c r="AB61" i="1" s="1"/>
  <c r="U62" i="1"/>
  <c r="AH62" i="1" s="1"/>
  <c r="Q64" i="1"/>
  <c r="AD64" i="1" s="1"/>
  <c r="W65" i="1"/>
  <c r="AJ65" i="1" s="1"/>
  <c r="S67" i="1"/>
  <c r="AF67" i="1" s="1"/>
  <c r="Y68" i="1"/>
  <c r="AL68" i="1" s="1"/>
  <c r="O69" i="1"/>
  <c r="AB69" i="1" s="1"/>
  <c r="U70" i="1"/>
  <c r="AH70" i="1" s="1"/>
  <c r="Q72" i="1"/>
  <c r="AD72" i="1" s="1"/>
  <c r="W73" i="1"/>
  <c r="AJ73" i="1" s="1"/>
  <c r="S75" i="1"/>
  <c r="AF75" i="1" s="1"/>
  <c r="Y76" i="1"/>
  <c r="AL76" i="1" s="1"/>
  <c r="O77" i="1"/>
  <c r="AB77" i="1" s="1"/>
  <c r="U78" i="1"/>
  <c r="AH78" i="1" s="1"/>
  <c r="Q80" i="1"/>
  <c r="AD80" i="1" s="1"/>
  <c r="W81" i="1"/>
  <c r="AJ81" i="1" s="1"/>
  <c r="S83" i="1"/>
  <c r="AF83" i="1" s="1"/>
  <c r="Y84" i="1"/>
  <c r="AL84" i="1" s="1"/>
  <c r="O85" i="1"/>
  <c r="AB85" i="1" s="1"/>
  <c r="U86" i="1"/>
  <c r="AH86" i="1" s="1"/>
  <c r="Q88" i="1"/>
  <c r="AD88" i="1" s="1"/>
  <c r="W89" i="1"/>
  <c r="AJ89" i="1" s="1"/>
  <c r="S91" i="1"/>
  <c r="AF91" i="1" s="1"/>
  <c r="Y92" i="1"/>
  <c r="AL92" i="1" s="1"/>
  <c r="O93" i="1"/>
  <c r="AB93" i="1" s="1"/>
  <c r="X28" i="1"/>
  <c r="AK28" i="1" s="1"/>
  <c r="S37" i="1"/>
  <c r="AF37" i="1" s="1"/>
  <c r="Q42" i="1"/>
  <c r="AD42" i="1" s="1"/>
  <c r="Z44" i="1"/>
  <c r="AM44" i="1" s="1"/>
  <c r="W46" i="1"/>
  <c r="AJ46" i="1" s="1"/>
  <c r="S48" i="1"/>
  <c r="AF48" i="1" s="1"/>
  <c r="V53" i="1"/>
  <c r="AI53" i="1" s="1"/>
  <c r="Q54" i="1"/>
  <c r="AD54" i="1" s="1"/>
  <c r="W56" i="1"/>
  <c r="AJ56" i="1" s="1"/>
  <c r="O57" i="1"/>
  <c r="AB57" i="1" s="1"/>
  <c r="Z58" i="1"/>
  <c r="AM58" i="1" s="1"/>
  <c r="Q59" i="1"/>
  <c r="AD59" i="1" s="1"/>
  <c r="Y60" i="1"/>
  <c r="AL60" i="1" s="1"/>
  <c r="P61" i="1"/>
  <c r="AC61" i="1" s="1"/>
  <c r="V62" i="1"/>
  <c r="AI62" i="1" s="1"/>
  <c r="R64" i="1"/>
  <c r="AE64" i="1" s="1"/>
  <c r="X65" i="1"/>
  <c r="AK65" i="1" s="1"/>
  <c r="T67" i="1"/>
  <c r="AG67" i="1" s="1"/>
  <c r="Z68" i="1"/>
  <c r="AM68" i="1" s="1"/>
  <c r="P69" i="1"/>
  <c r="AC69" i="1" s="1"/>
  <c r="V70" i="1"/>
  <c r="AI70" i="1" s="1"/>
  <c r="R72" i="1"/>
  <c r="AE72" i="1" s="1"/>
  <c r="X73" i="1"/>
  <c r="AK73" i="1" s="1"/>
  <c r="T75" i="1"/>
  <c r="AG75" i="1" s="1"/>
  <c r="Z76" i="1"/>
  <c r="AM76" i="1" s="1"/>
  <c r="P77" i="1"/>
  <c r="AC77" i="1" s="1"/>
  <c r="V78" i="1"/>
  <c r="AI78" i="1" s="1"/>
  <c r="Z15" i="1"/>
  <c r="AM15" i="1" s="1"/>
  <c r="V25" i="1"/>
  <c r="AI25" i="1" s="1"/>
  <c r="Z28" i="1"/>
  <c r="AM28" i="1" s="1"/>
  <c r="R35" i="1"/>
  <c r="AE35" i="1" s="1"/>
  <c r="P40" i="1"/>
  <c r="AC40" i="1" s="1"/>
  <c r="Y46" i="1"/>
  <c r="AL46" i="1" s="1"/>
  <c r="U48" i="1"/>
  <c r="AH48" i="1" s="1"/>
  <c r="W53" i="1"/>
  <c r="AJ53" i="1" s="1"/>
  <c r="R54" i="1"/>
  <c r="AE54" i="1" s="1"/>
  <c r="X56" i="1"/>
  <c r="AK56" i="1" s="1"/>
  <c r="P57" i="1"/>
  <c r="AC57" i="1" s="1"/>
  <c r="R59" i="1"/>
  <c r="AE59" i="1" s="1"/>
  <c r="Z60" i="1"/>
  <c r="AM60" i="1" s="1"/>
  <c r="Q61" i="1"/>
  <c r="AD61" i="1" s="1"/>
  <c r="W62" i="1"/>
  <c r="AJ62" i="1" s="1"/>
  <c r="S64" i="1"/>
  <c r="AF64" i="1" s="1"/>
  <c r="Y65" i="1"/>
  <c r="AL65" i="1" s="1"/>
  <c r="O66" i="1"/>
  <c r="AB66" i="1" s="1"/>
  <c r="U67" i="1"/>
  <c r="AH67" i="1" s="1"/>
  <c r="Q69" i="1"/>
  <c r="AD69" i="1" s="1"/>
  <c r="W70" i="1"/>
  <c r="AJ70" i="1" s="1"/>
  <c r="S72" i="1"/>
  <c r="AF72" i="1" s="1"/>
  <c r="Y73" i="1"/>
  <c r="AL73" i="1" s="1"/>
  <c r="O74" i="1"/>
  <c r="AB74" i="1" s="1"/>
  <c r="U75" i="1"/>
  <c r="AH75" i="1" s="1"/>
  <c r="Q77" i="1"/>
  <c r="AD77" i="1" s="1"/>
  <c r="W78" i="1"/>
  <c r="AJ78" i="1" s="1"/>
  <c r="S80" i="1"/>
  <c r="AF80" i="1" s="1"/>
  <c r="Y81" i="1"/>
  <c r="AL81" i="1" s="1"/>
  <c r="O82" i="1"/>
  <c r="AB82" i="1" s="1"/>
  <c r="U83" i="1"/>
  <c r="AH83" i="1" s="1"/>
  <c r="Q85" i="1"/>
  <c r="AD85" i="1" s="1"/>
  <c r="W86" i="1"/>
  <c r="AJ86" i="1" s="1"/>
  <c r="S88" i="1"/>
  <c r="AF88" i="1" s="1"/>
  <c r="Y89" i="1"/>
  <c r="AL89" i="1" s="1"/>
  <c r="O90" i="1"/>
  <c r="AB90" i="1" s="1"/>
  <c r="U91" i="1"/>
  <c r="AH91" i="1" s="1"/>
  <c r="V9" i="1"/>
  <c r="AI9" i="1" s="1"/>
  <c r="X12" i="1"/>
  <c r="AK12" i="1" s="1"/>
  <c r="T22" i="1"/>
  <c r="AG22" i="1" s="1"/>
  <c r="X25" i="1"/>
  <c r="AK25" i="1" s="1"/>
  <c r="P32" i="1"/>
  <c r="AC32" i="1" s="1"/>
  <c r="T35" i="1"/>
  <c r="AG35" i="1" s="1"/>
  <c r="R40" i="1"/>
  <c r="AE40" i="1" s="1"/>
  <c r="Z48" i="1"/>
  <c r="AM48" i="1" s="1"/>
  <c r="X53" i="1"/>
  <c r="AK53" i="1" s="1"/>
  <c r="T54" i="1"/>
  <c r="AG54" i="1" s="1"/>
  <c r="Y56" i="1"/>
  <c r="AL56" i="1" s="1"/>
  <c r="S57" i="1"/>
  <c r="AF57" i="1" s="1"/>
  <c r="S59" i="1"/>
  <c r="AF59" i="1" s="1"/>
  <c r="R61" i="1"/>
  <c r="AE61" i="1" s="1"/>
  <c r="X62" i="1"/>
  <c r="AK62" i="1" s="1"/>
  <c r="T64" i="1"/>
  <c r="AG64" i="1" s="1"/>
  <c r="Z65" i="1"/>
  <c r="AM65" i="1" s="1"/>
  <c r="P66" i="1"/>
  <c r="AC66" i="1" s="1"/>
  <c r="V67" i="1"/>
  <c r="AI67" i="1" s="1"/>
  <c r="R69" i="1"/>
  <c r="AE69" i="1" s="1"/>
  <c r="X70" i="1"/>
  <c r="AK70" i="1" s="1"/>
  <c r="T72" i="1"/>
  <c r="AG72" i="1" s="1"/>
  <c r="Z73" i="1"/>
  <c r="AM73" i="1" s="1"/>
  <c r="P74" i="1"/>
  <c r="AC74" i="1" s="1"/>
  <c r="V75" i="1"/>
  <c r="AI75" i="1" s="1"/>
  <c r="R77" i="1"/>
  <c r="AE77" i="1" s="1"/>
  <c r="X78" i="1"/>
  <c r="AK78" i="1" s="1"/>
  <c r="T80" i="1"/>
  <c r="AG80" i="1" s="1"/>
  <c r="Z81" i="1"/>
  <c r="AM81" i="1" s="1"/>
  <c r="P82" i="1"/>
  <c r="AC82" i="1" s="1"/>
  <c r="V83" i="1"/>
  <c r="AI83" i="1" s="1"/>
  <c r="R85" i="1"/>
  <c r="AE85" i="1" s="1"/>
  <c r="X86" i="1"/>
  <c r="AK86" i="1" s="1"/>
  <c r="T88" i="1"/>
  <c r="AG88" i="1" s="1"/>
  <c r="Z89" i="1"/>
  <c r="AM89" i="1" s="1"/>
  <c r="P90" i="1"/>
  <c r="AC90" i="1" s="1"/>
  <c r="V91" i="1"/>
  <c r="AI91" i="1" s="1"/>
  <c r="X9" i="1"/>
  <c r="AK9" i="1" s="1"/>
  <c r="Z12" i="1"/>
  <c r="AM12" i="1" s="1"/>
  <c r="R19" i="1"/>
  <c r="AE19" i="1" s="1"/>
  <c r="V22" i="1"/>
  <c r="AI22" i="1" s="1"/>
  <c r="Y25" i="1"/>
  <c r="AL25" i="1" s="1"/>
  <c r="R32" i="1"/>
  <c r="AE32" i="1" s="1"/>
  <c r="U35" i="1"/>
  <c r="AH35" i="1" s="1"/>
  <c r="S40" i="1"/>
  <c r="AF40" i="1" s="1"/>
  <c r="U54" i="1"/>
  <c r="AH54" i="1" s="1"/>
  <c r="Z56" i="1"/>
  <c r="AM56" i="1" s="1"/>
  <c r="T57" i="1"/>
  <c r="AG57" i="1" s="1"/>
  <c r="T59" i="1"/>
  <c r="AG59" i="1" s="1"/>
  <c r="S61" i="1"/>
  <c r="AF61" i="1" s="1"/>
  <c r="Y62" i="1"/>
  <c r="AL62" i="1" s="1"/>
  <c r="O63" i="1"/>
  <c r="AB63" i="1" s="1"/>
  <c r="U64" i="1"/>
  <c r="AH64" i="1" s="1"/>
  <c r="Q66" i="1"/>
  <c r="AD66" i="1" s="1"/>
  <c r="W67" i="1"/>
  <c r="AJ67" i="1" s="1"/>
  <c r="S69" i="1"/>
  <c r="AF69" i="1" s="1"/>
  <c r="Y70" i="1"/>
  <c r="AL70" i="1" s="1"/>
  <c r="O71" i="1"/>
  <c r="AB71" i="1" s="1"/>
  <c r="U72" i="1"/>
  <c r="AH72" i="1" s="1"/>
  <c r="Q74" i="1"/>
  <c r="AD74" i="1" s="1"/>
  <c r="W75" i="1"/>
  <c r="AJ75" i="1" s="1"/>
  <c r="S77" i="1"/>
  <c r="AF77" i="1" s="1"/>
  <c r="Y78" i="1"/>
  <c r="AL78" i="1" s="1"/>
  <c r="O79" i="1"/>
  <c r="AB79" i="1" s="1"/>
  <c r="U80" i="1"/>
  <c r="AH80" i="1" s="1"/>
  <c r="Q82" i="1"/>
  <c r="AD82" i="1" s="1"/>
  <c r="W83" i="1"/>
  <c r="AJ83" i="1" s="1"/>
  <c r="S85" i="1"/>
  <c r="AF85" i="1" s="1"/>
  <c r="Y86" i="1"/>
  <c r="AL86" i="1" s="1"/>
  <c r="O87" i="1"/>
  <c r="AB87" i="1" s="1"/>
  <c r="U88" i="1"/>
  <c r="AH88" i="1" s="1"/>
  <c r="Q90" i="1"/>
  <c r="AD90" i="1" s="1"/>
  <c r="W91" i="1"/>
  <c r="AJ91" i="1" s="1"/>
  <c r="Y9" i="1"/>
  <c r="AL9" i="1" s="1"/>
  <c r="P16" i="1"/>
  <c r="AC16" i="1" s="1"/>
  <c r="T19" i="1"/>
  <c r="AG19" i="1" s="1"/>
  <c r="W22" i="1"/>
  <c r="AJ22" i="1" s="1"/>
  <c r="P29" i="1"/>
  <c r="AC29" i="1" s="1"/>
  <c r="S32" i="1"/>
  <c r="AF32" i="1" s="1"/>
  <c r="W35" i="1"/>
  <c r="AJ35" i="1" s="1"/>
  <c r="U40" i="1"/>
  <c r="AH40" i="1" s="1"/>
  <c r="O45" i="1"/>
  <c r="AB45" i="1" s="1"/>
  <c r="V54" i="1"/>
  <c r="AI54" i="1" s="1"/>
  <c r="O55" i="1"/>
  <c r="AB55" i="1" s="1"/>
  <c r="U57" i="1"/>
  <c r="AH57" i="1" s="1"/>
  <c r="U59" i="1"/>
  <c r="AH59" i="1" s="1"/>
  <c r="T61" i="1"/>
  <c r="AG61" i="1" s="1"/>
  <c r="Z62" i="1"/>
  <c r="AM62" i="1" s="1"/>
  <c r="P63" i="1"/>
  <c r="AC63" i="1" s="1"/>
  <c r="V64" i="1"/>
  <c r="AI64" i="1" s="1"/>
  <c r="R66" i="1"/>
  <c r="AE66" i="1" s="1"/>
  <c r="X67" i="1"/>
  <c r="AK67" i="1" s="1"/>
  <c r="T69" i="1"/>
  <c r="AG69" i="1" s="1"/>
  <c r="Z70" i="1"/>
  <c r="AM70" i="1" s="1"/>
  <c r="P71" i="1"/>
  <c r="AC71" i="1" s="1"/>
  <c r="V72" i="1"/>
  <c r="AI72" i="1" s="1"/>
  <c r="R74" i="1"/>
  <c r="AE74" i="1" s="1"/>
  <c r="X75" i="1"/>
  <c r="AK75" i="1" s="1"/>
  <c r="T77" i="1"/>
  <c r="AG77" i="1" s="1"/>
  <c r="Z78" i="1"/>
  <c r="AM78" i="1" s="1"/>
  <c r="P79" i="1"/>
  <c r="AC79" i="1" s="1"/>
  <c r="V80" i="1"/>
  <c r="AI80" i="1" s="1"/>
  <c r="R82" i="1"/>
  <c r="AE82" i="1" s="1"/>
  <c r="X83" i="1"/>
  <c r="AK83" i="1" s="1"/>
  <c r="T85" i="1"/>
  <c r="AG85" i="1" s="1"/>
  <c r="Z86" i="1"/>
  <c r="AM86" i="1" s="1"/>
  <c r="P87" i="1"/>
  <c r="AC87" i="1" s="1"/>
  <c r="V88" i="1"/>
  <c r="AI88" i="1" s="1"/>
  <c r="R90" i="1"/>
  <c r="AE90" i="1" s="1"/>
  <c r="X91" i="1"/>
  <c r="AK91" i="1" s="1"/>
  <c r="R16" i="1"/>
  <c r="AE16" i="1" s="1"/>
  <c r="U19" i="1"/>
  <c r="AH19" i="1" s="1"/>
  <c r="Q29" i="1"/>
  <c r="AD29" i="1" s="1"/>
  <c r="T38" i="1"/>
  <c r="AG38" i="1" s="1"/>
  <c r="R43" i="1"/>
  <c r="AE43" i="1" s="1"/>
  <c r="P45" i="1"/>
  <c r="AC45" i="1" s="1"/>
  <c r="P51" i="1"/>
  <c r="AC51" i="1" s="1"/>
  <c r="W54" i="1"/>
  <c r="AJ54" i="1" s="1"/>
  <c r="P55" i="1"/>
  <c r="AC55" i="1" s="1"/>
  <c r="V57" i="1"/>
  <c r="AI57" i="1" s="1"/>
  <c r="V59" i="1"/>
  <c r="AI59" i="1" s="1"/>
  <c r="U61" i="1"/>
  <c r="AH61" i="1" s="1"/>
  <c r="Q63" i="1"/>
  <c r="AD63" i="1" s="1"/>
  <c r="W64" i="1"/>
  <c r="AJ64" i="1" s="1"/>
  <c r="S66" i="1"/>
  <c r="AF66" i="1" s="1"/>
  <c r="Y67" i="1"/>
  <c r="AL67" i="1" s="1"/>
  <c r="O68" i="1"/>
  <c r="AB68" i="1" s="1"/>
  <c r="U69" i="1"/>
  <c r="AH69" i="1" s="1"/>
  <c r="Q71" i="1"/>
  <c r="AD71" i="1" s="1"/>
  <c r="W72" i="1"/>
  <c r="AJ72" i="1" s="1"/>
  <c r="S74" i="1"/>
  <c r="AF74" i="1" s="1"/>
  <c r="Y75" i="1"/>
  <c r="AL75" i="1" s="1"/>
  <c r="O76" i="1"/>
  <c r="AB76" i="1" s="1"/>
  <c r="U77" i="1"/>
  <c r="AH77" i="1" s="1"/>
  <c r="Q79" i="1"/>
  <c r="AD79" i="1" s="1"/>
  <c r="W80" i="1"/>
  <c r="AJ80" i="1" s="1"/>
  <c r="S82" i="1"/>
  <c r="AF82" i="1" s="1"/>
  <c r="Y83" i="1"/>
  <c r="AL83" i="1" s="1"/>
  <c r="O84" i="1"/>
  <c r="AB84" i="1" s="1"/>
  <c r="U85" i="1"/>
  <c r="AH85" i="1" s="1"/>
  <c r="Q87" i="1"/>
  <c r="AD87" i="1" s="1"/>
  <c r="W88" i="1"/>
  <c r="AJ88" i="1" s="1"/>
  <c r="S90" i="1"/>
  <c r="AF90" i="1" s="1"/>
  <c r="Y91" i="1"/>
  <c r="AL91" i="1" s="1"/>
  <c r="O92" i="1"/>
  <c r="AB92" i="1" s="1"/>
  <c r="P13" i="1"/>
  <c r="AC13" i="1" s="1"/>
  <c r="S16" i="1"/>
  <c r="AF16" i="1" s="1"/>
  <c r="O26" i="1"/>
  <c r="AB26" i="1" s="1"/>
  <c r="V38" i="1"/>
  <c r="AI38" i="1" s="1"/>
  <c r="T43" i="1"/>
  <c r="AG43" i="1" s="1"/>
  <c r="Q45" i="1"/>
  <c r="AD45" i="1" s="1"/>
  <c r="O47" i="1"/>
  <c r="AB47" i="1" s="1"/>
  <c r="R51" i="1"/>
  <c r="AE51" i="1" s="1"/>
  <c r="X54" i="1"/>
  <c r="AK54" i="1" s="1"/>
  <c r="Q55" i="1"/>
  <c r="AD55" i="1" s="1"/>
  <c r="W57" i="1"/>
  <c r="AJ57" i="1" s="1"/>
  <c r="O58" i="1"/>
  <c r="AB58" i="1" s="1"/>
  <c r="W59" i="1"/>
  <c r="AJ59" i="1" s="1"/>
  <c r="V61" i="1"/>
  <c r="AI61" i="1" s="1"/>
  <c r="R63" i="1"/>
  <c r="AE63" i="1" s="1"/>
  <c r="X64" i="1"/>
  <c r="AK64" i="1" s="1"/>
  <c r="T66" i="1"/>
  <c r="AG66" i="1" s="1"/>
  <c r="Z67" i="1"/>
  <c r="AM67" i="1" s="1"/>
  <c r="P68" i="1"/>
  <c r="AC68" i="1" s="1"/>
  <c r="V69" i="1"/>
  <c r="AI69" i="1" s="1"/>
  <c r="R71" i="1"/>
  <c r="AE71" i="1" s="1"/>
  <c r="X72" i="1"/>
  <c r="AK72" i="1" s="1"/>
  <c r="T74" i="1"/>
  <c r="AG74" i="1" s="1"/>
  <c r="Z75" i="1"/>
  <c r="AM75" i="1" s="1"/>
  <c r="P76" i="1"/>
  <c r="AC76" i="1" s="1"/>
  <c r="V77" i="1"/>
  <c r="AI77" i="1" s="1"/>
  <c r="R79" i="1"/>
  <c r="AE79" i="1" s="1"/>
  <c r="X80" i="1"/>
  <c r="AK80" i="1" s="1"/>
  <c r="T82" i="1"/>
  <c r="AG82" i="1" s="1"/>
  <c r="Z83" i="1"/>
  <c r="AM83" i="1" s="1"/>
  <c r="P84" i="1"/>
  <c r="AC84" i="1" s="1"/>
  <c r="V85" i="1"/>
  <c r="AI85" i="1" s="1"/>
  <c r="R87" i="1"/>
  <c r="AE87" i="1" s="1"/>
  <c r="X88" i="1"/>
  <c r="AK88" i="1" s="1"/>
  <c r="T90" i="1"/>
  <c r="AG90" i="1" s="1"/>
  <c r="Z91" i="1"/>
  <c r="AM91" i="1" s="1"/>
  <c r="P92" i="1"/>
  <c r="AC92" i="1" s="1"/>
  <c r="V93" i="1"/>
  <c r="AI93" i="1" s="1"/>
  <c r="R95" i="1"/>
  <c r="AE95" i="1" s="1"/>
  <c r="Q13" i="1"/>
  <c r="AD13" i="1" s="1"/>
  <c r="W38" i="1"/>
  <c r="AJ38" i="1" s="1"/>
  <c r="U43" i="1"/>
  <c r="AH43" i="1" s="1"/>
  <c r="S45" i="1"/>
  <c r="AF45" i="1" s="1"/>
  <c r="Z47" i="1"/>
  <c r="AM47" i="1" s="1"/>
  <c r="O50" i="1"/>
  <c r="AB50" i="1" s="1"/>
  <c r="S51" i="1"/>
  <c r="AF51" i="1" s="1"/>
  <c r="O52" i="1"/>
  <c r="AB52" i="1" s="1"/>
  <c r="Y54" i="1"/>
  <c r="AL54" i="1" s="1"/>
  <c r="R55" i="1"/>
  <c r="AE55" i="1" s="1"/>
  <c r="X57" i="1"/>
  <c r="AK57" i="1" s="1"/>
  <c r="P58" i="1"/>
  <c r="AC58" i="1" s="1"/>
  <c r="X59" i="1"/>
  <c r="AK59" i="1" s="1"/>
  <c r="O60" i="1"/>
  <c r="AB60" i="1" s="1"/>
  <c r="W61" i="1"/>
  <c r="AJ61" i="1" s="1"/>
  <c r="S63" i="1"/>
  <c r="AF63" i="1" s="1"/>
  <c r="Y64" i="1"/>
  <c r="AL64" i="1" s="1"/>
  <c r="O65" i="1"/>
  <c r="AB65" i="1" s="1"/>
  <c r="U66" i="1"/>
  <c r="AH66" i="1" s="1"/>
  <c r="Q68" i="1"/>
  <c r="AD68" i="1" s="1"/>
  <c r="W69" i="1"/>
  <c r="AJ69" i="1" s="1"/>
  <c r="S71" i="1"/>
  <c r="AF71" i="1" s="1"/>
  <c r="Y72" i="1"/>
  <c r="AL72" i="1" s="1"/>
  <c r="O73" i="1"/>
  <c r="AB73" i="1" s="1"/>
  <c r="U74" i="1"/>
  <c r="AH74" i="1" s="1"/>
  <c r="Q76" i="1"/>
  <c r="AD76" i="1" s="1"/>
  <c r="W77" i="1"/>
  <c r="AJ77" i="1" s="1"/>
  <c r="S79" i="1"/>
  <c r="AF79" i="1" s="1"/>
  <c r="Y80" i="1"/>
  <c r="AL80" i="1" s="1"/>
  <c r="O81" i="1"/>
  <c r="AB81" i="1" s="1"/>
  <c r="U82" i="1"/>
  <c r="AH82" i="1" s="1"/>
  <c r="Q84" i="1"/>
  <c r="AD84" i="1" s="1"/>
  <c r="W85" i="1"/>
  <c r="AJ85" i="1" s="1"/>
  <c r="S87" i="1"/>
  <c r="AF87" i="1" s="1"/>
  <c r="Y88" i="1"/>
  <c r="AL88" i="1" s="1"/>
  <c r="O89" i="1"/>
  <c r="AB89" i="1" s="1"/>
  <c r="U90" i="1"/>
  <c r="AH90" i="1" s="1"/>
  <c r="Q92" i="1"/>
  <c r="AD92" i="1" s="1"/>
  <c r="W93" i="1"/>
  <c r="AJ93" i="1" s="1"/>
  <c r="O10" i="1"/>
  <c r="AB10" i="1" s="1"/>
  <c r="Z23" i="1"/>
  <c r="AM23" i="1" s="1"/>
  <c r="V33" i="1"/>
  <c r="AI33" i="1" s="1"/>
  <c r="Y38" i="1"/>
  <c r="AL38" i="1" s="1"/>
  <c r="W43" i="1"/>
  <c r="AJ43" i="1" s="1"/>
  <c r="Q50" i="1"/>
  <c r="AD50" i="1" s="1"/>
  <c r="T51" i="1"/>
  <c r="AG51" i="1" s="1"/>
  <c r="P52" i="1"/>
  <c r="AC52" i="1" s="1"/>
  <c r="Z54" i="1"/>
  <c r="AM54" i="1" s="1"/>
  <c r="S55" i="1"/>
  <c r="AF55" i="1" s="1"/>
  <c r="Y57" i="1"/>
  <c r="AL57" i="1" s="1"/>
  <c r="Q58" i="1"/>
  <c r="AD58" i="1" s="1"/>
  <c r="Y59" i="1"/>
  <c r="AL59" i="1" s="1"/>
  <c r="P60" i="1"/>
  <c r="AC60" i="1" s="1"/>
  <c r="X61" i="1"/>
  <c r="AK61" i="1" s="1"/>
  <c r="T63" i="1"/>
  <c r="AG63" i="1" s="1"/>
  <c r="Z64" i="1"/>
  <c r="AM64" i="1" s="1"/>
  <c r="P65" i="1"/>
  <c r="AC65" i="1" s="1"/>
  <c r="V66" i="1"/>
  <c r="AI66" i="1" s="1"/>
  <c r="R68" i="1"/>
  <c r="AE68" i="1" s="1"/>
  <c r="X69" i="1"/>
  <c r="AK69" i="1" s="1"/>
  <c r="T71" i="1"/>
  <c r="AG71" i="1" s="1"/>
  <c r="Z72" i="1"/>
  <c r="AM72" i="1" s="1"/>
  <c r="P73" i="1"/>
  <c r="AC73" i="1" s="1"/>
  <c r="V74" i="1"/>
  <c r="AI74" i="1" s="1"/>
  <c r="R76" i="1"/>
  <c r="AE76" i="1" s="1"/>
  <c r="X77" i="1"/>
  <c r="AK77" i="1" s="1"/>
  <c r="T79" i="1"/>
  <c r="AG79" i="1" s="1"/>
  <c r="Z80" i="1"/>
  <c r="AM80" i="1" s="1"/>
  <c r="P81" i="1"/>
  <c r="AC81" i="1" s="1"/>
  <c r="V82" i="1"/>
  <c r="AI82" i="1" s="1"/>
  <c r="R84" i="1"/>
  <c r="AE84" i="1" s="1"/>
  <c r="X85" i="1"/>
  <c r="AK85" i="1" s="1"/>
  <c r="T87" i="1"/>
  <c r="AG87" i="1" s="1"/>
  <c r="Z88" i="1"/>
  <c r="AM88" i="1" s="1"/>
  <c r="P89" i="1"/>
  <c r="AC89" i="1" s="1"/>
  <c r="V90" i="1"/>
  <c r="AI90" i="1" s="1"/>
  <c r="R92" i="1"/>
  <c r="AE92" i="1" s="1"/>
  <c r="X20" i="1"/>
  <c r="AK20" i="1" s="1"/>
  <c r="T30" i="1"/>
  <c r="AG30" i="1" s="1"/>
  <c r="X33" i="1"/>
  <c r="AK33" i="1" s="1"/>
  <c r="X36" i="1"/>
  <c r="AK36" i="1" s="1"/>
  <c r="V41" i="1"/>
  <c r="AI41" i="1" s="1"/>
  <c r="S50" i="1"/>
  <c r="AF50" i="1" s="1"/>
  <c r="U51" i="1"/>
  <c r="AH51" i="1" s="1"/>
  <c r="R52" i="1"/>
  <c r="AE52" i="1" s="1"/>
  <c r="O53" i="1"/>
  <c r="AB53" i="1" s="1"/>
  <c r="T55" i="1"/>
  <c r="AG55" i="1" s="1"/>
  <c r="P56" i="1"/>
  <c r="AC56" i="1" s="1"/>
  <c r="Z57" i="1"/>
  <c r="AM57" i="1" s="1"/>
  <c r="R58" i="1"/>
  <c r="AE58" i="1" s="1"/>
  <c r="Z59" i="1"/>
  <c r="AM59" i="1" s="1"/>
  <c r="Q60" i="1"/>
  <c r="AD60" i="1" s="1"/>
  <c r="Y61" i="1"/>
  <c r="AL61" i="1" s="1"/>
  <c r="O62" i="1"/>
  <c r="AB62" i="1" s="1"/>
  <c r="U63" i="1"/>
  <c r="AH63" i="1" s="1"/>
  <c r="Q65" i="1"/>
  <c r="AD65" i="1" s="1"/>
  <c r="W66" i="1"/>
  <c r="AJ66" i="1" s="1"/>
  <c r="S68" i="1"/>
  <c r="AF68" i="1" s="1"/>
  <c r="Y69" i="1"/>
  <c r="AL69" i="1" s="1"/>
  <c r="O70" i="1"/>
  <c r="AB70" i="1" s="1"/>
  <c r="U71" i="1"/>
  <c r="AH71" i="1" s="1"/>
  <c r="Q73" i="1"/>
  <c r="AD73" i="1" s="1"/>
  <c r="W74" i="1"/>
  <c r="AJ74" i="1" s="1"/>
  <c r="S76" i="1"/>
  <c r="AF76" i="1" s="1"/>
  <c r="Y77" i="1"/>
  <c r="AL77" i="1" s="1"/>
  <c r="O78" i="1"/>
  <c r="AB78" i="1" s="1"/>
  <c r="U79" i="1"/>
  <c r="AH79" i="1" s="1"/>
  <c r="Q81" i="1"/>
  <c r="AD81" i="1" s="1"/>
  <c r="W82" i="1"/>
  <c r="AJ82" i="1" s="1"/>
  <c r="S84" i="1"/>
  <c r="AF84" i="1" s="1"/>
  <c r="Y85" i="1"/>
  <c r="AL85" i="1" s="1"/>
  <c r="O86" i="1"/>
  <c r="AB86" i="1" s="1"/>
  <c r="U87" i="1"/>
  <c r="AH87" i="1" s="1"/>
  <c r="Q89" i="1"/>
  <c r="AD89" i="1" s="1"/>
  <c r="W90" i="1"/>
  <c r="AJ90" i="1" s="1"/>
  <c r="S92" i="1"/>
  <c r="AF92" i="1" s="1"/>
  <c r="Y93" i="1"/>
  <c r="AL93" i="1" s="1"/>
  <c r="O94" i="1"/>
  <c r="AB94" i="1" s="1"/>
  <c r="V17" i="1"/>
  <c r="AI17" i="1" s="1"/>
  <c r="Z20" i="1"/>
  <c r="AM20" i="1" s="1"/>
  <c r="R27" i="1"/>
  <c r="AE27" i="1" s="1"/>
  <c r="V30" i="1"/>
  <c r="AI30" i="1" s="1"/>
  <c r="Y33" i="1"/>
  <c r="AL33" i="1" s="1"/>
  <c r="Z36" i="1"/>
  <c r="AM36" i="1" s="1"/>
  <c r="X41" i="1"/>
  <c r="AK41" i="1" s="1"/>
  <c r="P49" i="1"/>
  <c r="AC49" i="1" s="1"/>
  <c r="T50" i="1"/>
  <c r="AG50" i="1" s="1"/>
  <c r="V51" i="1"/>
  <c r="AI51" i="1" s="1"/>
  <c r="V52" i="1"/>
  <c r="AI52" i="1" s="1"/>
  <c r="P53" i="1"/>
  <c r="AC53" i="1" s="1"/>
  <c r="W55" i="1"/>
  <c r="AJ55" i="1" s="1"/>
  <c r="Q56" i="1"/>
  <c r="AD56" i="1" s="1"/>
  <c r="S58" i="1"/>
  <c r="AF58" i="1" s="1"/>
  <c r="R60" i="1"/>
  <c r="AE60" i="1" s="1"/>
  <c r="Z61" i="1"/>
  <c r="AM61" i="1" s="1"/>
  <c r="P62" i="1"/>
  <c r="AC62" i="1" s="1"/>
  <c r="V63" i="1"/>
  <c r="AI63" i="1" s="1"/>
  <c r="R65" i="1"/>
  <c r="AE65" i="1" s="1"/>
  <c r="X66" i="1"/>
  <c r="AK66" i="1" s="1"/>
  <c r="T68" i="1"/>
  <c r="AG68" i="1" s="1"/>
  <c r="Z69" i="1"/>
  <c r="AM69" i="1" s="1"/>
  <c r="P70" i="1"/>
  <c r="AC70" i="1" s="1"/>
  <c r="V71" i="1"/>
  <c r="AI71" i="1" s="1"/>
  <c r="R73" i="1"/>
  <c r="AE73" i="1" s="1"/>
  <c r="X74" i="1"/>
  <c r="AK74" i="1" s="1"/>
  <c r="T76" i="1"/>
  <c r="AG76" i="1" s="1"/>
  <c r="Z77" i="1"/>
  <c r="AM77" i="1" s="1"/>
  <c r="P78" i="1"/>
  <c r="AC78" i="1" s="1"/>
  <c r="V79" i="1"/>
  <c r="AI79" i="1" s="1"/>
  <c r="R81" i="1"/>
  <c r="AE81" i="1" s="1"/>
  <c r="X82" i="1"/>
  <c r="AK82" i="1" s="1"/>
  <c r="T84" i="1"/>
  <c r="AG84" i="1" s="1"/>
  <c r="Z85" i="1"/>
  <c r="AM85" i="1" s="1"/>
  <c r="P86" i="1"/>
  <c r="AC86" i="1" s="1"/>
  <c r="V87" i="1"/>
  <c r="AI87" i="1" s="1"/>
  <c r="R89" i="1"/>
  <c r="AE89" i="1" s="1"/>
  <c r="X90" i="1"/>
  <c r="AK90" i="1" s="1"/>
  <c r="T92" i="1"/>
  <c r="AG92" i="1" s="1"/>
  <c r="T14" i="1"/>
  <c r="AG14" i="1" s="1"/>
  <c r="X17" i="1"/>
  <c r="AK17" i="1" s="1"/>
  <c r="P24" i="1"/>
  <c r="AC24" i="1" s="1"/>
  <c r="T27" i="1"/>
  <c r="AG27" i="1" s="1"/>
  <c r="W30" i="1"/>
  <c r="AJ30" i="1" s="1"/>
  <c r="Y41" i="1"/>
  <c r="AL41" i="1" s="1"/>
  <c r="T49" i="1"/>
  <c r="AG49" i="1" s="1"/>
  <c r="V50" i="1"/>
  <c r="AI50" i="1" s="1"/>
  <c r="W51" i="1"/>
  <c r="AJ51" i="1" s="1"/>
  <c r="X52" i="1"/>
  <c r="AK52" i="1" s="1"/>
  <c r="Q53" i="1"/>
  <c r="AD53" i="1" s="1"/>
  <c r="X55" i="1"/>
  <c r="AK55" i="1" s="1"/>
  <c r="R56" i="1"/>
  <c r="AE56" i="1" s="1"/>
  <c r="T58" i="1"/>
  <c r="AG58" i="1" s="1"/>
  <c r="T60" i="1"/>
  <c r="AG60" i="1" s="1"/>
  <c r="Q62" i="1"/>
  <c r="AD62" i="1" s="1"/>
  <c r="W63" i="1"/>
  <c r="AJ63" i="1" s="1"/>
  <c r="S65" i="1"/>
  <c r="AF65" i="1" s="1"/>
  <c r="Y66" i="1"/>
  <c r="AL66" i="1" s="1"/>
  <c r="O67" i="1"/>
  <c r="AB67" i="1" s="1"/>
  <c r="U68" i="1"/>
  <c r="AH68" i="1" s="1"/>
  <c r="Q70" i="1"/>
  <c r="AD70" i="1" s="1"/>
  <c r="W71" i="1"/>
  <c r="AJ71" i="1" s="1"/>
  <c r="S73" i="1"/>
  <c r="AF73" i="1" s="1"/>
  <c r="Y74" i="1"/>
  <c r="AL74" i="1" s="1"/>
  <c r="O75" i="1"/>
  <c r="AB75" i="1" s="1"/>
  <c r="U76" i="1"/>
  <c r="AH76" i="1" s="1"/>
  <c r="Q78" i="1"/>
  <c r="AD78" i="1" s="1"/>
  <c r="W79" i="1"/>
  <c r="AJ79" i="1" s="1"/>
  <c r="S81" i="1"/>
  <c r="AF81" i="1" s="1"/>
  <c r="Y82" i="1"/>
  <c r="AL82" i="1" s="1"/>
  <c r="O83" i="1"/>
  <c r="AB83" i="1" s="1"/>
  <c r="U84" i="1"/>
  <c r="AH84" i="1" s="1"/>
  <c r="Q86" i="1"/>
  <c r="AD86" i="1" s="1"/>
  <c r="W87" i="1"/>
  <c r="AJ87" i="1" s="1"/>
  <c r="S89" i="1"/>
  <c r="AF89" i="1" s="1"/>
  <c r="Y90" i="1"/>
  <c r="AL90" i="1" s="1"/>
  <c r="O91" i="1"/>
  <c r="AB91" i="1" s="1"/>
  <c r="U92" i="1"/>
  <c r="AH92" i="1" s="1"/>
  <c r="Q94" i="1"/>
  <c r="AD94" i="1" s="1"/>
  <c r="P21" i="1"/>
  <c r="AC21" i="1" s="1"/>
  <c r="P37" i="1"/>
  <c r="AC37" i="1" s="1"/>
  <c r="V49" i="1"/>
  <c r="AI49" i="1" s="1"/>
  <c r="X71" i="1"/>
  <c r="AK71" i="1" s="1"/>
  <c r="Q83" i="1"/>
  <c r="AD83" i="1" s="1"/>
  <c r="O88" i="1"/>
  <c r="AB88" i="1" s="1"/>
  <c r="Y94" i="1"/>
  <c r="AL94" i="1" s="1"/>
  <c r="T95" i="1"/>
  <c r="AG95" i="1" s="1"/>
  <c r="Z96" i="1"/>
  <c r="AM96" i="1" s="1"/>
  <c r="P97" i="1"/>
  <c r="AC97" i="1" s="1"/>
  <c r="V98" i="1"/>
  <c r="AI98" i="1" s="1"/>
  <c r="R100" i="1"/>
  <c r="AE100" i="1" s="1"/>
  <c r="X101" i="1"/>
  <c r="AK101" i="1" s="1"/>
  <c r="T103" i="1"/>
  <c r="AG103" i="1" s="1"/>
  <c r="Z104" i="1"/>
  <c r="AM104" i="1" s="1"/>
  <c r="P105" i="1"/>
  <c r="AC105" i="1" s="1"/>
  <c r="V106" i="1"/>
  <c r="AI106" i="1" s="1"/>
  <c r="R108" i="1"/>
  <c r="AE108" i="1" s="1"/>
  <c r="X109" i="1"/>
  <c r="AK109" i="1" s="1"/>
  <c r="T111" i="1"/>
  <c r="AG111" i="1" s="1"/>
  <c r="Z112" i="1"/>
  <c r="AM112" i="1" s="1"/>
  <c r="P113" i="1"/>
  <c r="AC113" i="1" s="1"/>
  <c r="V114" i="1"/>
  <c r="AI114" i="1" s="1"/>
  <c r="R116" i="1"/>
  <c r="AE116" i="1" s="1"/>
  <c r="X117" i="1"/>
  <c r="AK117" i="1" s="1"/>
  <c r="T119" i="1"/>
  <c r="AG119" i="1" s="1"/>
  <c r="Z120" i="1"/>
  <c r="AM120" i="1" s="1"/>
  <c r="P121" i="1"/>
  <c r="AC121" i="1" s="1"/>
  <c r="Q21" i="1"/>
  <c r="AD21" i="1" s="1"/>
  <c r="O39" i="1"/>
  <c r="AB39" i="1" s="1"/>
  <c r="W49" i="1"/>
  <c r="AJ49" i="1" s="1"/>
  <c r="U58" i="1"/>
  <c r="AH58" i="1" s="1"/>
  <c r="V68" i="1"/>
  <c r="AI68" i="1" s="1"/>
  <c r="Y71" i="1"/>
  <c r="AL71" i="1" s="1"/>
  <c r="R78" i="1"/>
  <c r="AE78" i="1" s="1"/>
  <c r="R83" i="1"/>
  <c r="AE83" i="1" s="1"/>
  <c r="P88" i="1"/>
  <c r="AC88" i="1" s="1"/>
  <c r="Z94" i="1"/>
  <c r="AM94" i="1" s="1"/>
  <c r="U95" i="1"/>
  <c r="AH95" i="1" s="1"/>
  <c r="Q97" i="1"/>
  <c r="AD97" i="1" s="1"/>
  <c r="W98" i="1"/>
  <c r="AJ98" i="1" s="1"/>
  <c r="S100" i="1"/>
  <c r="AF100" i="1" s="1"/>
  <c r="Y101" i="1"/>
  <c r="AL101" i="1" s="1"/>
  <c r="O102" i="1"/>
  <c r="AB102" i="1" s="1"/>
  <c r="U103" i="1"/>
  <c r="AH103" i="1" s="1"/>
  <c r="Q105" i="1"/>
  <c r="AD105" i="1" s="1"/>
  <c r="W106" i="1"/>
  <c r="AJ106" i="1" s="1"/>
  <c r="S108" i="1"/>
  <c r="AF108" i="1" s="1"/>
  <c r="Y109" i="1"/>
  <c r="AL109" i="1" s="1"/>
  <c r="O110" i="1"/>
  <c r="AB110" i="1" s="1"/>
  <c r="U111" i="1"/>
  <c r="AH111" i="1" s="1"/>
  <c r="Q113" i="1"/>
  <c r="AD113" i="1" s="1"/>
  <c r="W114" i="1"/>
  <c r="AJ114" i="1" s="1"/>
  <c r="S116" i="1"/>
  <c r="AF116" i="1" s="1"/>
  <c r="Y117" i="1"/>
  <c r="AL117" i="1" s="1"/>
  <c r="O118" i="1"/>
  <c r="AB118" i="1" s="1"/>
  <c r="U119" i="1"/>
  <c r="AH119" i="1" s="1"/>
  <c r="Q121" i="1"/>
  <c r="AD121" i="1" s="1"/>
  <c r="R24" i="1"/>
  <c r="AE24" i="1" s="1"/>
  <c r="Z39" i="1"/>
  <c r="AM39" i="1" s="1"/>
  <c r="X49" i="1"/>
  <c r="AK49" i="1" s="1"/>
  <c r="V58" i="1"/>
  <c r="AI58" i="1" s="1"/>
  <c r="T65" i="1"/>
  <c r="AG65" i="1" s="1"/>
  <c r="W68" i="1"/>
  <c r="AJ68" i="1" s="1"/>
  <c r="Z71" i="1"/>
  <c r="AM71" i="1" s="1"/>
  <c r="P75" i="1"/>
  <c r="AC75" i="1" s="1"/>
  <c r="S78" i="1"/>
  <c r="AF78" i="1" s="1"/>
  <c r="T83" i="1"/>
  <c r="AG83" i="1" s="1"/>
  <c r="R88" i="1"/>
  <c r="AE88" i="1" s="1"/>
  <c r="V95" i="1"/>
  <c r="AI95" i="1" s="1"/>
  <c r="R97" i="1"/>
  <c r="AE97" i="1" s="1"/>
  <c r="X98" i="1"/>
  <c r="AK98" i="1" s="1"/>
  <c r="T100" i="1"/>
  <c r="AG100" i="1" s="1"/>
  <c r="Z101" i="1"/>
  <c r="AM101" i="1" s="1"/>
  <c r="P102" i="1"/>
  <c r="AC102" i="1" s="1"/>
  <c r="V103" i="1"/>
  <c r="AI103" i="1" s="1"/>
  <c r="R105" i="1"/>
  <c r="AE105" i="1" s="1"/>
  <c r="X106" i="1"/>
  <c r="AK106" i="1" s="1"/>
  <c r="T108" i="1"/>
  <c r="AG108" i="1" s="1"/>
  <c r="Z109" i="1"/>
  <c r="AM109" i="1" s="1"/>
  <c r="P110" i="1"/>
  <c r="AC110" i="1" s="1"/>
  <c r="V111" i="1"/>
  <c r="AI111" i="1" s="1"/>
  <c r="R113" i="1"/>
  <c r="AE113" i="1" s="1"/>
  <c r="X114" i="1"/>
  <c r="AK114" i="1" s="1"/>
  <c r="T116" i="1"/>
  <c r="AG116" i="1" s="1"/>
  <c r="Z117" i="1"/>
  <c r="AM117" i="1" s="1"/>
  <c r="P118" i="1"/>
  <c r="AC118" i="1" s="1"/>
  <c r="V119" i="1"/>
  <c r="AI119" i="1" s="1"/>
  <c r="S24" i="1"/>
  <c r="AF24" i="1" s="1"/>
  <c r="Z50" i="1"/>
  <c r="AM50" i="1" s="1"/>
  <c r="X58" i="1"/>
  <c r="AK58" i="1" s="1"/>
  <c r="R62" i="1"/>
  <c r="AE62" i="1" s="1"/>
  <c r="U65" i="1"/>
  <c r="AH65" i="1" s="1"/>
  <c r="X68" i="1"/>
  <c r="AK68" i="1" s="1"/>
  <c r="Q75" i="1"/>
  <c r="AD75" i="1" s="1"/>
  <c r="T78" i="1"/>
  <c r="AG78" i="1" s="1"/>
  <c r="T81" i="1"/>
  <c r="AG81" i="1" s="1"/>
  <c r="R86" i="1"/>
  <c r="AE86" i="1" s="1"/>
  <c r="P91" i="1"/>
  <c r="AC91" i="1" s="1"/>
  <c r="W95" i="1"/>
  <c r="AJ95" i="1" s="1"/>
  <c r="S97" i="1"/>
  <c r="AF97" i="1" s="1"/>
  <c r="Y98" i="1"/>
  <c r="AL98" i="1" s="1"/>
  <c r="O99" i="1"/>
  <c r="AB99" i="1" s="1"/>
  <c r="U100" i="1"/>
  <c r="AH100" i="1" s="1"/>
  <c r="Q102" i="1"/>
  <c r="AD102" i="1" s="1"/>
  <c r="W103" i="1"/>
  <c r="AJ103" i="1" s="1"/>
  <c r="S105" i="1"/>
  <c r="AF105" i="1" s="1"/>
  <c r="Y106" i="1"/>
  <c r="AL106" i="1" s="1"/>
  <c r="O107" i="1"/>
  <c r="AB107" i="1" s="1"/>
  <c r="U108" i="1"/>
  <c r="AH108" i="1" s="1"/>
  <c r="Q110" i="1"/>
  <c r="AD110" i="1" s="1"/>
  <c r="W111" i="1"/>
  <c r="AJ111" i="1" s="1"/>
  <c r="S113" i="1"/>
  <c r="AF113" i="1" s="1"/>
  <c r="Y114" i="1"/>
  <c r="AL114" i="1" s="1"/>
  <c r="O115" i="1"/>
  <c r="AB115" i="1" s="1"/>
  <c r="U116" i="1"/>
  <c r="AH116" i="1" s="1"/>
  <c r="Q118" i="1"/>
  <c r="AD118" i="1" s="1"/>
  <c r="W119" i="1"/>
  <c r="AJ119" i="1" s="1"/>
  <c r="S121" i="1"/>
  <c r="AF121" i="1" s="1"/>
  <c r="S62" i="1"/>
  <c r="AF62" i="1" s="1"/>
  <c r="V65" i="1"/>
  <c r="AI65" i="1" s="1"/>
  <c r="O72" i="1"/>
  <c r="AB72" i="1" s="1"/>
  <c r="R75" i="1"/>
  <c r="AE75" i="1" s="1"/>
  <c r="U81" i="1"/>
  <c r="AH81" i="1" s="1"/>
  <c r="S86" i="1"/>
  <c r="AF86" i="1" s="1"/>
  <c r="Q91" i="1"/>
  <c r="AD91" i="1" s="1"/>
  <c r="X95" i="1"/>
  <c r="AK95" i="1" s="1"/>
  <c r="T97" i="1"/>
  <c r="AG97" i="1" s="1"/>
  <c r="Z98" i="1"/>
  <c r="AM98" i="1" s="1"/>
  <c r="P99" i="1"/>
  <c r="AC99" i="1" s="1"/>
  <c r="V100" i="1"/>
  <c r="AI100" i="1" s="1"/>
  <c r="R102" i="1"/>
  <c r="AE102" i="1" s="1"/>
  <c r="X103" i="1"/>
  <c r="AK103" i="1" s="1"/>
  <c r="T105" i="1"/>
  <c r="AG105" i="1" s="1"/>
  <c r="Z106" i="1"/>
  <c r="AM106" i="1" s="1"/>
  <c r="P107" i="1"/>
  <c r="AC107" i="1" s="1"/>
  <c r="V108" i="1"/>
  <c r="AI108" i="1" s="1"/>
  <c r="R110" i="1"/>
  <c r="AE110" i="1" s="1"/>
  <c r="X111" i="1"/>
  <c r="AK111" i="1" s="1"/>
  <c r="T113" i="1"/>
  <c r="AG113" i="1" s="1"/>
  <c r="Z114" i="1"/>
  <c r="AM114" i="1" s="1"/>
  <c r="P115" i="1"/>
  <c r="AC115" i="1" s="1"/>
  <c r="V116" i="1"/>
  <c r="AI116" i="1" s="1"/>
  <c r="R118" i="1"/>
  <c r="AE118" i="1" s="1"/>
  <c r="X119" i="1"/>
  <c r="AK119" i="1" s="1"/>
  <c r="R11" i="1"/>
  <c r="AE11" i="1" s="1"/>
  <c r="U27" i="1"/>
  <c r="AH27" i="1" s="1"/>
  <c r="Z55" i="1"/>
  <c r="AM55" i="1" s="1"/>
  <c r="T62" i="1"/>
  <c r="AG62" i="1" s="1"/>
  <c r="P72" i="1"/>
  <c r="AC72" i="1" s="1"/>
  <c r="V81" i="1"/>
  <c r="AI81" i="1" s="1"/>
  <c r="T86" i="1"/>
  <c r="AG86" i="1" s="1"/>
  <c r="R91" i="1"/>
  <c r="AE91" i="1" s="1"/>
  <c r="P93" i="1"/>
  <c r="AC93" i="1" s="1"/>
  <c r="Y95" i="1"/>
  <c r="AL95" i="1" s="1"/>
  <c r="O96" i="1"/>
  <c r="AB96" i="1" s="1"/>
  <c r="U97" i="1"/>
  <c r="AH97" i="1" s="1"/>
  <c r="Q99" i="1"/>
  <c r="AD99" i="1" s="1"/>
  <c r="W100" i="1"/>
  <c r="AJ100" i="1" s="1"/>
  <c r="S102" i="1"/>
  <c r="AF102" i="1" s="1"/>
  <c r="Y103" i="1"/>
  <c r="AL103" i="1" s="1"/>
  <c r="O104" i="1"/>
  <c r="AB104" i="1" s="1"/>
  <c r="U105" i="1"/>
  <c r="AH105" i="1" s="1"/>
  <c r="Q107" i="1"/>
  <c r="AD107" i="1" s="1"/>
  <c r="W108" i="1"/>
  <c r="AJ108" i="1" s="1"/>
  <c r="S110" i="1"/>
  <c r="AF110" i="1" s="1"/>
  <c r="Y111" i="1"/>
  <c r="AL111" i="1" s="1"/>
  <c r="O112" i="1"/>
  <c r="AB112" i="1" s="1"/>
  <c r="U113" i="1"/>
  <c r="AH113" i="1" s="1"/>
  <c r="Q115" i="1"/>
  <c r="AD115" i="1" s="1"/>
  <c r="W116" i="1"/>
  <c r="AJ116" i="1" s="1"/>
  <c r="S118" i="1"/>
  <c r="AF118" i="1" s="1"/>
  <c r="Y119" i="1"/>
  <c r="AL119" i="1" s="1"/>
  <c r="O120" i="1"/>
  <c r="AB120" i="1" s="1"/>
  <c r="T11" i="1"/>
  <c r="AG11" i="1" s="1"/>
  <c r="Y51" i="1"/>
  <c r="AL51" i="1" s="1"/>
  <c r="O59" i="1"/>
  <c r="AB59" i="1" s="1"/>
  <c r="X81" i="1"/>
  <c r="AK81" i="1" s="1"/>
  <c r="V86" i="1"/>
  <c r="AI86" i="1" s="1"/>
  <c r="T91" i="1"/>
  <c r="AG91" i="1" s="1"/>
  <c r="Q93" i="1"/>
  <c r="AD93" i="1" s="1"/>
  <c r="Z95" i="1"/>
  <c r="AM95" i="1" s="1"/>
  <c r="P96" i="1"/>
  <c r="AC96" i="1" s="1"/>
  <c r="V97" i="1"/>
  <c r="AI97" i="1" s="1"/>
  <c r="R99" i="1"/>
  <c r="AE99" i="1" s="1"/>
  <c r="X100" i="1"/>
  <c r="AK100" i="1" s="1"/>
  <c r="T102" i="1"/>
  <c r="AG102" i="1" s="1"/>
  <c r="Z103" i="1"/>
  <c r="AM103" i="1" s="1"/>
  <c r="P104" i="1"/>
  <c r="AC104" i="1" s="1"/>
  <c r="V105" i="1"/>
  <c r="AI105" i="1" s="1"/>
  <c r="R107" i="1"/>
  <c r="AE107" i="1" s="1"/>
  <c r="X108" i="1"/>
  <c r="AK108" i="1" s="1"/>
  <c r="T110" i="1"/>
  <c r="AG110" i="1" s="1"/>
  <c r="Z111" i="1"/>
  <c r="AM111" i="1" s="1"/>
  <c r="P112" i="1"/>
  <c r="AC112" i="1" s="1"/>
  <c r="V113" i="1"/>
  <c r="AI113" i="1" s="1"/>
  <c r="R115" i="1"/>
  <c r="AE115" i="1" s="1"/>
  <c r="X116" i="1"/>
  <c r="AK116" i="1" s="1"/>
  <c r="T118" i="1"/>
  <c r="AG118" i="1" s="1"/>
  <c r="Z119" i="1"/>
  <c r="AM119" i="1" s="1"/>
  <c r="P120" i="1"/>
  <c r="AC120" i="1" s="1"/>
  <c r="V121" i="1"/>
  <c r="AI121" i="1" s="1"/>
  <c r="R123" i="1"/>
  <c r="AE123" i="1" s="1"/>
  <c r="X124" i="1"/>
  <c r="AK124" i="1" s="1"/>
  <c r="T126" i="1"/>
  <c r="AG126" i="1" s="1"/>
  <c r="Z127" i="1"/>
  <c r="AM127" i="1" s="1"/>
  <c r="P128" i="1"/>
  <c r="AC128" i="1" s="1"/>
  <c r="V129" i="1"/>
  <c r="AI129" i="1" s="1"/>
  <c r="R131" i="1"/>
  <c r="AE131" i="1" s="1"/>
  <c r="X132" i="1"/>
  <c r="AK132" i="1" s="1"/>
  <c r="T134" i="1"/>
  <c r="AG134" i="1" s="1"/>
  <c r="U11" i="1"/>
  <c r="AH11" i="1" s="1"/>
  <c r="Z51" i="1"/>
  <c r="AM51" i="1" s="1"/>
  <c r="X79" i="1"/>
  <c r="AK79" i="1" s="1"/>
  <c r="V84" i="1"/>
  <c r="AI84" i="1" s="1"/>
  <c r="T89" i="1"/>
  <c r="AG89" i="1" s="1"/>
  <c r="R93" i="1"/>
  <c r="AE93" i="1" s="1"/>
  <c r="Q96" i="1"/>
  <c r="AD96" i="1" s="1"/>
  <c r="W97" i="1"/>
  <c r="AJ97" i="1" s="1"/>
  <c r="S99" i="1"/>
  <c r="AF99" i="1" s="1"/>
  <c r="Y100" i="1"/>
  <c r="AL100" i="1" s="1"/>
  <c r="O101" i="1"/>
  <c r="AB101" i="1" s="1"/>
  <c r="U102" i="1"/>
  <c r="AH102" i="1" s="1"/>
  <c r="Q104" i="1"/>
  <c r="AD104" i="1" s="1"/>
  <c r="W105" i="1"/>
  <c r="AJ105" i="1" s="1"/>
  <c r="S107" i="1"/>
  <c r="AF107" i="1" s="1"/>
  <c r="Y108" i="1"/>
  <c r="AL108" i="1" s="1"/>
  <c r="O109" i="1"/>
  <c r="AB109" i="1" s="1"/>
  <c r="U110" i="1"/>
  <c r="AH110" i="1" s="1"/>
  <c r="Q112" i="1"/>
  <c r="AD112" i="1" s="1"/>
  <c r="W113" i="1"/>
  <c r="AJ113" i="1" s="1"/>
  <c r="S115" i="1"/>
  <c r="AF115" i="1" s="1"/>
  <c r="Y116" i="1"/>
  <c r="AL116" i="1" s="1"/>
  <c r="O117" i="1"/>
  <c r="AB117" i="1" s="1"/>
  <c r="U118" i="1"/>
  <c r="AH118" i="1" s="1"/>
  <c r="Q120" i="1"/>
  <c r="AD120" i="1" s="1"/>
  <c r="W121" i="1"/>
  <c r="AJ121" i="1" s="1"/>
  <c r="S123" i="1"/>
  <c r="AF123" i="1" s="1"/>
  <c r="Y124" i="1"/>
  <c r="AL124" i="1" s="1"/>
  <c r="O125" i="1"/>
  <c r="AB125" i="1" s="1"/>
  <c r="U126" i="1"/>
  <c r="AH126" i="1" s="1"/>
  <c r="Q128" i="1"/>
  <c r="AD128" i="1" s="1"/>
  <c r="W129" i="1"/>
  <c r="AJ129" i="1" s="1"/>
  <c r="S131" i="1"/>
  <c r="AF131" i="1" s="1"/>
  <c r="Y132" i="1"/>
  <c r="AL132" i="1" s="1"/>
  <c r="O133" i="1"/>
  <c r="AB133" i="1" s="1"/>
  <c r="U134" i="1"/>
  <c r="AH134" i="1" s="1"/>
  <c r="V14" i="1"/>
  <c r="AI14" i="1" s="1"/>
  <c r="S56" i="1"/>
  <c r="AF56" i="1" s="1"/>
  <c r="Z66" i="1"/>
  <c r="AM66" i="1" s="1"/>
  <c r="V76" i="1"/>
  <c r="AI76" i="1" s="1"/>
  <c r="Y79" i="1"/>
  <c r="AL79" i="1" s="1"/>
  <c r="W84" i="1"/>
  <c r="AJ84" i="1" s="1"/>
  <c r="U89" i="1"/>
  <c r="AH89" i="1" s="1"/>
  <c r="S93" i="1"/>
  <c r="AF93" i="1" s="1"/>
  <c r="P94" i="1"/>
  <c r="AC94" i="1" s="1"/>
  <c r="R96" i="1"/>
  <c r="AE96" i="1" s="1"/>
  <c r="X97" i="1"/>
  <c r="AK97" i="1" s="1"/>
  <c r="T99" i="1"/>
  <c r="AG99" i="1" s="1"/>
  <c r="Z100" i="1"/>
  <c r="AM100" i="1" s="1"/>
  <c r="P101" i="1"/>
  <c r="AC101" i="1" s="1"/>
  <c r="V102" i="1"/>
  <c r="AI102" i="1" s="1"/>
  <c r="R104" i="1"/>
  <c r="AE104" i="1" s="1"/>
  <c r="X105" i="1"/>
  <c r="AK105" i="1" s="1"/>
  <c r="T107" i="1"/>
  <c r="AG107" i="1" s="1"/>
  <c r="Z108" i="1"/>
  <c r="AM108" i="1" s="1"/>
  <c r="P109" i="1"/>
  <c r="AC109" i="1" s="1"/>
  <c r="V110" i="1"/>
  <c r="AI110" i="1" s="1"/>
  <c r="R112" i="1"/>
  <c r="AE112" i="1" s="1"/>
  <c r="X113" i="1"/>
  <c r="AK113" i="1" s="1"/>
  <c r="T115" i="1"/>
  <c r="AG115" i="1" s="1"/>
  <c r="Z116" i="1"/>
  <c r="AM116" i="1" s="1"/>
  <c r="P117" i="1"/>
  <c r="AC117" i="1" s="1"/>
  <c r="V118" i="1"/>
  <c r="AI118" i="1" s="1"/>
  <c r="R120" i="1"/>
  <c r="AE120" i="1" s="1"/>
  <c r="X121" i="1"/>
  <c r="AK121" i="1" s="1"/>
  <c r="T123" i="1"/>
  <c r="AG123" i="1" s="1"/>
  <c r="Z124" i="1"/>
  <c r="AM124" i="1" s="1"/>
  <c r="P125" i="1"/>
  <c r="AC125" i="1" s="1"/>
  <c r="V126" i="1"/>
  <c r="AI126" i="1" s="1"/>
  <c r="R128" i="1"/>
  <c r="AE128" i="1" s="1"/>
  <c r="X129" i="1"/>
  <c r="AK129" i="1" s="1"/>
  <c r="T131" i="1"/>
  <c r="AG131" i="1" s="1"/>
  <c r="W14" i="1"/>
  <c r="AJ14" i="1" s="1"/>
  <c r="X44" i="1"/>
  <c r="AK44" i="1" s="1"/>
  <c r="Y52" i="1"/>
  <c r="AL52" i="1" s="1"/>
  <c r="T56" i="1"/>
  <c r="AG56" i="1" s="1"/>
  <c r="X63" i="1"/>
  <c r="AK63" i="1" s="1"/>
  <c r="T73" i="1"/>
  <c r="AG73" i="1" s="1"/>
  <c r="W76" i="1"/>
  <c r="AJ76" i="1" s="1"/>
  <c r="Z79" i="1"/>
  <c r="AM79" i="1" s="1"/>
  <c r="X84" i="1"/>
  <c r="AK84" i="1" s="1"/>
  <c r="V89" i="1"/>
  <c r="AI89" i="1" s="1"/>
  <c r="T93" i="1"/>
  <c r="AG93" i="1" s="1"/>
  <c r="R94" i="1"/>
  <c r="AE94" i="1" s="1"/>
  <c r="S96" i="1"/>
  <c r="AF96" i="1" s="1"/>
  <c r="Y97" i="1"/>
  <c r="AL97" i="1" s="1"/>
  <c r="O98" i="1"/>
  <c r="AB98" i="1" s="1"/>
  <c r="U99" i="1"/>
  <c r="AH99" i="1" s="1"/>
  <c r="Q101" i="1"/>
  <c r="AD101" i="1" s="1"/>
  <c r="W102" i="1"/>
  <c r="AJ102" i="1" s="1"/>
  <c r="S104" i="1"/>
  <c r="AF104" i="1" s="1"/>
  <c r="Y105" i="1"/>
  <c r="AL105" i="1" s="1"/>
  <c r="O106" i="1"/>
  <c r="AB106" i="1" s="1"/>
  <c r="U107" i="1"/>
  <c r="AH107" i="1" s="1"/>
  <c r="Q109" i="1"/>
  <c r="AD109" i="1" s="1"/>
  <c r="W110" i="1"/>
  <c r="AJ110" i="1" s="1"/>
  <c r="S112" i="1"/>
  <c r="AF112" i="1" s="1"/>
  <c r="Y113" i="1"/>
  <c r="AL113" i="1" s="1"/>
  <c r="O114" i="1"/>
  <c r="AB114" i="1" s="1"/>
  <c r="U115" i="1"/>
  <c r="AH115" i="1" s="1"/>
  <c r="Q117" i="1"/>
  <c r="AD117" i="1" s="1"/>
  <c r="W118" i="1"/>
  <c r="AJ118" i="1" s="1"/>
  <c r="S120" i="1"/>
  <c r="AF120" i="1" s="1"/>
  <c r="Y121" i="1"/>
  <c r="AL121" i="1" s="1"/>
  <c r="O122" i="1"/>
  <c r="AB122" i="1" s="1"/>
  <c r="U123" i="1"/>
  <c r="AH123" i="1" s="1"/>
  <c r="Q125" i="1"/>
  <c r="AD125" i="1" s="1"/>
  <c r="W126" i="1"/>
  <c r="AJ126" i="1" s="1"/>
  <c r="S128" i="1"/>
  <c r="AF128" i="1" s="1"/>
  <c r="Y129" i="1"/>
  <c r="AL129" i="1" s="1"/>
  <c r="O130" i="1"/>
  <c r="AB130" i="1" s="1"/>
  <c r="U131" i="1"/>
  <c r="AH131" i="1" s="1"/>
  <c r="Z52" i="1"/>
  <c r="AM52" i="1" s="1"/>
  <c r="U56" i="1"/>
  <c r="AH56" i="1" s="1"/>
  <c r="U60" i="1"/>
  <c r="AH60" i="1" s="1"/>
  <c r="Y63" i="1"/>
  <c r="AL63" i="1" s="1"/>
  <c r="R70" i="1"/>
  <c r="AE70" i="1" s="1"/>
  <c r="U73" i="1"/>
  <c r="AH73" i="1" s="1"/>
  <c r="X76" i="1"/>
  <c r="AK76" i="1" s="1"/>
  <c r="Z84" i="1"/>
  <c r="AM84" i="1" s="1"/>
  <c r="X89" i="1"/>
  <c r="AK89" i="1" s="1"/>
  <c r="U93" i="1"/>
  <c r="AH93" i="1" s="1"/>
  <c r="S94" i="1"/>
  <c r="AF94" i="1" s="1"/>
  <c r="T96" i="1"/>
  <c r="AG96" i="1" s="1"/>
  <c r="Z97" i="1"/>
  <c r="AM97" i="1" s="1"/>
  <c r="P98" i="1"/>
  <c r="AC98" i="1" s="1"/>
  <c r="V99" i="1"/>
  <c r="AI99" i="1" s="1"/>
  <c r="R101" i="1"/>
  <c r="AE101" i="1" s="1"/>
  <c r="X102" i="1"/>
  <c r="AK102" i="1" s="1"/>
  <c r="T104" i="1"/>
  <c r="AG104" i="1" s="1"/>
  <c r="Z105" i="1"/>
  <c r="AM105" i="1" s="1"/>
  <c r="P106" i="1"/>
  <c r="AC106" i="1" s="1"/>
  <c r="V107" i="1"/>
  <c r="AI107" i="1" s="1"/>
  <c r="R109" i="1"/>
  <c r="AE109" i="1" s="1"/>
  <c r="X110" i="1"/>
  <c r="AK110" i="1" s="1"/>
  <c r="T112" i="1"/>
  <c r="AG112" i="1" s="1"/>
  <c r="Z113" i="1"/>
  <c r="AM113" i="1" s="1"/>
  <c r="P114" i="1"/>
  <c r="AC114" i="1" s="1"/>
  <c r="V115" i="1"/>
  <c r="AI115" i="1" s="1"/>
  <c r="R117" i="1"/>
  <c r="AE117" i="1" s="1"/>
  <c r="X118" i="1"/>
  <c r="AK118" i="1" s="1"/>
  <c r="T120" i="1"/>
  <c r="AG120" i="1" s="1"/>
  <c r="Z121" i="1"/>
  <c r="AM121" i="1" s="1"/>
  <c r="P122" i="1"/>
  <c r="AC122" i="1" s="1"/>
  <c r="V123" i="1"/>
  <c r="AI123" i="1" s="1"/>
  <c r="R125" i="1"/>
  <c r="AE125" i="1" s="1"/>
  <c r="X126" i="1"/>
  <c r="AK126" i="1" s="1"/>
  <c r="T128" i="1"/>
  <c r="AG128" i="1" s="1"/>
  <c r="T46" i="1"/>
  <c r="AG46" i="1" s="1"/>
  <c r="V60" i="1"/>
  <c r="AI60" i="1" s="1"/>
  <c r="Z63" i="1"/>
  <c r="AM63" i="1" s="1"/>
  <c r="P67" i="1"/>
  <c r="AC67" i="1" s="1"/>
  <c r="S70" i="1"/>
  <c r="AF70" i="1" s="1"/>
  <c r="V73" i="1"/>
  <c r="AI73" i="1" s="1"/>
  <c r="Z82" i="1"/>
  <c r="AM82" i="1" s="1"/>
  <c r="X87" i="1"/>
  <c r="AK87" i="1" s="1"/>
  <c r="V92" i="1"/>
  <c r="AI92" i="1" s="1"/>
  <c r="X93" i="1"/>
  <c r="AK93" i="1" s="1"/>
  <c r="T94" i="1"/>
  <c r="AG94" i="1" s="1"/>
  <c r="U96" i="1"/>
  <c r="AH96" i="1" s="1"/>
  <c r="Q98" i="1"/>
  <c r="AD98" i="1" s="1"/>
  <c r="W99" i="1"/>
  <c r="AJ99" i="1" s="1"/>
  <c r="S101" i="1"/>
  <c r="AF101" i="1" s="1"/>
  <c r="Y102" i="1"/>
  <c r="AL102" i="1" s="1"/>
  <c r="O103" i="1"/>
  <c r="AB103" i="1" s="1"/>
  <c r="U104" i="1"/>
  <c r="AH104" i="1" s="1"/>
  <c r="Q106" i="1"/>
  <c r="AD106" i="1" s="1"/>
  <c r="W107" i="1"/>
  <c r="AJ107" i="1" s="1"/>
  <c r="S109" i="1"/>
  <c r="AF109" i="1" s="1"/>
  <c r="Y110" i="1"/>
  <c r="AL110" i="1" s="1"/>
  <c r="S53" i="1"/>
  <c r="AF53" i="1" s="1"/>
  <c r="O64" i="1"/>
  <c r="AB64" i="1" s="1"/>
  <c r="R67" i="1"/>
  <c r="AE67" i="1" s="1"/>
  <c r="P80" i="1"/>
  <c r="AC80" i="1" s="1"/>
  <c r="Z87" i="1"/>
  <c r="AM87" i="1" s="1"/>
  <c r="X92" i="1"/>
  <c r="AK92" i="1" s="1"/>
  <c r="V94" i="1"/>
  <c r="AI94" i="1" s="1"/>
  <c r="P95" i="1"/>
  <c r="AC95" i="1" s="1"/>
  <c r="W96" i="1"/>
  <c r="AJ96" i="1" s="1"/>
  <c r="S98" i="1"/>
  <c r="AF98" i="1" s="1"/>
  <c r="Y99" i="1"/>
  <c r="AL99" i="1" s="1"/>
  <c r="O100" i="1"/>
  <c r="AB100" i="1" s="1"/>
  <c r="U101" i="1"/>
  <c r="AH101" i="1" s="1"/>
  <c r="Q103" i="1"/>
  <c r="AD103" i="1" s="1"/>
  <c r="W104" i="1"/>
  <c r="AJ104" i="1" s="1"/>
  <c r="S106" i="1"/>
  <c r="AF106" i="1" s="1"/>
  <c r="Y107" i="1"/>
  <c r="AL107" i="1" s="1"/>
  <c r="O108" i="1"/>
  <c r="AB108" i="1" s="1"/>
  <c r="U109" i="1"/>
  <c r="AH109" i="1" s="1"/>
  <c r="T53" i="1"/>
  <c r="AG53" i="1" s="1"/>
  <c r="Y87" i="1"/>
  <c r="AL87" i="1" s="1"/>
  <c r="Q95" i="1"/>
  <c r="AD95" i="1" s="1"/>
  <c r="U98" i="1"/>
  <c r="AH98" i="1" s="1"/>
  <c r="Q108" i="1"/>
  <c r="AD108" i="1" s="1"/>
  <c r="Q111" i="1"/>
  <c r="AD111" i="1" s="1"/>
  <c r="S117" i="1"/>
  <c r="AF117" i="1" s="1"/>
  <c r="P119" i="1"/>
  <c r="AC119" i="1" s="1"/>
  <c r="R122" i="1"/>
  <c r="AE122" i="1" s="1"/>
  <c r="X127" i="1"/>
  <c r="AK127" i="1" s="1"/>
  <c r="X128" i="1"/>
  <c r="AK128" i="1" s="1"/>
  <c r="R129" i="1"/>
  <c r="AE129" i="1" s="1"/>
  <c r="P130" i="1"/>
  <c r="AC130" i="1" s="1"/>
  <c r="V132" i="1"/>
  <c r="AI132" i="1" s="1"/>
  <c r="P133" i="1"/>
  <c r="AC133" i="1" s="1"/>
  <c r="Z134" i="1"/>
  <c r="AM134" i="1" s="1"/>
  <c r="R135" i="1"/>
  <c r="AE135" i="1" s="1"/>
  <c r="X136" i="1"/>
  <c r="AK136" i="1" s="1"/>
  <c r="T138" i="1"/>
  <c r="AG138" i="1" s="1"/>
  <c r="Z139" i="1"/>
  <c r="AM139" i="1" s="1"/>
  <c r="P140" i="1"/>
  <c r="AC140" i="1" s="1"/>
  <c r="V141" i="1"/>
  <c r="AI141" i="1" s="1"/>
  <c r="R143" i="1"/>
  <c r="AE143" i="1" s="1"/>
  <c r="X144" i="1"/>
  <c r="AK144" i="1" s="1"/>
  <c r="T146" i="1"/>
  <c r="AG146" i="1" s="1"/>
  <c r="Z147" i="1"/>
  <c r="AM147" i="1" s="1"/>
  <c r="P148" i="1"/>
  <c r="AC148" i="1" s="1"/>
  <c r="V149" i="1"/>
  <c r="AI149" i="1" s="1"/>
  <c r="R151" i="1"/>
  <c r="AE151" i="1" s="1"/>
  <c r="X152" i="1"/>
  <c r="AK152" i="1" s="1"/>
  <c r="T154" i="1"/>
  <c r="AG154" i="1" s="1"/>
  <c r="Z155" i="1"/>
  <c r="AM155" i="1" s="1"/>
  <c r="P156" i="1"/>
  <c r="AC156" i="1" s="1"/>
  <c r="V157" i="1"/>
  <c r="AI157" i="1" s="1"/>
  <c r="R159" i="1"/>
  <c r="AE159" i="1" s="1"/>
  <c r="X160" i="1"/>
  <c r="AK160" i="1" s="1"/>
  <c r="T162" i="1"/>
  <c r="AG162" i="1" s="1"/>
  <c r="Z163" i="1"/>
  <c r="AM163" i="1" s="1"/>
  <c r="P164" i="1"/>
  <c r="AC164" i="1" s="1"/>
  <c r="S95" i="1"/>
  <c r="AF95" i="1" s="1"/>
  <c r="O105" i="1"/>
  <c r="AB105" i="1" s="1"/>
  <c r="R111" i="1"/>
  <c r="AE111" i="1" s="1"/>
  <c r="O113" i="1"/>
  <c r="AB113" i="1" s="1"/>
  <c r="W115" i="1"/>
  <c r="AJ115" i="1" s="1"/>
  <c r="T117" i="1"/>
  <c r="AG117" i="1" s="1"/>
  <c r="Q119" i="1"/>
  <c r="AD119" i="1" s="1"/>
  <c r="S122" i="1"/>
  <c r="AF122" i="1" s="1"/>
  <c r="Y127" i="1"/>
  <c r="AL127" i="1" s="1"/>
  <c r="Y128" i="1"/>
  <c r="AL128" i="1" s="1"/>
  <c r="S129" i="1"/>
  <c r="AF129" i="1" s="1"/>
  <c r="Q130" i="1"/>
  <c r="AD130" i="1" s="1"/>
  <c r="W132" i="1"/>
  <c r="AJ132" i="1" s="1"/>
  <c r="Q133" i="1"/>
  <c r="AD133" i="1" s="1"/>
  <c r="S135" i="1"/>
  <c r="AF135" i="1" s="1"/>
  <c r="Y136" i="1"/>
  <c r="AL136" i="1" s="1"/>
  <c r="O137" i="1"/>
  <c r="AB137" i="1" s="1"/>
  <c r="U138" i="1"/>
  <c r="AH138" i="1" s="1"/>
  <c r="Q140" i="1"/>
  <c r="AD140" i="1" s="1"/>
  <c r="W141" i="1"/>
  <c r="AJ141" i="1" s="1"/>
  <c r="S143" i="1"/>
  <c r="AF143" i="1" s="1"/>
  <c r="Y144" i="1"/>
  <c r="AL144" i="1" s="1"/>
  <c r="O145" i="1"/>
  <c r="AB145" i="1" s="1"/>
  <c r="U146" i="1"/>
  <c r="AH146" i="1" s="1"/>
  <c r="Q148" i="1"/>
  <c r="AD148" i="1" s="1"/>
  <c r="W149" i="1"/>
  <c r="AJ149" i="1" s="1"/>
  <c r="S151" i="1"/>
  <c r="AF151" i="1" s="1"/>
  <c r="Y152" i="1"/>
  <c r="AL152" i="1" s="1"/>
  <c r="O153" i="1"/>
  <c r="AB153" i="1" s="1"/>
  <c r="U154" i="1"/>
  <c r="AH154" i="1" s="1"/>
  <c r="Q156" i="1"/>
  <c r="AD156" i="1" s="1"/>
  <c r="W157" i="1"/>
  <c r="AJ157" i="1" s="1"/>
  <c r="S159" i="1"/>
  <c r="AF159" i="1" s="1"/>
  <c r="Y160" i="1"/>
  <c r="AL160" i="1" s="1"/>
  <c r="O161" i="1"/>
  <c r="AB161" i="1" s="1"/>
  <c r="S111" i="1"/>
  <c r="AF111" i="1" s="1"/>
  <c r="X115" i="1"/>
  <c r="AK115" i="1" s="1"/>
  <c r="U117" i="1"/>
  <c r="AH117" i="1" s="1"/>
  <c r="R119" i="1"/>
  <c r="AE119" i="1" s="1"/>
  <c r="O121" i="1"/>
  <c r="AB121" i="1" s="1"/>
  <c r="T122" i="1"/>
  <c r="AG122" i="1" s="1"/>
  <c r="O123" i="1"/>
  <c r="AB123" i="1" s="1"/>
  <c r="O124" i="1"/>
  <c r="AB124" i="1" s="1"/>
  <c r="Z128" i="1"/>
  <c r="AM128" i="1" s="1"/>
  <c r="T129" i="1"/>
  <c r="AG129" i="1" s="1"/>
  <c r="R130" i="1"/>
  <c r="AE130" i="1" s="1"/>
  <c r="Z132" i="1"/>
  <c r="AM132" i="1" s="1"/>
  <c r="R133" i="1"/>
  <c r="AE133" i="1" s="1"/>
  <c r="T135" i="1"/>
  <c r="AG135" i="1" s="1"/>
  <c r="Z136" i="1"/>
  <c r="AM136" i="1" s="1"/>
  <c r="P137" i="1"/>
  <c r="AC137" i="1" s="1"/>
  <c r="V138" i="1"/>
  <c r="AI138" i="1" s="1"/>
  <c r="R140" i="1"/>
  <c r="AE140" i="1" s="1"/>
  <c r="X141" i="1"/>
  <c r="AK141" i="1" s="1"/>
  <c r="T143" i="1"/>
  <c r="AG143" i="1" s="1"/>
  <c r="Z144" i="1"/>
  <c r="AM144" i="1" s="1"/>
  <c r="P145" i="1"/>
  <c r="AC145" i="1" s="1"/>
  <c r="V146" i="1"/>
  <c r="AI146" i="1" s="1"/>
  <c r="R148" i="1"/>
  <c r="AE148" i="1" s="1"/>
  <c r="X149" i="1"/>
  <c r="AK149" i="1" s="1"/>
  <c r="T151" i="1"/>
  <c r="AG151" i="1" s="1"/>
  <c r="Z152" i="1"/>
  <c r="AM152" i="1" s="1"/>
  <c r="P153" i="1"/>
  <c r="AC153" i="1" s="1"/>
  <c r="V154" i="1"/>
  <c r="AI154" i="1" s="1"/>
  <c r="R156" i="1"/>
  <c r="AE156" i="1" s="1"/>
  <c r="X157" i="1"/>
  <c r="AK157" i="1" s="1"/>
  <c r="Z74" i="1"/>
  <c r="AM74" i="1" s="1"/>
  <c r="Z102" i="1"/>
  <c r="AM102" i="1" s="1"/>
  <c r="Y115" i="1"/>
  <c r="AL115" i="1" s="1"/>
  <c r="V117" i="1"/>
  <c r="AI117" i="1" s="1"/>
  <c r="S119" i="1"/>
  <c r="AF119" i="1" s="1"/>
  <c r="R121" i="1"/>
  <c r="AE121" i="1" s="1"/>
  <c r="U122" i="1"/>
  <c r="AH122" i="1" s="1"/>
  <c r="P123" i="1"/>
  <c r="AC123" i="1" s="1"/>
  <c r="P124" i="1"/>
  <c r="AC124" i="1" s="1"/>
  <c r="U129" i="1"/>
  <c r="AH129" i="1" s="1"/>
  <c r="S130" i="1"/>
  <c r="AF130" i="1" s="1"/>
  <c r="S133" i="1"/>
  <c r="AF133" i="1" s="1"/>
  <c r="U135" i="1"/>
  <c r="AH135" i="1" s="1"/>
  <c r="Q137" i="1"/>
  <c r="AD137" i="1" s="1"/>
  <c r="W138" i="1"/>
  <c r="AJ138" i="1" s="1"/>
  <c r="S140" i="1"/>
  <c r="AF140" i="1" s="1"/>
  <c r="Y141" i="1"/>
  <c r="AL141" i="1" s="1"/>
  <c r="O142" i="1"/>
  <c r="AB142" i="1" s="1"/>
  <c r="U143" i="1"/>
  <c r="AH143" i="1" s="1"/>
  <c r="Q145" i="1"/>
  <c r="AD145" i="1" s="1"/>
  <c r="W146" i="1"/>
  <c r="AJ146" i="1" s="1"/>
  <c r="S148" i="1"/>
  <c r="AF148" i="1" s="1"/>
  <c r="Y149" i="1"/>
  <c r="AL149" i="1" s="1"/>
  <c r="O150" i="1"/>
  <c r="AB150" i="1" s="1"/>
  <c r="U151" i="1"/>
  <c r="AH151" i="1" s="1"/>
  <c r="Q153" i="1"/>
  <c r="AD153" i="1" s="1"/>
  <c r="W154" i="1"/>
  <c r="AJ154" i="1" s="1"/>
  <c r="S156" i="1"/>
  <c r="AF156" i="1" s="1"/>
  <c r="Y157" i="1"/>
  <c r="AL157" i="1" s="1"/>
  <c r="O158" i="1"/>
  <c r="AB158" i="1" s="1"/>
  <c r="U159" i="1"/>
  <c r="AH159" i="1" s="1"/>
  <c r="Q161" i="1"/>
  <c r="AD161" i="1" s="1"/>
  <c r="W162" i="1"/>
  <c r="AJ162" i="1" s="1"/>
  <c r="X99" i="1"/>
  <c r="AK99" i="1" s="1"/>
  <c r="T109" i="1"/>
  <c r="AG109" i="1" s="1"/>
  <c r="Z115" i="1"/>
  <c r="AM115" i="1" s="1"/>
  <c r="W117" i="1"/>
  <c r="AJ117" i="1" s="1"/>
  <c r="T121" i="1"/>
  <c r="AG121" i="1" s="1"/>
  <c r="V122" i="1"/>
  <c r="AI122" i="1" s="1"/>
  <c r="Q123" i="1"/>
  <c r="AD123" i="1" s="1"/>
  <c r="Q124" i="1"/>
  <c r="AD124" i="1" s="1"/>
  <c r="Z129" i="1"/>
  <c r="AM129" i="1" s="1"/>
  <c r="T130" i="1"/>
  <c r="AG130" i="1" s="1"/>
  <c r="T133" i="1"/>
  <c r="AG133" i="1" s="1"/>
  <c r="V135" i="1"/>
  <c r="AI135" i="1" s="1"/>
  <c r="R137" i="1"/>
  <c r="AE137" i="1" s="1"/>
  <c r="X138" i="1"/>
  <c r="AK138" i="1" s="1"/>
  <c r="T140" i="1"/>
  <c r="AG140" i="1" s="1"/>
  <c r="Z141" i="1"/>
  <c r="AM141" i="1" s="1"/>
  <c r="P142" i="1"/>
  <c r="AC142" i="1" s="1"/>
  <c r="V143" i="1"/>
  <c r="AI143" i="1" s="1"/>
  <c r="R145" i="1"/>
  <c r="AE145" i="1" s="1"/>
  <c r="X146" i="1"/>
  <c r="AK146" i="1" s="1"/>
  <c r="T148" i="1"/>
  <c r="AG148" i="1" s="1"/>
  <c r="Z149" i="1"/>
  <c r="AM149" i="1" s="1"/>
  <c r="P150" i="1"/>
  <c r="AC150" i="1" s="1"/>
  <c r="V151" i="1"/>
  <c r="AI151" i="1" s="1"/>
  <c r="R153" i="1"/>
  <c r="AE153" i="1" s="1"/>
  <c r="X154" i="1"/>
  <c r="AK154" i="1" s="1"/>
  <c r="T156" i="1"/>
  <c r="AG156" i="1" s="1"/>
  <c r="Z157" i="1"/>
  <c r="AM157" i="1" s="1"/>
  <c r="P158" i="1"/>
  <c r="AC158" i="1" s="1"/>
  <c r="V159" i="1"/>
  <c r="AI159" i="1" s="1"/>
  <c r="R161" i="1"/>
  <c r="AE161" i="1" s="1"/>
  <c r="W60" i="1"/>
  <c r="AJ60" i="1" s="1"/>
  <c r="Z90" i="1"/>
  <c r="AM90" i="1" s="1"/>
  <c r="V96" i="1"/>
  <c r="AI96" i="1" s="1"/>
  <c r="Z99" i="1"/>
  <c r="AM99" i="1" s="1"/>
  <c r="R106" i="1"/>
  <c r="AE106" i="1" s="1"/>
  <c r="V109" i="1"/>
  <c r="AI109" i="1" s="1"/>
  <c r="U121" i="1"/>
  <c r="AH121" i="1" s="1"/>
  <c r="W122" i="1"/>
  <c r="AJ122" i="1" s="1"/>
  <c r="W123" i="1"/>
  <c r="AJ123" i="1" s="1"/>
  <c r="R124" i="1"/>
  <c r="AE124" i="1" s="1"/>
  <c r="U130" i="1"/>
  <c r="AH130" i="1" s="1"/>
  <c r="O131" i="1"/>
  <c r="AB131" i="1" s="1"/>
  <c r="U133" i="1"/>
  <c r="AH133" i="1" s="1"/>
  <c r="W135" i="1"/>
  <c r="AJ135" i="1" s="1"/>
  <c r="S137" i="1"/>
  <c r="AF137" i="1" s="1"/>
  <c r="Y138" i="1"/>
  <c r="AL138" i="1" s="1"/>
  <c r="O139" i="1"/>
  <c r="AB139" i="1" s="1"/>
  <c r="U140" i="1"/>
  <c r="AH140" i="1" s="1"/>
  <c r="Q142" i="1"/>
  <c r="AD142" i="1" s="1"/>
  <c r="W143" i="1"/>
  <c r="AJ143" i="1" s="1"/>
  <c r="S145" i="1"/>
  <c r="AF145" i="1" s="1"/>
  <c r="Y146" i="1"/>
  <c r="AL146" i="1" s="1"/>
  <c r="O147" i="1"/>
  <c r="AB147" i="1" s="1"/>
  <c r="U148" i="1"/>
  <c r="AH148" i="1" s="1"/>
  <c r="Q150" i="1"/>
  <c r="AD150" i="1" s="1"/>
  <c r="W151" i="1"/>
  <c r="AJ151" i="1" s="1"/>
  <c r="S153" i="1"/>
  <c r="AF153" i="1" s="1"/>
  <c r="Y154" i="1"/>
  <c r="AL154" i="1" s="1"/>
  <c r="O155" i="1"/>
  <c r="AB155" i="1" s="1"/>
  <c r="U156" i="1"/>
  <c r="AH156" i="1" s="1"/>
  <c r="Q158" i="1"/>
  <c r="AD158" i="1" s="1"/>
  <c r="W159" i="1"/>
  <c r="AJ159" i="1" s="1"/>
  <c r="S161" i="1"/>
  <c r="AF161" i="1" s="1"/>
  <c r="Y162" i="1"/>
  <c r="AL162" i="1" s="1"/>
  <c r="O163" i="1"/>
  <c r="AB163" i="1" s="1"/>
  <c r="U164" i="1"/>
  <c r="AH164" i="1" s="1"/>
  <c r="Y17" i="1"/>
  <c r="AL17" i="1" s="1"/>
  <c r="W92" i="1"/>
  <c r="AJ92" i="1" s="1"/>
  <c r="X96" i="1"/>
  <c r="AK96" i="1" s="1"/>
  <c r="P103" i="1"/>
  <c r="AC103" i="1" s="1"/>
  <c r="T106" i="1"/>
  <c r="AG106" i="1" s="1"/>
  <c r="W109" i="1"/>
  <c r="AJ109" i="1" s="1"/>
  <c r="X122" i="1"/>
  <c r="AK122" i="1" s="1"/>
  <c r="X123" i="1"/>
  <c r="AK123" i="1" s="1"/>
  <c r="S124" i="1"/>
  <c r="AF124" i="1" s="1"/>
  <c r="S125" i="1"/>
  <c r="AF125" i="1" s="1"/>
  <c r="V130" i="1"/>
  <c r="AI130" i="1" s="1"/>
  <c r="P131" i="1"/>
  <c r="AC131" i="1" s="1"/>
  <c r="V133" i="1"/>
  <c r="AI133" i="1" s="1"/>
  <c r="X135" i="1"/>
  <c r="AK135" i="1" s="1"/>
  <c r="T137" i="1"/>
  <c r="AG137" i="1" s="1"/>
  <c r="Z138" i="1"/>
  <c r="AM138" i="1" s="1"/>
  <c r="P139" i="1"/>
  <c r="AC139" i="1" s="1"/>
  <c r="V140" i="1"/>
  <c r="AI140" i="1" s="1"/>
  <c r="R142" i="1"/>
  <c r="AE142" i="1" s="1"/>
  <c r="X143" i="1"/>
  <c r="AK143" i="1" s="1"/>
  <c r="T145" i="1"/>
  <c r="AG145" i="1" s="1"/>
  <c r="Z146" i="1"/>
  <c r="AM146" i="1" s="1"/>
  <c r="P147" i="1"/>
  <c r="AC147" i="1" s="1"/>
  <c r="V148" i="1"/>
  <c r="AI148" i="1" s="1"/>
  <c r="R150" i="1"/>
  <c r="AE150" i="1" s="1"/>
  <c r="X151" i="1"/>
  <c r="AK151" i="1" s="1"/>
  <c r="T153" i="1"/>
  <c r="AG153" i="1" s="1"/>
  <c r="Z154" i="1"/>
  <c r="AM154" i="1" s="1"/>
  <c r="P155" i="1"/>
  <c r="AC155" i="1" s="1"/>
  <c r="V156" i="1"/>
  <c r="AI156" i="1" s="1"/>
  <c r="R158" i="1"/>
  <c r="AE158" i="1" s="1"/>
  <c r="X159" i="1"/>
  <c r="AK159" i="1" s="1"/>
  <c r="T161" i="1"/>
  <c r="AG161" i="1" s="1"/>
  <c r="Z162" i="1"/>
  <c r="AM162" i="1" s="1"/>
  <c r="P163" i="1"/>
  <c r="AC163" i="1" s="1"/>
  <c r="O80" i="1"/>
  <c r="AB80" i="1" s="1"/>
  <c r="Z92" i="1"/>
  <c r="AM92" i="1" s="1"/>
  <c r="Y96" i="1"/>
  <c r="AL96" i="1" s="1"/>
  <c r="R103" i="1"/>
  <c r="AE103" i="1" s="1"/>
  <c r="U106" i="1"/>
  <c r="AH106" i="1" s="1"/>
  <c r="Q114" i="1"/>
  <c r="AD114" i="1" s="1"/>
  <c r="Y122" i="1"/>
  <c r="AL122" i="1" s="1"/>
  <c r="Y123" i="1"/>
  <c r="AL123" i="1" s="1"/>
  <c r="T124" i="1"/>
  <c r="AG124" i="1" s="1"/>
  <c r="T125" i="1"/>
  <c r="AG125" i="1" s="1"/>
  <c r="O126" i="1"/>
  <c r="AB126" i="1" s="1"/>
  <c r="O127" i="1"/>
  <c r="AB127" i="1" s="1"/>
  <c r="W130" i="1"/>
  <c r="AJ130" i="1" s="1"/>
  <c r="Q131" i="1"/>
  <c r="AD131" i="1" s="1"/>
  <c r="W133" i="1"/>
  <c r="AJ133" i="1" s="1"/>
  <c r="O134" i="1"/>
  <c r="AB134" i="1" s="1"/>
  <c r="Y135" i="1"/>
  <c r="AL135" i="1" s="1"/>
  <c r="O136" i="1"/>
  <c r="AB136" i="1" s="1"/>
  <c r="U137" i="1"/>
  <c r="AH137" i="1" s="1"/>
  <c r="Q139" i="1"/>
  <c r="AD139" i="1" s="1"/>
  <c r="W140" i="1"/>
  <c r="AJ140" i="1" s="1"/>
  <c r="S142" i="1"/>
  <c r="AF142" i="1" s="1"/>
  <c r="Y143" i="1"/>
  <c r="AL143" i="1" s="1"/>
  <c r="O144" i="1"/>
  <c r="AB144" i="1" s="1"/>
  <c r="U145" i="1"/>
  <c r="AH145" i="1" s="1"/>
  <c r="Q147" i="1"/>
  <c r="AD147" i="1" s="1"/>
  <c r="W148" i="1"/>
  <c r="AJ148" i="1" s="1"/>
  <c r="S150" i="1"/>
  <c r="AF150" i="1" s="1"/>
  <c r="Y151" i="1"/>
  <c r="AL151" i="1" s="1"/>
  <c r="O152" i="1"/>
  <c r="AB152" i="1" s="1"/>
  <c r="U153" i="1"/>
  <c r="AH153" i="1" s="1"/>
  <c r="Q155" i="1"/>
  <c r="AD155" i="1" s="1"/>
  <c r="W156" i="1"/>
  <c r="AJ156" i="1" s="1"/>
  <c r="S158" i="1"/>
  <c r="AF158" i="1" s="1"/>
  <c r="Y159" i="1"/>
  <c r="AL159" i="1" s="1"/>
  <c r="O160" i="1"/>
  <c r="AB160" i="1" s="1"/>
  <c r="U161" i="1"/>
  <c r="AH161" i="1" s="1"/>
  <c r="Q163" i="1"/>
  <c r="AD163" i="1" s="1"/>
  <c r="W164" i="1"/>
  <c r="AJ164" i="1" s="1"/>
  <c r="S166" i="1"/>
  <c r="AF166" i="1" s="1"/>
  <c r="Y167" i="1"/>
  <c r="AL167" i="1" s="1"/>
  <c r="O168" i="1"/>
  <c r="AB168" i="1" s="1"/>
  <c r="R80" i="1"/>
  <c r="AE80" i="1" s="1"/>
  <c r="P100" i="1"/>
  <c r="AC100" i="1" s="1"/>
  <c r="S103" i="1"/>
  <c r="AF103" i="1" s="1"/>
  <c r="U112" i="1"/>
  <c r="AH112" i="1" s="1"/>
  <c r="R114" i="1"/>
  <c r="AE114" i="1" s="1"/>
  <c r="O116" i="1"/>
  <c r="AB116" i="1" s="1"/>
  <c r="Z122" i="1"/>
  <c r="AM122" i="1" s="1"/>
  <c r="Z123" i="1"/>
  <c r="AM123" i="1" s="1"/>
  <c r="U124" i="1"/>
  <c r="AH124" i="1" s="1"/>
  <c r="U125" i="1"/>
  <c r="AH125" i="1" s="1"/>
  <c r="P126" i="1"/>
  <c r="AC126" i="1" s="1"/>
  <c r="P127" i="1"/>
  <c r="AC127" i="1" s="1"/>
  <c r="X130" i="1"/>
  <c r="AK130" i="1" s="1"/>
  <c r="V131" i="1"/>
  <c r="AI131" i="1" s="1"/>
  <c r="X133" i="1"/>
  <c r="AK133" i="1" s="1"/>
  <c r="P134" i="1"/>
  <c r="AC134" i="1" s="1"/>
  <c r="Z135" i="1"/>
  <c r="AM135" i="1" s="1"/>
  <c r="P136" i="1"/>
  <c r="AC136" i="1" s="1"/>
  <c r="V137" i="1"/>
  <c r="AI137" i="1" s="1"/>
  <c r="R139" i="1"/>
  <c r="AE139" i="1" s="1"/>
  <c r="X140" i="1"/>
  <c r="AK140" i="1" s="1"/>
  <c r="T142" i="1"/>
  <c r="AG142" i="1" s="1"/>
  <c r="Z143" i="1"/>
  <c r="AM143" i="1" s="1"/>
  <c r="P144" i="1"/>
  <c r="AC144" i="1" s="1"/>
  <c r="V145" i="1"/>
  <c r="AI145" i="1" s="1"/>
  <c r="R147" i="1"/>
  <c r="AE147" i="1" s="1"/>
  <c r="X148" i="1"/>
  <c r="AK148" i="1" s="1"/>
  <c r="T150" i="1"/>
  <c r="AG150" i="1" s="1"/>
  <c r="Z151" i="1"/>
  <c r="AM151" i="1" s="1"/>
  <c r="P152" i="1"/>
  <c r="AC152" i="1" s="1"/>
  <c r="V153" i="1"/>
  <c r="AI153" i="1" s="1"/>
  <c r="R155" i="1"/>
  <c r="AE155" i="1" s="1"/>
  <c r="X156" i="1"/>
  <c r="AK156" i="1" s="1"/>
  <c r="T158" i="1"/>
  <c r="AG158" i="1" s="1"/>
  <c r="Z159" i="1"/>
  <c r="AM159" i="1" s="1"/>
  <c r="P160" i="1"/>
  <c r="AC160" i="1" s="1"/>
  <c r="V161" i="1"/>
  <c r="AI161" i="1" s="1"/>
  <c r="R163" i="1"/>
  <c r="AE163" i="1" s="1"/>
  <c r="X164" i="1"/>
  <c r="AK164" i="1" s="1"/>
  <c r="T166" i="1"/>
  <c r="AG166" i="1" s="1"/>
  <c r="Z167" i="1"/>
  <c r="AM167" i="1" s="1"/>
  <c r="P168" i="1"/>
  <c r="AC168" i="1" s="1"/>
  <c r="O34" i="1"/>
  <c r="AB34" i="1" s="1"/>
  <c r="P64" i="1"/>
  <c r="AC64" i="1" s="1"/>
  <c r="Z93" i="1"/>
  <c r="AM93" i="1" s="1"/>
  <c r="Q100" i="1"/>
  <c r="AD100" i="1" s="1"/>
  <c r="V112" i="1"/>
  <c r="AI112" i="1" s="1"/>
  <c r="S114" i="1"/>
  <c r="AF114" i="1" s="1"/>
  <c r="P116" i="1"/>
  <c r="AC116" i="1" s="1"/>
  <c r="U120" i="1"/>
  <c r="AH120" i="1" s="1"/>
  <c r="V124" i="1"/>
  <c r="AI124" i="1" s="1"/>
  <c r="V125" i="1"/>
  <c r="AI125" i="1" s="1"/>
  <c r="Q126" i="1"/>
  <c r="AD126" i="1" s="1"/>
  <c r="Q127" i="1"/>
  <c r="AD127" i="1" s="1"/>
  <c r="Y130" i="1"/>
  <c r="AL130" i="1" s="1"/>
  <c r="W131" i="1"/>
  <c r="AJ131" i="1" s="1"/>
  <c r="O132" i="1"/>
  <c r="AB132" i="1" s="1"/>
  <c r="Y133" i="1"/>
  <c r="AL133" i="1" s="1"/>
  <c r="Q134" i="1"/>
  <c r="AD134" i="1" s="1"/>
  <c r="Q136" i="1"/>
  <c r="AD136" i="1" s="1"/>
  <c r="W137" i="1"/>
  <c r="AJ137" i="1" s="1"/>
  <c r="S139" i="1"/>
  <c r="AF139" i="1" s="1"/>
  <c r="Y140" i="1"/>
  <c r="AL140" i="1" s="1"/>
  <c r="O141" i="1"/>
  <c r="AB141" i="1" s="1"/>
  <c r="U142" i="1"/>
  <c r="AH142" i="1" s="1"/>
  <c r="Q144" i="1"/>
  <c r="AD144" i="1" s="1"/>
  <c r="W145" i="1"/>
  <c r="AJ145" i="1" s="1"/>
  <c r="S147" i="1"/>
  <c r="AF147" i="1" s="1"/>
  <c r="Y148" i="1"/>
  <c r="AL148" i="1" s="1"/>
  <c r="O149" i="1"/>
  <c r="AB149" i="1" s="1"/>
  <c r="U150" i="1"/>
  <c r="AH150" i="1" s="1"/>
  <c r="Q152" i="1"/>
  <c r="AD152" i="1" s="1"/>
  <c r="W153" i="1"/>
  <c r="AJ153" i="1" s="1"/>
  <c r="S155" i="1"/>
  <c r="AF155" i="1" s="1"/>
  <c r="Y156" i="1"/>
  <c r="AL156" i="1" s="1"/>
  <c r="O157" i="1"/>
  <c r="AB157" i="1" s="1"/>
  <c r="U158" i="1"/>
  <c r="AH158" i="1" s="1"/>
  <c r="Q160" i="1"/>
  <c r="AD160" i="1" s="1"/>
  <c r="W161" i="1"/>
  <c r="AJ161" i="1" s="1"/>
  <c r="S163" i="1"/>
  <c r="AF163" i="1" s="1"/>
  <c r="Y164" i="1"/>
  <c r="AL164" i="1" s="1"/>
  <c r="O165" i="1"/>
  <c r="AB165" i="1" s="1"/>
  <c r="O97" i="1"/>
  <c r="AB97" i="1" s="1"/>
  <c r="Z110" i="1"/>
  <c r="AM110" i="1" s="1"/>
  <c r="W112" i="1"/>
  <c r="AJ112" i="1" s="1"/>
  <c r="T114" i="1"/>
  <c r="AG114" i="1" s="1"/>
  <c r="Q116" i="1"/>
  <c r="AD116" i="1" s="1"/>
  <c r="Y118" i="1"/>
  <c r="AL118" i="1" s="1"/>
  <c r="V120" i="1"/>
  <c r="AI120" i="1" s="1"/>
  <c r="W124" i="1"/>
  <c r="AJ124" i="1" s="1"/>
  <c r="W125" i="1"/>
  <c r="AJ125" i="1" s="1"/>
  <c r="R126" i="1"/>
  <c r="AE126" i="1" s="1"/>
  <c r="R127" i="1"/>
  <c r="AE127" i="1" s="1"/>
  <c r="Z130" i="1"/>
  <c r="AM130" i="1" s="1"/>
  <c r="X131" i="1"/>
  <c r="AK131" i="1" s="1"/>
  <c r="P132" i="1"/>
  <c r="AC132" i="1" s="1"/>
  <c r="Z133" i="1"/>
  <c r="AM133" i="1" s="1"/>
  <c r="R134" i="1"/>
  <c r="AE134" i="1" s="1"/>
  <c r="R136" i="1"/>
  <c r="AE136" i="1" s="1"/>
  <c r="X137" i="1"/>
  <c r="AK137" i="1" s="1"/>
  <c r="T139" i="1"/>
  <c r="AG139" i="1" s="1"/>
  <c r="Z140" i="1"/>
  <c r="AM140" i="1" s="1"/>
  <c r="P141" i="1"/>
  <c r="AC141" i="1" s="1"/>
  <c r="V142" i="1"/>
  <c r="AI142" i="1" s="1"/>
  <c r="R144" i="1"/>
  <c r="AE144" i="1" s="1"/>
  <c r="X145" i="1"/>
  <c r="AK145" i="1" s="1"/>
  <c r="T147" i="1"/>
  <c r="AG147" i="1" s="1"/>
  <c r="Z148" i="1"/>
  <c r="AM148" i="1" s="1"/>
  <c r="P149" i="1"/>
  <c r="AC149" i="1" s="1"/>
  <c r="V150" i="1"/>
  <c r="AI150" i="1" s="1"/>
  <c r="R152" i="1"/>
  <c r="AE152" i="1" s="1"/>
  <c r="X153" i="1"/>
  <c r="AK153" i="1" s="1"/>
  <c r="T155" i="1"/>
  <c r="AG155" i="1" s="1"/>
  <c r="Z156" i="1"/>
  <c r="AM156" i="1" s="1"/>
  <c r="P157" i="1"/>
  <c r="AC157" i="1" s="1"/>
  <c r="V158" i="1"/>
  <c r="AI158" i="1" s="1"/>
  <c r="R160" i="1"/>
  <c r="AE160" i="1" s="1"/>
  <c r="X161" i="1"/>
  <c r="AK161" i="1" s="1"/>
  <c r="T163" i="1"/>
  <c r="AG163" i="1" s="1"/>
  <c r="Z164" i="1"/>
  <c r="AM164" i="1" s="1"/>
  <c r="P165" i="1"/>
  <c r="AC165" i="1" s="1"/>
  <c r="V166" i="1"/>
  <c r="AI166" i="1" s="1"/>
  <c r="P48" i="1"/>
  <c r="AC48" i="1" s="1"/>
  <c r="W94" i="1"/>
  <c r="AJ94" i="1" s="1"/>
  <c r="T101" i="1"/>
  <c r="AG101" i="1" s="1"/>
  <c r="X104" i="1"/>
  <c r="AK104" i="1" s="1"/>
  <c r="Y120" i="1"/>
  <c r="AL120" i="1" s="1"/>
  <c r="Z125" i="1"/>
  <c r="AM125" i="1" s="1"/>
  <c r="Z126" i="1"/>
  <c r="AM126" i="1" s="1"/>
  <c r="U127" i="1"/>
  <c r="AH127" i="1" s="1"/>
  <c r="U128" i="1"/>
  <c r="AH128" i="1" s="1"/>
  <c r="O129" i="1"/>
  <c r="AB129" i="1" s="1"/>
  <c r="S132" i="1"/>
  <c r="AF132" i="1" s="1"/>
  <c r="W134" i="1"/>
  <c r="AJ134" i="1" s="1"/>
  <c r="O135" i="1"/>
  <c r="AB135" i="1" s="1"/>
  <c r="U136" i="1"/>
  <c r="AH136" i="1" s="1"/>
  <c r="Q138" i="1"/>
  <c r="AD138" i="1" s="1"/>
  <c r="W139" i="1"/>
  <c r="AJ139" i="1" s="1"/>
  <c r="S141" i="1"/>
  <c r="AF141" i="1" s="1"/>
  <c r="Y142" i="1"/>
  <c r="AL142" i="1" s="1"/>
  <c r="O143" i="1"/>
  <c r="AB143" i="1" s="1"/>
  <c r="U144" i="1"/>
  <c r="AH144" i="1" s="1"/>
  <c r="Q146" i="1"/>
  <c r="AD146" i="1" s="1"/>
  <c r="W147" i="1"/>
  <c r="AJ147" i="1" s="1"/>
  <c r="S149" i="1"/>
  <c r="AF149" i="1" s="1"/>
  <c r="Y150" i="1"/>
  <c r="AL150" i="1" s="1"/>
  <c r="P83" i="1"/>
  <c r="AC83" i="1" s="1"/>
  <c r="V104" i="1"/>
  <c r="AI104" i="1" s="1"/>
  <c r="Y125" i="1"/>
  <c r="AL125" i="1" s="1"/>
  <c r="R132" i="1"/>
  <c r="AE132" i="1" s="1"/>
  <c r="Z137" i="1"/>
  <c r="AM137" i="1" s="1"/>
  <c r="X142" i="1"/>
  <c r="AK142" i="1" s="1"/>
  <c r="V147" i="1"/>
  <c r="AI147" i="1" s="1"/>
  <c r="O154" i="1"/>
  <c r="AB154" i="1" s="1"/>
  <c r="Y161" i="1"/>
  <c r="AL161" i="1" s="1"/>
  <c r="Y166" i="1"/>
  <c r="AL166" i="1" s="1"/>
  <c r="Q167" i="1"/>
  <c r="AD167" i="1" s="1"/>
  <c r="Q169" i="1"/>
  <c r="AD169" i="1" s="1"/>
  <c r="W170" i="1"/>
  <c r="AJ170" i="1" s="1"/>
  <c r="S172" i="1"/>
  <c r="AF172" i="1" s="1"/>
  <c r="Y173" i="1"/>
  <c r="AL173" i="1" s="1"/>
  <c r="O174" i="1"/>
  <c r="AB174" i="1" s="1"/>
  <c r="U175" i="1"/>
  <c r="AH175" i="1" s="1"/>
  <c r="Q177" i="1"/>
  <c r="AD177" i="1" s="1"/>
  <c r="W178" i="1"/>
  <c r="AJ178" i="1" s="1"/>
  <c r="S180" i="1"/>
  <c r="AF180" i="1" s="1"/>
  <c r="Y181" i="1"/>
  <c r="AL181" i="1" s="1"/>
  <c r="O182" i="1"/>
  <c r="AB182" i="1" s="1"/>
  <c r="U183" i="1"/>
  <c r="AH183" i="1" s="1"/>
  <c r="Q185" i="1"/>
  <c r="AD185" i="1" s="1"/>
  <c r="W186" i="1"/>
  <c r="AJ186" i="1" s="1"/>
  <c r="S188" i="1"/>
  <c r="AF188" i="1" s="1"/>
  <c r="Y189" i="1"/>
  <c r="AL189" i="1" s="1"/>
  <c r="O190" i="1"/>
  <c r="AB190" i="1" s="1"/>
  <c r="U191" i="1"/>
  <c r="AH191" i="1" s="1"/>
  <c r="Q193" i="1"/>
  <c r="AD193" i="1" s="1"/>
  <c r="W194" i="1"/>
  <c r="AJ194" i="1" s="1"/>
  <c r="S196" i="1"/>
  <c r="AF196" i="1" s="1"/>
  <c r="Y197" i="1"/>
  <c r="AL197" i="1" s="1"/>
  <c r="O198" i="1"/>
  <c r="AB198" i="1" s="1"/>
  <c r="U199" i="1"/>
  <c r="AH199" i="1" s="1"/>
  <c r="Q201" i="1"/>
  <c r="AD201" i="1" s="1"/>
  <c r="P85" i="1"/>
  <c r="AC85" i="1" s="1"/>
  <c r="Y104" i="1"/>
  <c r="AL104" i="1" s="1"/>
  <c r="P129" i="1"/>
  <c r="AC129" i="1" s="1"/>
  <c r="T132" i="1"/>
  <c r="AG132" i="1" s="1"/>
  <c r="P135" i="1"/>
  <c r="AC135" i="1" s="1"/>
  <c r="Z142" i="1"/>
  <c r="AM142" i="1" s="1"/>
  <c r="X147" i="1"/>
  <c r="AK147" i="1" s="1"/>
  <c r="S152" i="1"/>
  <c r="AF152" i="1" s="1"/>
  <c r="P154" i="1"/>
  <c r="AC154" i="1" s="1"/>
  <c r="Z161" i="1"/>
  <c r="AM161" i="1" s="1"/>
  <c r="Z166" i="1"/>
  <c r="AM166" i="1" s="1"/>
  <c r="R167" i="1"/>
  <c r="AE167" i="1" s="1"/>
  <c r="R169" i="1"/>
  <c r="AE169" i="1" s="1"/>
  <c r="X170" i="1"/>
  <c r="AK170" i="1" s="1"/>
  <c r="T172" i="1"/>
  <c r="AG172" i="1" s="1"/>
  <c r="Z173" i="1"/>
  <c r="AM173" i="1" s="1"/>
  <c r="P174" i="1"/>
  <c r="AC174" i="1" s="1"/>
  <c r="V175" i="1"/>
  <c r="AI175" i="1" s="1"/>
  <c r="R177" i="1"/>
  <c r="AE177" i="1" s="1"/>
  <c r="X178" i="1"/>
  <c r="AK178" i="1" s="1"/>
  <c r="T180" i="1"/>
  <c r="AG180" i="1" s="1"/>
  <c r="Z181" i="1"/>
  <c r="AM181" i="1" s="1"/>
  <c r="P182" i="1"/>
  <c r="AC182" i="1" s="1"/>
  <c r="V183" i="1"/>
  <c r="AI183" i="1" s="1"/>
  <c r="R185" i="1"/>
  <c r="AE185" i="1" s="1"/>
  <c r="X186" i="1"/>
  <c r="AK186" i="1" s="1"/>
  <c r="T188" i="1"/>
  <c r="AG188" i="1" s="1"/>
  <c r="Z189" i="1"/>
  <c r="AM189" i="1" s="1"/>
  <c r="P190" i="1"/>
  <c r="AC190" i="1" s="1"/>
  <c r="V191" i="1"/>
  <c r="AI191" i="1" s="1"/>
  <c r="R193" i="1"/>
  <c r="AE193" i="1" s="1"/>
  <c r="X194" i="1"/>
  <c r="AK194" i="1" s="1"/>
  <c r="T196" i="1"/>
  <c r="AG196" i="1" s="1"/>
  <c r="Z197" i="1"/>
  <c r="AM197" i="1" s="1"/>
  <c r="P198" i="1"/>
  <c r="AC198" i="1" s="1"/>
  <c r="V199" i="1"/>
  <c r="AI199" i="1" s="1"/>
  <c r="R201" i="1"/>
  <c r="AE201" i="1" s="1"/>
  <c r="Q122" i="1"/>
  <c r="AD122" i="1" s="1"/>
  <c r="Q129" i="1"/>
  <c r="AD129" i="1" s="1"/>
  <c r="U132" i="1"/>
  <c r="AH132" i="1" s="1"/>
  <c r="Q135" i="1"/>
  <c r="AD135" i="1" s="1"/>
  <c r="O140" i="1"/>
  <c r="AB140" i="1" s="1"/>
  <c r="Y147" i="1"/>
  <c r="AL147" i="1" s="1"/>
  <c r="T152" i="1"/>
  <c r="AG152" i="1" s="1"/>
  <c r="Q154" i="1"/>
  <c r="AD154" i="1" s="1"/>
  <c r="S167" i="1"/>
  <c r="AF167" i="1" s="1"/>
  <c r="S169" i="1"/>
  <c r="AF169" i="1" s="1"/>
  <c r="Y170" i="1"/>
  <c r="AL170" i="1" s="1"/>
  <c r="O171" i="1"/>
  <c r="AB171" i="1" s="1"/>
  <c r="U172" i="1"/>
  <c r="AH172" i="1" s="1"/>
  <c r="Q174" i="1"/>
  <c r="AD174" i="1" s="1"/>
  <c r="W175" i="1"/>
  <c r="AJ175" i="1" s="1"/>
  <c r="S177" i="1"/>
  <c r="AF177" i="1" s="1"/>
  <c r="Y178" i="1"/>
  <c r="AL178" i="1" s="1"/>
  <c r="O179" i="1"/>
  <c r="AB179" i="1" s="1"/>
  <c r="U180" i="1"/>
  <c r="AH180" i="1" s="1"/>
  <c r="Q182" i="1"/>
  <c r="AD182" i="1" s="1"/>
  <c r="W183" i="1"/>
  <c r="AJ183" i="1" s="1"/>
  <c r="S185" i="1"/>
  <c r="AF185" i="1" s="1"/>
  <c r="Y186" i="1"/>
  <c r="AL186" i="1" s="1"/>
  <c r="O187" i="1"/>
  <c r="AB187" i="1" s="1"/>
  <c r="U188" i="1"/>
  <c r="AH188" i="1" s="1"/>
  <c r="Q190" i="1"/>
  <c r="AD190" i="1" s="1"/>
  <c r="W191" i="1"/>
  <c r="AJ191" i="1" s="1"/>
  <c r="S193" i="1"/>
  <c r="AF193" i="1" s="1"/>
  <c r="Y194" i="1"/>
  <c r="AL194" i="1" s="1"/>
  <c r="O195" i="1"/>
  <c r="AB195" i="1" s="1"/>
  <c r="U196" i="1"/>
  <c r="AH196" i="1" s="1"/>
  <c r="Q198" i="1"/>
  <c r="AD198" i="1" s="1"/>
  <c r="W199" i="1"/>
  <c r="AJ199" i="1" s="1"/>
  <c r="S201" i="1"/>
  <c r="AF201" i="1" s="1"/>
  <c r="Y202" i="1"/>
  <c r="AL202" i="1" s="1"/>
  <c r="O203" i="1"/>
  <c r="AB203" i="1" s="1"/>
  <c r="X107" i="1"/>
  <c r="AK107" i="1" s="1"/>
  <c r="S126" i="1"/>
  <c r="AF126" i="1" s="1"/>
  <c r="O138" i="1"/>
  <c r="AB138" i="1" s="1"/>
  <c r="Y145" i="1"/>
  <c r="AL145" i="1" s="1"/>
  <c r="W150" i="1"/>
  <c r="AJ150" i="1" s="1"/>
  <c r="U152" i="1"/>
  <c r="AH152" i="1" s="1"/>
  <c r="R154" i="1"/>
  <c r="AE154" i="1" s="1"/>
  <c r="O156" i="1"/>
  <c r="AB156" i="1" s="1"/>
  <c r="W158" i="1"/>
  <c r="AJ158" i="1" s="1"/>
  <c r="T167" i="1"/>
  <c r="AG167" i="1" s="1"/>
  <c r="T169" i="1"/>
  <c r="AG169" i="1" s="1"/>
  <c r="Z170" i="1"/>
  <c r="AM170" i="1" s="1"/>
  <c r="P171" i="1"/>
  <c r="AC171" i="1" s="1"/>
  <c r="V172" i="1"/>
  <c r="AI172" i="1" s="1"/>
  <c r="R174" i="1"/>
  <c r="AE174" i="1" s="1"/>
  <c r="X175" i="1"/>
  <c r="AK175" i="1" s="1"/>
  <c r="T177" i="1"/>
  <c r="AG177" i="1" s="1"/>
  <c r="Z178" i="1"/>
  <c r="AM178" i="1" s="1"/>
  <c r="P179" i="1"/>
  <c r="AC179" i="1" s="1"/>
  <c r="V180" i="1"/>
  <c r="AI180" i="1" s="1"/>
  <c r="R182" i="1"/>
  <c r="AE182" i="1" s="1"/>
  <c r="X183" i="1"/>
  <c r="AK183" i="1" s="1"/>
  <c r="T185" i="1"/>
  <c r="AG185" i="1" s="1"/>
  <c r="Z186" i="1"/>
  <c r="AM186" i="1" s="1"/>
  <c r="P187" i="1"/>
  <c r="AC187" i="1" s="1"/>
  <c r="V188" i="1"/>
  <c r="AI188" i="1" s="1"/>
  <c r="R190" i="1"/>
  <c r="AE190" i="1" s="1"/>
  <c r="X191" i="1"/>
  <c r="AK191" i="1" s="1"/>
  <c r="T193" i="1"/>
  <c r="AG193" i="1" s="1"/>
  <c r="Z194" i="1"/>
  <c r="AM194" i="1" s="1"/>
  <c r="P195" i="1"/>
  <c r="AC195" i="1" s="1"/>
  <c r="V196" i="1"/>
  <c r="AI196" i="1" s="1"/>
  <c r="R198" i="1"/>
  <c r="AE198" i="1" s="1"/>
  <c r="X199" i="1"/>
  <c r="AK199" i="1" s="1"/>
  <c r="T201" i="1"/>
  <c r="AG201" i="1" s="1"/>
  <c r="U94" i="1"/>
  <c r="AH94" i="1" s="1"/>
  <c r="Z107" i="1"/>
  <c r="AM107" i="1" s="1"/>
  <c r="Y126" i="1"/>
  <c r="AL126" i="1" s="1"/>
  <c r="P138" i="1"/>
  <c r="AC138" i="1" s="1"/>
  <c r="Z145" i="1"/>
  <c r="AM145" i="1" s="1"/>
  <c r="X150" i="1"/>
  <c r="AK150" i="1" s="1"/>
  <c r="V152" i="1"/>
  <c r="AI152" i="1" s="1"/>
  <c r="S154" i="1"/>
  <c r="AF154" i="1" s="1"/>
  <c r="X158" i="1"/>
  <c r="AK158" i="1" s="1"/>
  <c r="S160" i="1"/>
  <c r="AF160" i="1" s="1"/>
  <c r="U167" i="1"/>
  <c r="AH167" i="1" s="1"/>
  <c r="U169" i="1"/>
  <c r="AH169" i="1" s="1"/>
  <c r="Q171" i="1"/>
  <c r="AD171" i="1" s="1"/>
  <c r="W172" i="1"/>
  <c r="AJ172" i="1" s="1"/>
  <c r="S174" i="1"/>
  <c r="AF174" i="1" s="1"/>
  <c r="Y175" i="1"/>
  <c r="AL175" i="1" s="1"/>
  <c r="O176" i="1"/>
  <c r="AB176" i="1" s="1"/>
  <c r="U177" i="1"/>
  <c r="AH177" i="1" s="1"/>
  <c r="Q179" i="1"/>
  <c r="AD179" i="1" s="1"/>
  <c r="W180" i="1"/>
  <c r="AJ180" i="1" s="1"/>
  <c r="S182" i="1"/>
  <c r="AF182" i="1" s="1"/>
  <c r="Y183" i="1"/>
  <c r="AL183" i="1" s="1"/>
  <c r="O184" i="1"/>
  <c r="AB184" i="1" s="1"/>
  <c r="U185" i="1"/>
  <c r="AH185" i="1" s="1"/>
  <c r="Q187" i="1"/>
  <c r="AD187" i="1" s="1"/>
  <c r="W188" i="1"/>
  <c r="AJ188" i="1" s="1"/>
  <c r="S190" i="1"/>
  <c r="AF190" i="1" s="1"/>
  <c r="Y191" i="1"/>
  <c r="AL191" i="1" s="1"/>
  <c r="O192" i="1"/>
  <c r="AB192" i="1" s="1"/>
  <c r="U193" i="1"/>
  <c r="AH193" i="1" s="1"/>
  <c r="Q195" i="1"/>
  <c r="AD195" i="1" s="1"/>
  <c r="W196" i="1"/>
  <c r="AJ196" i="1" s="1"/>
  <c r="S198" i="1"/>
  <c r="AF198" i="1" s="1"/>
  <c r="Y199" i="1"/>
  <c r="AL199" i="1" s="1"/>
  <c r="O200" i="1"/>
  <c r="AB200" i="1" s="1"/>
  <c r="U201" i="1"/>
  <c r="AH201" i="1" s="1"/>
  <c r="X94" i="1"/>
  <c r="AK94" i="1" s="1"/>
  <c r="R138" i="1"/>
  <c r="AE138" i="1" s="1"/>
  <c r="P143" i="1"/>
  <c r="AC143" i="1" s="1"/>
  <c r="Z150" i="1"/>
  <c r="AM150" i="1" s="1"/>
  <c r="W152" i="1"/>
  <c r="AJ152" i="1" s="1"/>
  <c r="Y158" i="1"/>
  <c r="AL158" i="1" s="1"/>
  <c r="T160" i="1"/>
  <c r="AG160" i="1" s="1"/>
  <c r="O164" i="1"/>
  <c r="AB164" i="1" s="1"/>
  <c r="V167" i="1"/>
  <c r="AI167" i="1" s="1"/>
  <c r="V169" i="1"/>
  <c r="AI169" i="1" s="1"/>
  <c r="R171" i="1"/>
  <c r="AE171" i="1" s="1"/>
  <c r="X172" i="1"/>
  <c r="AK172" i="1" s="1"/>
  <c r="T174" i="1"/>
  <c r="AG174" i="1" s="1"/>
  <c r="Z175" i="1"/>
  <c r="AM175" i="1" s="1"/>
  <c r="P176" i="1"/>
  <c r="AC176" i="1" s="1"/>
  <c r="V177" i="1"/>
  <c r="AI177" i="1" s="1"/>
  <c r="R179" i="1"/>
  <c r="AE179" i="1" s="1"/>
  <c r="X180" i="1"/>
  <c r="AK180" i="1" s="1"/>
  <c r="T182" i="1"/>
  <c r="AG182" i="1" s="1"/>
  <c r="Z183" i="1"/>
  <c r="AM183" i="1" s="1"/>
  <c r="P184" i="1"/>
  <c r="AC184" i="1" s="1"/>
  <c r="V185" i="1"/>
  <c r="AI185" i="1" s="1"/>
  <c r="R187" i="1"/>
  <c r="AE187" i="1" s="1"/>
  <c r="X188" i="1"/>
  <c r="AK188" i="1" s="1"/>
  <c r="T190" i="1"/>
  <c r="AG190" i="1" s="1"/>
  <c r="Z191" i="1"/>
  <c r="AM191" i="1" s="1"/>
  <c r="O95" i="1"/>
  <c r="AB95" i="1" s="1"/>
  <c r="P108" i="1"/>
  <c r="AC108" i="1" s="1"/>
  <c r="S138" i="1"/>
  <c r="AF138" i="1" s="1"/>
  <c r="Q143" i="1"/>
  <c r="AD143" i="1" s="1"/>
  <c r="O148" i="1"/>
  <c r="AB148" i="1" s="1"/>
  <c r="Z158" i="1"/>
  <c r="AM158" i="1" s="1"/>
  <c r="U160" i="1"/>
  <c r="AH160" i="1" s="1"/>
  <c r="Q164" i="1"/>
  <c r="AD164" i="1" s="1"/>
  <c r="Q165" i="1"/>
  <c r="AD165" i="1" s="1"/>
  <c r="W167" i="1"/>
  <c r="AJ167" i="1" s="1"/>
  <c r="Q168" i="1"/>
  <c r="AD168" i="1" s="1"/>
  <c r="W169" i="1"/>
  <c r="AJ169" i="1" s="1"/>
  <c r="S171" i="1"/>
  <c r="AF171" i="1" s="1"/>
  <c r="Y172" i="1"/>
  <c r="AL172" i="1" s="1"/>
  <c r="O173" i="1"/>
  <c r="AB173" i="1" s="1"/>
  <c r="U174" i="1"/>
  <c r="AH174" i="1" s="1"/>
  <c r="Q176" i="1"/>
  <c r="AD176" i="1" s="1"/>
  <c r="W177" i="1"/>
  <c r="AJ177" i="1" s="1"/>
  <c r="S179" i="1"/>
  <c r="AF179" i="1" s="1"/>
  <c r="Y180" i="1"/>
  <c r="AL180" i="1" s="1"/>
  <c r="O181" i="1"/>
  <c r="AB181" i="1" s="1"/>
  <c r="U182" i="1"/>
  <c r="AH182" i="1" s="1"/>
  <c r="Q184" i="1"/>
  <c r="AD184" i="1" s="1"/>
  <c r="W185" i="1"/>
  <c r="AJ185" i="1" s="1"/>
  <c r="S187" i="1"/>
  <c r="AF187" i="1" s="1"/>
  <c r="Y188" i="1"/>
  <c r="AL188" i="1" s="1"/>
  <c r="O189" i="1"/>
  <c r="AB189" i="1" s="1"/>
  <c r="U190" i="1"/>
  <c r="AH190" i="1" s="1"/>
  <c r="Q192" i="1"/>
  <c r="AD192" i="1" s="1"/>
  <c r="W193" i="1"/>
  <c r="AJ193" i="1" s="1"/>
  <c r="S195" i="1"/>
  <c r="AF195" i="1" s="1"/>
  <c r="Y196" i="1"/>
  <c r="AL196" i="1" s="1"/>
  <c r="O197" i="1"/>
  <c r="AB197" i="1" s="1"/>
  <c r="U198" i="1"/>
  <c r="AH198" i="1" s="1"/>
  <c r="Q200" i="1"/>
  <c r="AD200" i="1" s="1"/>
  <c r="W201" i="1"/>
  <c r="AJ201" i="1" s="1"/>
  <c r="Z118" i="1"/>
  <c r="AM118" i="1" s="1"/>
  <c r="S127" i="1"/>
  <c r="AF127" i="1" s="1"/>
  <c r="S136" i="1"/>
  <c r="AF136" i="1" s="1"/>
  <c r="Q141" i="1"/>
  <c r="AD141" i="1" s="1"/>
  <c r="O146" i="1"/>
  <c r="AB146" i="1" s="1"/>
  <c r="V160" i="1"/>
  <c r="AI160" i="1" s="1"/>
  <c r="O162" i="1"/>
  <c r="AB162" i="1" s="1"/>
  <c r="R164" i="1"/>
  <c r="AE164" i="1" s="1"/>
  <c r="R165" i="1"/>
  <c r="AE165" i="1" s="1"/>
  <c r="X167" i="1"/>
  <c r="AK167" i="1" s="1"/>
  <c r="R168" i="1"/>
  <c r="AE168" i="1" s="1"/>
  <c r="X169" i="1"/>
  <c r="AK169" i="1" s="1"/>
  <c r="T171" i="1"/>
  <c r="AG171" i="1" s="1"/>
  <c r="Z172" i="1"/>
  <c r="AM172" i="1" s="1"/>
  <c r="P173" i="1"/>
  <c r="AC173" i="1" s="1"/>
  <c r="V174" i="1"/>
  <c r="AI174" i="1" s="1"/>
  <c r="R176" i="1"/>
  <c r="AE176" i="1" s="1"/>
  <c r="X177" i="1"/>
  <c r="AK177" i="1" s="1"/>
  <c r="T179" i="1"/>
  <c r="AG179" i="1" s="1"/>
  <c r="Z180" i="1"/>
  <c r="AM180" i="1" s="1"/>
  <c r="P181" i="1"/>
  <c r="AC181" i="1" s="1"/>
  <c r="V182" i="1"/>
  <c r="AI182" i="1" s="1"/>
  <c r="R184" i="1"/>
  <c r="AE184" i="1" s="1"/>
  <c r="X185" i="1"/>
  <c r="AK185" i="1" s="1"/>
  <c r="T187" i="1"/>
  <c r="AG187" i="1" s="1"/>
  <c r="Z188" i="1"/>
  <c r="AM188" i="1" s="1"/>
  <c r="P189" i="1"/>
  <c r="AC189" i="1" s="1"/>
  <c r="V190" i="1"/>
  <c r="AI190" i="1" s="1"/>
  <c r="R192" i="1"/>
  <c r="AE192" i="1" s="1"/>
  <c r="X193" i="1"/>
  <c r="AK193" i="1" s="1"/>
  <c r="T195" i="1"/>
  <c r="AG195" i="1" s="1"/>
  <c r="U46" i="1"/>
  <c r="AH46" i="1" s="1"/>
  <c r="T127" i="1"/>
  <c r="AG127" i="1" s="1"/>
  <c r="T136" i="1"/>
  <c r="AG136" i="1" s="1"/>
  <c r="R141" i="1"/>
  <c r="AE141" i="1" s="1"/>
  <c r="P146" i="1"/>
  <c r="AC146" i="1" s="1"/>
  <c r="W160" i="1"/>
  <c r="AJ160" i="1" s="1"/>
  <c r="P162" i="1"/>
  <c r="AC162" i="1" s="1"/>
  <c r="U163" i="1"/>
  <c r="AH163" i="1" s="1"/>
  <c r="S164" i="1"/>
  <c r="AF164" i="1" s="1"/>
  <c r="S165" i="1"/>
  <c r="AF165" i="1" s="1"/>
  <c r="S168" i="1"/>
  <c r="AF168" i="1" s="1"/>
  <c r="Y169" i="1"/>
  <c r="AL169" i="1" s="1"/>
  <c r="O170" i="1"/>
  <c r="AB170" i="1" s="1"/>
  <c r="U171" i="1"/>
  <c r="AH171" i="1" s="1"/>
  <c r="Q173" i="1"/>
  <c r="AD173" i="1" s="1"/>
  <c r="W174" i="1"/>
  <c r="AJ174" i="1" s="1"/>
  <c r="S176" i="1"/>
  <c r="AF176" i="1" s="1"/>
  <c r="Y177" i="1"/>
  <c r="AL177" i="1" s="1"/>
  <c r="O178" i="1"/>
  <c r="AB178" i="1" s="1"/>
  <c r="U179" i="1"/>
  <c r="AH179" i="1" s="1"/>
  <c r="Q181" i="1"/>
  <c r="AD181" i="1" s="1"/>
  <c r="W182" i="1"/>
  <c r="AJ182" i="1" s="1"/>
  <c r="S184" i="1"/>
  <c r="AF184" i="1" s="1"/>
  <c r="Y185" i="1"/>
  <c r="AL185" i="1" s="1"/>
  <c r="O186" i="1"/>
  <c r="AB186" i="1" s="1"/>
  <c r="U187" i="1"/>
  <c r="AH187" i="1" s="1"/>
  <c r="Q189" i="1"/>
  <c r="AD189" i="1" s="1"/>
  <c r="W190" i="1"/>
  <c r="AJ190" i="1" s="1"/>
  <c r="S192" i="1"/>
  <c r="AF192" i="1" s="1"/>
  <c r="Y193" i="1"/>
  <c r="AL193" i="1" s="1"/>
  <c r="O194" i="1"/>
  <c r="AB194" i="1" s="1"/>
  <c r="U195" i="1"/>
  <c r="AH195" i="1" s="1"/>
  <c r="Q197" i="1"/>
  <c r="AD197" i="1" s="1"/>
  <c r="W198" i="1"/>
  <c r="AJ198" i="1" s="1"/>
  <c r="S200" i="1"/>
  <c r="AF200" i="1" s="1"/>
  <c r="Y201" i="1"/>
  <c r="AL201" i="1" s="1"/>
  <c r="O202" i="1"/>
  <c r="AB202" i="1" s="1"/>
  <c r="U203" i="1"/>
  <c r="AH203" i="1" s="1"/>
  <c r="Q48" i="1"/>
  <c r="AD48" i="1" s="1"/>
  <c r="R98" i="1"/>
  <c r="AE98" i="1" s="1"/>
  <c r="O111" i="1"/>
  <c r="AB111" i="1" s="1"/>
  <c r="V127" i="1"/>
  <c r="AI127" i="1" s="1"/>
  <c r="V136" i="1"/>
  <c r="AI136" i="1" s="1"/>
  <c r="T141" i="1"/>
  <c r="AG141" i="1" s="1"/>
  <c r="R146" i="1"/>
  <c r="AE146" i="1" s="1"/>
  <c r="O151" i="1"/>
  <c r="AB151" i="1" s="1"/>
  <c r="Q157" i="1"/>
  <c r="AD157" i="1" s="1"/>
  <c r="Z160" i="1"/>
  <c r="AM160" i="1" s="1"/>
  <c r="Q162" i="1"/>
  <c r="AD162" i="1" s="1"/>
  <c r="V163" i="1"/>
  <c r="AI163" i="1" s="1"/>
  <c r="T164" i="1"/>
  <c r="AG164" i="1" s="1"/>
  <c r="T165" i="1"/>
  <c r="AG165" i="1" s="1"/>
  <c r="O166" i="1"/>
  <c r="AB166" i="1" s="1"/>
  <c r="T168" i="1"/>
  <c r="AG168" i="1" s="1"/>
  <c r="Z169" i="1"/>
  <c r="AM169" i="1" s="1"/>
  <c r="P170" i="1"/>
  <c r="AC170" i="1" s="1"/>
  <c r="V171" i="1"/>
  <c r="AI171" i="1" s="1"/>
  <c r="R173" i="1"/>
  <c r="AE173" i="1" s="1"/>
  <c r="X174" i="1"/>
  <c r="AK174" i="1" s="1"/>
  <c r="T176" i="1"/>
  <c r="AG176" i="1" s="1"/>
  <c r="Z177" i="1"/>
  <c r="AM177" i="1" s="1"/>
  <c r="P178" i="1"/>
  <c r="AC178" i="1" s="1"/>
  <c r="V179" i="1"/>
  <c r="AI179" i="1" s="1"/>
  <c r="R181" i="1"/>
  <c r="AE181" i="1" s="1"/>
  <c r="X182" i="1"/>
  <c r="AK182" i="1" s="1"/>
  <c r="T184" i="1"/>
  <c r="AG184" i="1" s="1"/>
  <c r="Z185" i="1"/>
  <c r="AM185" i="1" s="1"/>
  <c r="P186" i="1"/>
  <c r="AC186" i="1" s="1"/>
  <c r="V187" i="1"/>
  <c r="AI187" i="1" s="1"/>
  <c r="R189" i="1"/>
  <c r="AE189" i="1" s="1"/>
  <c r="X190" i="1"/>
  <c r="AK190" i="1" s="1"/>
  <c r="T192" i="1"/>
  <c r="AG192" i="1" s="1"/>
  <c r="Z193" i="1"/>
  <c r="AM193" i="1" s="1"/>
  <c r="P194" i="1"/>
  <c r="AC194" i="1" s="1"/>
  <c r="V195" i="1"/>
  <c r="AI195" i="1" s="1"/>
  <c r="R197" i="1"/>
  <c r="AE197" i="1" s="1"/>
  <c r="X198" i="1"/>
  <c r="AK198" i="1" s="1"/>
  <c r="T200" i="1"/>
  <c r="AG200" i="1" s="1"/>
  <c r="Z201" i="1"/>
  <c r="AM201" i="1" s="1"/>
  <c r="P202" i="1"/>
  <c r="AC202" i="1" s="1"/>
  <c r="V203" i="1"/>
  <c r="AI203" i="1" s="1"/>
  <c r="R53" i="1"/>
  <c r="AE53" i="1" s="1"/>
  <c r="T98" i="1"/>
  <c r="AG98" i="1" s="1"/>
  <c r="P111" i="1"/>
  <c r="AC111" i="1" s="1"/>
  <c r="O119" i="1"/>
  <c r="AB119" i="1" s="1"/>
  <c r="W127" i="1"/>
  <c r="AJ127" i="1" s="1"/>
  <c r="W136" i="1"/>
  <c r="AJ136" i="1" s="1"/>
  <c r="U141" i="1"/>
  <c r="AH141" i="1" s="1"/>
  <c r="S146" i="1"/>
  <c r="AF146" i="1" s="1"/>
  <c r="P151" i="1"/>
  <c r="AC151" i="1" s="1"/>
  <c r="U155" i="1"/>
  <c r="AH155" i="1" s="1"/>
  <c r="R157" i="1"/>
  <c r="AE157" i="1" s="1"/>
  <c r="O159" i="1"/>
  <c r="AB159" i="1" s="1"/>
  <c r="R162" i="1"/>
  <c r="AE162" i="1" s="1"/>
  <c r="W163" i="1"/>
  <c r="AJ163" i="1" s="1"/>
  <c r="V164" i="1"/>
  <c r="AI164" i="1" s="1"/>
  <c r="U165" i="1"/>
  <c r="AH165" i="1" s="1"/>
  <c r="P166" i="1"/>
  <c r="AC166" i="1" s="1"/>
  <c r="U168" i="1"/>
  <c r="AH168" i="1" s="1"/>
  <c r="Q170" i="1"/>
  <c r="AD170" i="1" s="1"/>
  <c r="W171" i="1"/>
  <c r="AJ171" i="1" s="1"/>
  <c r="S173" i="1"/>
  <c r="AF173" i="1" s="1"/>
  <c r="Y174" i="1"/>
  <c r="AL174" i="1" s="1"/>
  <c r="O175" i="1"/>
  <c r="AB175" i="1" s="1"/>
  <c r="U176" i="1"/>
  <c r="AH176" i="1" s="1"/>
  <c r="Q178" i="1"/>
  <c r="AD178" i="1" s="1"/>
  <c r="W179" i="1"/>
  <c r="AJ179" i="1" s="1"/>
  <c r="S181" i="1"/>
  <c r="AF181" i="1" s="1"/>
  <c r="Y182" i="1"/>
  <c r="AL182" i="1" s="1"/>
  <c r="O183" i="1"/>
  <c r="AB183" i="1" s="1"/>
  <c r="U184" i="1"/>
  <c r="AH184" i="1" s="1"/>
  <c r="Q186" i="1"/>
  <c r="AD186" i="1" s="1"/>
  <c r="W187" i="1"/>
  <c r="AJ187" i="1" s="1"/>
  <c r="S189" i="1"/>
  <c r="AF189" i="1" s="1"/>
  <c r="Y190" i="1"/>
  <c r="AL190" i="1" s="1"/>
  <c r="O191" i="1"/>
  <c r="AB191" i="1" s="1"/>
  <c r="U192" i="1"/>
  <c r="AH192" i="1" s="1"/>
  <c r="Q194" i="1"/>
  <c r="AD194" i="1" s="1"/>
  <c r="W195" i="1"/>
  <c r="AJ195" i="1" s="1"/>
  <c r="S197" i="1"/>
  <c r="AF197" i="1" s="1"/>
  <c r="Y198" i="1"/>
  <c r="AL198" i="1" s="1"/>
  <c r="O199" i="1"/>
  <c r="AB199" i="1" s="1"/>
  <c r="U200" i="1"/>
  <c r="AH200" i="1" s="1"/>
  <c r="Q202" i="1"/>
  <c r="AD202" i="1" s="1"/>
  <c r="W203" i="1"/>
  <c r="AJ203" i="1" s="1"/>
  <c r="Q67" i="1"/>
  <c r="AD67" i="1" s="1"/>
  <c r="X112" i="1"/>
  <c r="AK112" i="1" s="1"/>
  <c r="W120" i="1"/>
  <c r="AJ120" i="1" s="1"/>
  <c r="Y131" i="1"/>
  <c r="AL131" i="1" s="1"/>
  <c r="S134" i="1"/>
  <c r="AF134" i="1" s="1"/>
  <c r="U139" i="1"/>
  <c r="AH139" i="1" s="1"/>
  <c r="S144" i="1"/>
  <c r="AF144" i="1" s="1"/>
  <c r="Q149" i="1"/>
  <c r="AD149" i="1" s="1"/>
  <c r="Q151" i="1"/>
  <c r="AD151" i="1" s="1"/>
  <c r="Y153" i="1"/>
  <c r="AL153" i="1" s="1"/>
  <c r="V155" i="1"/>
  <c r="AI155" i="1" s="1"/>
  <c r="S157" i="1"/>
  <c r="AF157" i="1" s="1"/>
  <c r="P159" i="1"/>
  <c r="AC159" i="1" s="1"/>
  <c r="S162" i="1"/>
  <c r="AF162" i="1" s="1"/>
  <c r="X163" i="1"/>
  <c r="AK163" i="1" s="1"/>
  <c r="V165" i="1"/>
  <c r="AI165" i="1" s="1"/>
  <c r="Q166" i="1"/>
  <c r="AD166" i="1" s="1"/>
  <c r="V168" i="1"/>
  <c r="AI168" i="1" s="1"/>
  <c r="R170" i="1"/>
  <c r="AE170" i="1" s="1"/>
  <c r="X171" i="1"/>
  <c r="AK171" i="1" s="1"/>
  <c r="T173" i="1"/>
  <c r="AG173" i="1" s="1"/>
  <c r="Z174" i="1"/>
  <c r="AM174" i="1" s="1"/>
  <c r="P175" i="1"/>
  <c r="AC175" i="1" s="1"/>
  <c r="V176" i="1"/>
  <c r="AI176" i="1" s="1"/>
  <c r="R178" i="1"/>
  <c r="AE178" i="1" s="1"/>
  <c r="X179" i="1"/>
  <c r="AK179" i="1" s="1"/>
  <c r="T181" i="1"/>
  <c r="AG181" i="1" s="1"/>
  <c r="Z182" i="1"/>
  <c r="AM182" i="1" s="1"/>
  <c r="P183" i="1"/>
  <c r="AC183" i="1" s="1"/>
  <c r="V184" i="1"/>
  <c r="AI184" i="1" s="1"/>
  <c r="R186" i="1"/>
  <c r="AE186" i="1" s="1"/>
  <c r="X187" i="1"/>
  <c r="AK187" i="1" s="1"/>
  <c r="T189" i="1"/>
  <c r="AG189" i="1" s="1"/>
  <c r="Z190" i="1"/>
  <c r="AM190" i="1" s="1"/>
  <c r="P191" i="1"/>
  <c r="AC191" i="1" s="1"/>
  <c r="V192" i="1"/>
  <c r="AI192" i="1" s="1"/>
  <c r="R194" i="1"/>
  <c r="AE194" i="1" s="1"/>
  <c r="X195" i="1"/>
  <c r="AK195" i="1" s="1"/>
  <c r="T197" i="1"/>
  <c r="AG197" i="1" s="1"/>
  <c r="Z198" i="1"/>
  <c r="AM198" i="1" s="1"/>
  <c r="P199" i="1"/>
  <c r="AC199" i="1" s="1"/>
  <c r="V200" i="1"/>
  <c r="AI200" i="1" s="1"/>
  <c r="R202" i="1"/>
  <c r="AE202" i="1" s="1"/>
  <c r="X203" i="1"/>
  <c r="AK203" i="1" s="1"/>
  <c r="Y112" i="1"/>
  <c r="AL112" i="1" s="1"/>
  <c r="X120" i="1"/>
  <c r="AK120" i="1" s="1"/>
  <c r="O128" i="1"/>
  <c r="AB128" i="1" s="1"/>
  <c r="Z131" i="1"/>
  <c r="AM131" i="1" s="1"/>
  <c r="V134" i="1"/>
  <c r="AI134" i="1" s="1"/>
  <c r="V139" i="1"/>
  <c r="AI139" i="1" s="1"/>
  <c r="T144" i="1"/>
  <c r="AG144" i="1" s="1"/>
  <c r="R149" i="1"/>
  <c r="AE149" i="1" s="1"/>
  <c r="Z153" i="1"/>
  <c r="AM153" i="1" s="1"/>
  <c r="W155" i="1"/>
  <c r="AJ155" i="1" s="1"/>
  <c r="T157" i="1"/>
  <c r="AG157" i="1" s="1"/>
  <c r="Q159" i="1"/>
  <c r="AD159" i="1" s="1"/>
  <c r="U162" i="1"/>
  <c r="AH162" i="1" s="1"/>
  <c r="Y163" i="1"/>
  <c r="AL163" i="1" s="1"/>
  <c r="W165" i="1"/>
  <c r="AJ165" i="1" s="1"/>
  <c r="R166" i="1"/>
  <c r="AE166" i="1" s="1"/>
  <c r="W168" i="1"/>
  <c r="AJ168" i="1" s="1"/>
  <c r="S170" i="1"/>
  <c r="AF170" i="1" s="1"/>
  <c r="Y171" i="1"/>
  <c r="AL171" i="1" s="1"/>
  <c r="O172" i="1"/>
  <c r="AB172" i="1" s="1"/>
  <c r="U173" i="1"/>
  <c r="AH173" i="1" s="1"/>
  <c r="Q175" i="1"/>
  <c r="AD175" i="1" s="1"/>
  <c r="W176" i="1"/>
  <c r="AJ176" i="1" s="1"/>
  <c r="S178" i="1"/>
  <c r="AF178" i="1" s="1"/>
  <c r="Y179" i="1"/>
  <c r="AL179" i="1" s="1"/>
  <c r="O180" i="1"/>
  <c r="AB180" i="1" s="1"/>
  <c r="U181" i="1"/>
  <c r="AH181" i="1" s="1"/>
  <c r="Q183" i="1"/>
  <c r="AD183" i="1" s="1"/>
  <c r="W184" i="1"/>
  <c r="AJ184" i="1" s="1"/>
  <c r="S186" i="1"/>
  <c r="AF186" i="1" s="1"/>
  <c r="Y187" i="1"/>
  <c r="AL187" i="1" s="1"/>
  <c r="O188" i="1"/>
  <c r="AB188" i="1" s="1"/>
  <c r="U189" i="1"/>
  <c r="AH189" i="1" s="1"/>
  <c r="Q191" i="1"/>
  <c r="AD191" i="1" s="1"/>
  <c r="W192" i="1"/>
  <c r="AJ192" i="1" s="1"/>
  <c r="S194" i="1"/>
  <c r="AF194" i="1" s="1"/>
  <c r="Y195" i="1"/>
  <c r="AL195" i="1" s="1"/>
  <c r="O196" i="1"/>
  <c r="AB196" i="1" s="1"/>
  <c r="U197" i="1"/>
  <c r="AH197" i="1" s="1"/>
  <c r="Q199" i="1"/>
  <c r="AD199" i="1" s="1"/>
  <c r="W200" i="1"/>
  <c r="AJ200" i="1" s="1"/>
  <c r="S202" i="1"/>
  <c r="AF202" i="1" s="1"/>
  <c r="Y203" i="1"/>
  <c r="AL203" i="1" s="1"/>
  <c r="W166" i="1"/>
  <c r="AJ166" i="1" s="1"/>
  <c r="V173" i="1"/>
  <c r="AI173" i="1" s="1"/>
  <c r="Y176" i="1"/>
  <c r="AL176" i="1" s="1"/>
  <c r="R183" i="1"/>
  <c r="AE183" i="1" s="1"/>
  <c r="U186" i="1"/>
  <c r="AH186" i="1" s="1"/>
  <c r="X189" i="1"/>
  <c r="AK189" i="1" s="1"/>
  <c r="Z192" i="1"/>
  <c r="AM192" i="1" s="1"/>
  <c r="P197" i="1"/>
  <c r="AC197" i="1" s="1"/>
  <c r="R199" i="1"/>
  <c r="AE199" i="1" s="1"/>
  <c r="O201" i="1"/>
  <c r="AB201" i="1" s="1"/>
  <c r="S204" i="1"/>
  <c r="AF204" i="1" s="1"/>
  <c r="Y205" i="1"/>
  <c r="AL205" i="1" s="1"/>
  <c r="O206" i="1"/>
  <c r="AB206" i="1" s="1"/>
  <c r="U207" i="1"/>
  <c r="AH207" i="1" s="1"/>
  <c r="Q209" i="1"/>
  <c r="AD209" i="1" s="1"/>
  <c r="W210" i="1"/>
  <c r="AJ210" i="1" s="1"/>
  <c r="S212" i="1"/>
  <c r="AF212" i="1" s="1"/>
  <c r="Y213" i="1"/>
  <c r="AL213" i="1" s="1"/>
  <c r="O214" i="1"/>
  <c r="AB214" i="1" s="1"/>
  <c r="U215" i="1"/>
  <c r="AH215" i="1" s="1"/>
  <c r="Q217" i="1"/>
  <c r="AD217" i="1" s="1"/>
  <c r="W218" i="1"/>
  <c r="AJ218" i="1" s="1"/>
  <c r="O219" i="1"/>
  <c r="AB219" i="1" s="1"/>
  <c r="W220" i="1"/>
  <c r="AJ220" i="1" s="1"/>
  <c r="O221" i="1"/>
  <c r="AB221" i="1" s="1"/>
  <c r="W222" i="1"/>
  <c r="AJ222" i="1" s="1"/>
  <c r="O223" i="1"/>
  <c r="AB223" i="1" s="1"/>
  <c r="W224" i="1"/>
  <c r="AJ224" i="1" s="1"/>
  <c r="O225" i="1"/>
  <c r="AB225" i="1" s="1"/>
  <c r="W226" i="1"/>
  <c r="AJ226" i="1" s="1"/>
  <c r="O227" i="1"/>
  <c r="AB227" i="1" s="1"/>
  <c r="W228" i="1"/>
  <c r="AJ228" i="1" s="1"/>
  <c r="O229" i="1"/>
  <c r="AB229" i="1" s="1"/>
  <c r="W230" i="1"/>
  <c r="AJ230" i="1" s="1"/>
  <c r="O231" i="1"/>
  <c r="AB231" i="1" s="1"/>
  <c r="W232" i="1"/>
  <c r="AJ232" i="1" s="1"/>
  <c r="O233" i="1"/>
  <c r="AB233" i="1" s="1"/>
  <c r="W234" i="1"/>
  <c r="AJ234" i="1" s="1"/>
  <c r="O235" i="1"/>
  <c r="AB235" i="1" s="1"/>
  <c r="W236" i="1"/>
  <c r="AJ236" i="1" s="1"/>
  <c r="O237" i="1"/>
  <c r="AB237" i="1" s="1"/>
  <c r="W238" i="1"/>
  <c r="AJ238" i="1" s="1"/>
  <c r="O239" i="1"/>
  <c r="AB239" i="1" s="1"/>
  <c r="W240" i="1"/>
  <c r="AJ240" i="1" s="1"/>
  <c r="O241" i="1"/>
  <c r="AB241" i="1" s="1"/>
  <c r="W242" i="1"/>
  <c r="AJ242" i="1" s="1"/>
  <c r="O243" i="1"/>
  <c r="AB243" i="1" s="1"/>
  <c r="W244" i="1"/>
  <c r="AJ244" i="1" s="1"/>
  <c r="O245" i="1"/>
  <c r="AB245" i="1" s="1"/>
  <c r="W246" i="1"/>
  <c r="AJ246" i="1" s="1"/>
  <c r="Y137" i="1"/>
  <c r="AL137" i="1" s="1"/>
  <c r="X166" i="1"/>
  <c r="AK166" i="1" s="1"/>
  <c r="T170" i="1"/>
  <c r="AG170" i="1" s="1"/>
  <c r="W173" i="1"/>
  <c r="AJ173" i="1" s="1"/>
  <c r="Z176" i="1"/>
  <c r="AM176" i="1" s="1"/>
  <c r="P180" i="1"/>
  <c r="AC180" i="1" s="1"/>
  <c r="S183" i="1"/>
  <c r="AF183" i="1" s="1"/>
  <c r="V186" i="1"/>
  <c r="AI186" i="1" s="1"/>
  <c r="R195" i="1"/>
  <c r="AE195" i="1" s="1"/>
  <c r="V197" i="1"/>
  <c r="AI197" i="1" s="1"/>
  <c r="S199" i="1"/>
  <c r="AF199" i="1" s="1"/>
  <c r="P201" i="1"/>
  <c r="AC201" i="1" s="1"/>
  <c r="T204" i="1"/>
  <c r="AG204" i="1" s="1"/>
  <c r="Z205" i="1"/>
  <c r="AM205" i="1" s="1"/>
  <c r="P206" i="1"/>
  <c r="AC206" i="1" s="1"/>
  <c r="V207" i="1"/>
  <c r="AI207" i="1" s="1"/>
  <c r="R209" i="1"/>
  <c r="AE209" i="1" s="1"/>
  <c r="X210" i="1"/>
  <c r="AK210" i="1" s="1"/>
  <c r="T212" i="1"/>
  <c r="AG212" i="1" s="1"/>
  <c r="Z213" i="1"/>
  <c r="AM213" i="1" s="1"/>
  <c r="P214" i="1"/>
  <c r="AC214" i="1" s="1"/>
  <c r="V215" i="1"/>
  <c r="AI215" i="1" s="1"/>
  <c r="R217" i="1"/>
  <c r="AE217" i="1" s="1"/>
  <c r="X218" i="1"/>
  <c r="AK218" i="1" s="1"/>
  <c r="P219" i="1"/>
  <c r="AC219" i="1" s="1"/>
  <c r="X220" i="1"/>
  <c r="AK220" i="1" s="1"/>
  <c r="P221" i="1"/>
  <c r="AC221" i="1" s="1"/>
  <c r="X222" i="1"/>
  <c r="AK222" i="1" s="1"/>
  <c r="P223" i="1"/>
  <c r="AC223" i="1" s="1"/>
  <c r="X224" i="1"/>
  <c r="AK224" i="1" s="1"/>
  <c r="P225" i="1"/>
  <c r="AC225" i="1" s="1"/>
  <c r="X226" i="1"/>
  <c r="AK226" i="1" s="1"/>
  <c r="P227" i="1"/>
  <c r="AC227" i="1" s="1"/>
  <c r="X228" i="1"/>
  <c r="AK228" i="1" s="1"/>
  <c r="P229" i="1"/>
  <c r="AC229" i="1" s="1"/>
  <c r="X230" i="1"/>
  <c r="AK230" i="1" s="1"/>
  <c r="P231" i="1"/>
  <c r="AC231" i="1" s="1"/>
  <c r="X232" i="1"/>
  <c r="AK232" i="1" s="1"/>
  <c r="P233" i="1"/>
  <c r="AC233" i="1" s="1"/>
  <c r="X234" i="1"/>
  <c r="AK234" i="1" s="1"/>
  <c r="P235" i="1"/>
  <c r="AC235" i="1" s="1"/>
  <c r="X236" i="1"/>
  <c r="AK236" i="1" s="1"/>
  <c r="P237" i="1"/>
  <c r="AC237" i="1" s="1"/>
  <c r="X238" i="1"/>
  <c r="AK238" i="1" s="1"/>
  <c r="P239" i="1"/>
  <c r="AC239" i="1" s="1"/>
  <c r="X240" i="1"/>
  <c r="AK240" i="1" s="1"/>
  <c r="P241" i="1"/>
  <c r="AC241" i="1" s="1"/>
  <c r="X242" i="1"/>
  <c r="AK242" i="1" s="1"/>
  <c r="P243" i="1"/>
  <c r="AC243" i="1" s="1"/>
  <c r="X244" i="1"/>
  <c r="AK244" i="1" s="1"/>
  <c r="P245" i="1"/>
  <c r="AC245" i="1" s="1"/>
  <c r="X139" i="1"/>
  <c r="AK139" i="1" s="1"/>
  <c r="P161" i="1"/>
  <c r="AC161" i="1" s="1"/>
  <c r="U170" i="1"/>
  <c r="AH170" i="1" s="1"/>
  <c r="X173" i="1"/>
  <c r="AK173" i="1" s="1"/>
  <c r="Q180" i="1"/>
  <c r="AD180" i="1" s="1"/>
  <c r="T183" i="1"/>
  <c r="AG183" i="1" s="1"/>
  <c r="Z195" i="1"/>
  <c r="AM195" i="1" s="1"/>
  <c r="W197" i="1"/>
  <c r="AJ197" i="1" s="1"/>
  <c r="T199" i="1"/>
  <c r="AG199" i="1" s="1"/>
  <c r="V201" i="1"/>
  <c r="AI201" i="1" s="1"/>
  <c r="U204" i="1"/>
  <c r="AH204" i="1" s="1"/>
  <c r="Q206" i="1"/>
  <c r="AD206" i="1" s="1"/>
  <c r="W207" i="1"/>
  <c r="AJ207" i="1" s="1"/>
  <c r="S209" i="1"/>
  <c r="AF209" i="1" s="1"/>
  <c r="Y210" i="1"/>
  <c r="AL210" i="1" s="1"/>
  <c r="O211" i="1"/>
  <c r="AB211" i="1" s="1"/>
  <c r="U212" i="1"/>
  <c r="AH212" i="1" s="1"/>
  <c r="Q214" i="1"/>
  <c r="AD214" i="1" s="1"/>
  <c r="W215" i="1"/>
  <c r="AJ215" i="1" s="1"/>
  <c r="S217" i="1"/>
  <c r="AF217" i="1" s="1"/>
  <c r="Y218" i="1"/>
  <c r="AL218" i="1" s="1"/>
  <c r="Q219" i="1"/>
  <c r="AD219" i="1" s="1"/>
  <c r="Y220" i="1"/>
  <c r="AL220" i="1" s="1"/>
  <c r="Q221" i="1"/>
  <c r="AD221" i="1" s="1"/>
  <c r="Y222" i="1"/>
  <c r="AL222" i="1" s="1"/>
  <c r="Q223" i="1"/>
  <c r="AD223" i="1" s="1"/>
  <c r="Y224" i="1"/>
  <c r="AL224" i="1" s="1"/>
  <c r="Q225" i="1"/>
  <c r="AD225" i="1" s="1"/>
  <c r="Y226" i="1"/>
  <c r="AL226" i="1" s="1"/>
  <c r="Q227" i="1"/>
  <c r="AD227" i="1" s="1"/>
  <c r="Y228" i="1"/>
  <c r="AL228" i="1" s="1"/>
  <c r="Q229" i="1"/>
  <c r="AD229" i="1" s="1"/>
  <c r="Y230" i="1"/>
  <c r="AL230" i="1" s="1"/>
  <c r="Q231" i="1"/>
  <c r="AD231" i="1" s="1"/>
  <c r="Y232" i="1"/>
  <c r="AL232" i="1" s="1"/>
  <c r="Q233" i="1"/>
  <c r="AD233" i="1" s="1"/>
  <c r="Y234" i="1"/>
  <c r="AL234" i="1" s="1"/>
  <c r="Q235" i="1"/>
  <c r="AD235" i="1" s="1"/>
  <c r="Y236" i="1"/>
  <c r="AL236" i="1" s="1"/>
  <c r="Q237" i="1"/>
  <c r="AD237" i="1" s="1"/>
  <c r="Y238" i="1"/>
  <c r="AL238" i="1" s="1"/>
  <c r="Q239" i="1"/>
  <c r="AD239" i="1" s="1"/>
  <c r="Y240" i="1"/>
  <c r="AL240" i="1" s="1"/>
  <c r="Q241" i="1"/>
  <c r="AD241" i="1" s="1"/>
  <c r="Y242" i="1"/>
  <c r="AL242" i="1" s="1"/>
  <c r="Q243" i="1"/>
  <c r="AD243" i="1" s="1"/>
  <c r="Y244" i="1"/>
  <c r="AL244" i="1" s="1"/>
  <c r="Q245" i="1"/>
  <c r="AD245" i="1" s="1"/>
  <c r="Y139" i="1"/>
  <c r="AL139" i="1" s="1"/>
  <c r="V162" i="1"/>
  <c r="AI162" i="1" s="1"/>
  <c r="O167" i="1"/>
  <c r="AB167" i="1" s="1"/>
  <c r="V170" i="1"/>
  <c r="AI170" i="1" s="1"/>
  <c r="O177" i="1"/>
  <c r="AB177" i="1" s="1"/>
  <c r="R180" i="1"/>
  <c r="AE180" i="1" s="1"/>
  <c r="O193" i="1"/>
  <c r="AB193" i="1" s="1"/>
  <c r="X197" i="1"/>
  <c r="AK197" i="1" s="1"/>
  <c r="Z199" i="1"/>
  <c r="AM199" i="1" s="1"/>
  <c r="X201" i="1"/>
  <c r="AK201" i="1" s="1"/>
  <c r="V204" i="1"/>
  <c r="AI204" i="1" s="1"/>
  <c r="R206" i="1"/>
  <c r="AE206" i="1" s="1"/>
  <c r="X207" i="1"/>
  <c r="AK207" i="1" s="1"/>
  <c r="T209" i="1"/>
  <c r="AG209" i="1" s="1"/>
  <c r="Z210" i="1"/>
  <c r="AM210" i="1" s="1"/>
  <c r="P211" i="1"/>
  <c r="AC211" i="1" s="1"/>
  <c r="V212" i="1"/>
  <c r="AI212" i="1" s="1"/>
  <c r="R214" i="1"/>
  <c r="AE214" i="1" s="1"/>
  <c r="X215" i="1"/>
  <c r="AK215" i="1" s="1"/>
  <c r="T217" i="1"/>
  <c r="AG217" i="1" s="1"/>
  <c r="Z218" i="1"/>
  <c r="AM218" i="1" s="1"/>
  <c r="R219" i="1"/>
  <c r="AE219" i="1" s="1"/>
  <c r="Z220" i="1"/>
  <c r="AM220" i="1" s="1"/>
  <c r="R221" i="1"/>
  <c r="AE221" i="1" s="1"/>
  <c r="Z222" i="1"/>
  <c r="AM222" i="1" s="1"/>
  <c r="R223" i="1"/>
  <c r="AE223" i="1" s="1"/>
  <c r="Z224" i="1"/>
  <c r="AM224" i="1" s="1"/>
  <c r="R225" i="1"/>
  <c r="AE225" i="1" s="1"/>
  <c r="Z226" i="1"/>
  <c r="AM226" i="1" s="1"/>
  <c r="R227" i="1"/>
  <c r="AE227" i="1" s="1"/>
  <c r="Z228" i="1"/>
  <c r="AM228" i="1" s="1"/>
  <c r="R229" i="1"/>
  <c r="AE229" i="1" s="1"/>
  <c r="Z230" i="1"/>
  <c r="AM230" i="1" s="1"/>
  <c r="R231" i="1"/>
  <c r="AE231" i="1" s="1"/>
  <c r="Z232" i="1"/>
  <c r="AM232" i="1" s="1"/>
  <c r="R233" i="1"/>
  <c r="AE233" i="1" s="1"/>
  <c r="Z234" i="1"/>
  <c r="AM234" i="1" s="1"/>
  <c r="R235" i="1"/>
  <c r="AE235" i="1" s="1"/>
  <c r="Z236" i="1"/>
  <c r="AM236" i="1" s="1"/>
  <c r="R237" i="1"/>
  <c r="AE237" i="1" s="1"/>
  <c r="Z238" i="1"/>
  <c r="AM238" i="1" s="1"/>
  <c r="R239" i="1"/>
  <c r="AE239" i="1" s="1"/>
  <c r="Z240" i="1"/>
  <c r="AM240" i="1" s="1"/>
  <c r="R241" i="1"/>
  <c r="AE241" i="1" s="1"/>
  <c r="Z242" i="1"/>
  <c r="AM242" i="1" s="1"/>
  <c r="R243" i="1"/>
  <c r="AE243" i="1" s="1"/>
  <c r="Z244" i="1"/>
  <c r="AM244" i="1" s="1"/>
  <c r="R245" i="1"/>
  <c r="AE245" i="1" s="1"/>
  <c r="Z246" i="1"/>
  <c r="AM246" i="1" s="1"/>
  <c r="X162" i="1"/>
  <c r="AK162" i="1" s="1"/>
  <c r="P167" i="1"/>
  <c r="AC167" i="1" s="1"/>
  <c r="P177" i="1"/>
  <c r="AC177" i="1" s="1"/>
  <c r="P193" i="1"/>
  <c r="AC193" i="1" s="1"/>
  <c r="W204" i="1"/>
  <c r="AJ204" i="1" s="1"/>
  <c r="S206" i="1"/>
  <c r="AF206" i="1" s="1"/>
  <c r="Y207" i="1"/>
  <c r="AL207" i="1" s="1"/>
  <c r="O208" i="1"/>
  <c r="AB208" i="1" s="1"/>
  <c r="U209" i="1"/>
  <c r="AH209" i="1" s="1"/>
  <c r="Q211" i="1"/>
  <c r="AD211" i="1" s="1"/>
  <c r="W212" i="1"/>
  <c r="AJ212" i="1" s="1"/>
  <c r="S214" i="1"/>
  <c r="AF214" i="1" s="1"/>
  <c r="Y215" i="1"/>
  <c r="AL215" i="1" s="1"/>
  <c r="O216" i="1"/>
  <c r="AB216" i="1" s="1"/>
  <c r="U217" i="1"/>
  <c r="AH217" i="1" s="1"/>
  <c r="S219" i="1"/>
  <c r="AF219" i="1" s="1"/>
  <c r="S221" i="1"/>
  <c r="AF221" i="1" s="1"/>
  <c r="S223" i="1"/>
  <c r="AF223" i="1" s="1"/>
  <c r="S225" i="1"/>
  <c r="AF225" i="1" s="1"/>
  <c r="S227" i="1"/>
  <c r="AF227" i="1" s="1"/>
  <c r="S229" i="1"/>
  <c r="AF229" i="1" s="1"/>
  <c r="S231" i="1"/>
  <c r="AF231" i="1" s="1"/>
  <c r="S233" i="1"/>
  <c r="AF233" i="1" s="1"/>
  <c r="S235" i="1"/>
  <c r="AF235" i="1" s="1"/>
  <c r="S237" i="1"/>
  <c r="AF237" i="1" s="1"/>
  <c r="S239" i="1"/>
  <c r="AF239" i="1" s="1"/>
  <c r="S241" i="1"/>
  <c r="AF241" i="1" s="1"/>
  <c r="S243" i="1"/>
  <c r="AF243" i="1" s="1"/>
  <c r="S245" i="1"/>
  <c r="AF245" i="1" s="1"/>
  <c r="X125" i="1"/>
  <c r="AK125" i="1" s="1"/>
  <c r="Z187" i="1"/>
  <c r="AM187" i="1" s="1"/>
  <c r="V193" i="1"/>
  <c r="AI193" i="1" s="1"/>
  <c r="X204" i="1"/>
  <c r="AK204" i="1" s="1"/>
  <c r="T206" i="1"/>
  <c r="AG206" i="1" s="1"/>
  <c r="Z207" i="1"/>
  <c r="AM207" i="1" s="1"/>
  <c r="P208" i="1"/>
  <c r="AC208" i="1" s="1"/>
  <c r="V209" i="1"/>
  <c r="AI209" i="1" s="1"/>
  <c r="R211" i="1"/>
  <c r="AE211" i="1" s="1"/>
  <c r="X212" i="1"/>
  <c r="AK212" i="1" s="1"/>
  <c r="T214" i="1"/>
  <c r="AG214" i="1" s="1"/>
  <c r="Z215" i="1"/>
  <c r="AM215" i="1" s="1"/>
  <c r="P216" i="1"/>
  <c r="AC216" i="1" s="1"/>
  <c r="V217" i="1"/>
  <c r="AI217" i="1" s="1"/>
  <c r="T219" i="1"/>
  <c r="AG219" i="1" s="1"/>
  <c r="T221" i="1"/>
  <c r="AG221" i="1" s="1"/>
  <c r="T223" i="1"/>
  <c r="AG223" i="1" s="1"/>
  <c r="T225" i="1"/>
  <c r="AG225" i="1" s="1"/>
  <c r="T227" i="1"/>
  <c r="AG227" i="1" s="1"/>
  <c r="T229" i="1"/>
  <c r="AG229" i="1" s="1"/>
  <c r="T231" i="1"/>
  <c r="AG231" i="1" s="1"/>
  <c r="T233" i="1"/>
  <c r="AG233" i="1" s="1"/>
  <c r="T235" i="1"/>
  <c r="AG235" i="1" s="1"/>
  <c r="T237" i="1"/>
  <c r="AG237" i="1" s="1"/>
  <c r="T239" i="1"/>
  <c r="AG239" i="1" s="1"/>
  <c r="T241" i="1"/>
  <c r="AG241" i="1" s="1"/>
  <c r="T243" i="1"/>
  <c r="AG243" i="1" s="1"/>
  <c r="T245" i="1"/>
  <c r="AG245" i="1" s="1"/>
  <c r="V128" i="1"/>
  <c r="AI128" i="1" s="1"/>
  <c r="X184" i="1"/>
  <c r="AK184" i="1" s="1"/>
  <c r="Y204" i="1"/>
  <c r="AL204" i="1" s="1"/>
  <c r="O205" i="1"/>
  <c r="AB205" i="1" s="1"/>
  <c r="U206" i="1"/>
  <c r="AH206" i="1" s="1"/>
  <c r="Q208" i="1"/>
  <c r="AD208" i="1" s="1"/>
  <c r="W209" i="1"/>
  <c r="AJ209" i="1" s="1"/>
  <c r="S211" i="1"/>
  <c r="AF211" i="1" s="1"/>
  <c r="Y212" i="1"/>
  <c r="AL212" i="1" s="1"/>
  <c r="O213" i="1"/>
  <c r="AB213" i="1" s="1"/>
  <c r="U214" i="1"/>
  <c r="AH214" i="1" s="1"/>
  <c r="Q216" i="1"/>
  <c r="AD216" i="1" s="1"/>
  <c r="W217" i="1"/>
  <c r="AJ217" i="1" s="1"/>
  <c r="U219" i="1"/>
  <c r="AH219" i="1" s="1"/>
  <c r="U221" i="1"/>
  <c r="AH221" i="1" s="1"/>
  <c r="T70" i="1"/>
  <c r="AG70" i="1" s="1"/>
  <c r="W128" i="1"/>
  <c r="AJ128" i="1" s="1"/>
  <c r="W142" i="1"/>
  <c r="AJ142" i="1" s="1"/>
  <c r="X155" i="1"/>
  <c r="AK155" i="1" s="1"/>
  <c r="Z171" i="1"/>
  <c r="AM171" i="1" s="1"/>
  <c r="V181" i="1"/>
  <c r="AI181" i="1" s="1"/>
  <c r="Y184" i="1"/>
  <c r="AL184" i="1" s="1"/>
  <c r="R191" i="1"/>
  <c r="AE191" i="1" s="1"/>
  <c r="P196" i="1"/>
  <c r="AC196" i="1" s="1"/>
  <c r="Z204" i="1"/>
  <c r="AM204" i="1" s="1"/>
  <c r="P205" i="1"/>
  <c r="AC205" i="1" s="1"/>
  <c r="V206" i="1"/>
  <c r="AI206" i="1" s="1"/>
  <c r="R208" i="1"/>
  <c r="AE208" i="1" s="1"/>
  <c r="X209" i="1"/>
  <c r="AK209" i="1" s="1"/>
  <c r="T211" i="1"/>
  <c r="AG211" i="1" s="1"/>
  <c r="Z212" i="1"/>
  <c r="AM212" i="1" s="1"/>
  <c r="P213" i="1"/>
  <c r="AC213" i="1" s="1"/>
  <c r="V214" i="1"/>
  <c r="AI214" i="1" s="1"/>
  <c r="R216" i="1"/>
  <c r="AE216" i="1" s="1"/>
  <c r="X217" i="1"/>
  <c r="AK217" i="1" s="1"/>
  <c r="V219" i="1"/>
  <c r="AI219" i="1" s="1"/>
  <c r="V221" i="1"/>
  <c r="AI221" i="1" s="1"/>
  <c r="V223" i="1"/>
  <c r="AI223" i="1" s="1"/>
  <c r="V225" i="1"/>
  <c r="AI225" i="1" s="1"/>
  <c r="V227" i="1"/>
  <c r="AI227" i="1" s="1"/>
  <c r="V229" i="1"/>
  <c r="AI229" i="1" s="1"/>
  <c r="V231" i="1"/>
  <c r="AI231" i="1" s="1"/>
  <c r="V233" i="1"/>
  <c r="AI233" i="1" s="1"/>
  <c r="V235" i="1"/>
  <c r="AI235" i="1" s="1"/>
  <c r="V237" i="1"/>
  <c r="AI237" i="1" s="1"/>
  <c r="V239" i="1"/>
  <c r="AI239" i="1" s="1"/>
  <c r="V241" i="1"/>
  <c r="AI241" i="1" s="1"/>
  <c r="V243" i="1"/>
  <c r="AI243" i="1" s="1"/>
  <c r="V245" i="1"/>
  <c r="AI245" i="1" s="1"/>
  <c r="V247" i="1"/>
  <c r="AI247" i="1" s="1"/>
  <c r="V144" i="1"/>
  <c r="AI144" i="1" s="1"/>
  <c r="Y155" i="1"/>
  <c r="AL155" i="1" s="1"/>
  <c r="X168" i="1"/>
  <c r="AK168" i="1" s="1"/>
  <c r="T178" i="1"/>
  <c r="AG178" i="1" s="1"/>
  <c r="W181" i="1"/>
  <c r="AJ181" i="1" s="1"/>
  <c r="Z184" i="1"/>
  <c r="AM184" i="1" s="1"/>
  <c r="P188" i="1"/>
  <c r="AC188" i="1" s="1"/>
  <c r="S191" i="1"/>
  <c r="AF191" i="1" s="1"/>
  <c r="Q196" i="1"/>
  <c r="AD196" i="1" s="1"/>
  <c r="P200" i="1"/>
  <c r="AC200" i="1" s="1"/>
  <c r="Q205" i="1"/>
  <c r="AD205" i="1" s="1"/>
  <c r="W206" i="1"/>
  <c r="AJ206" i="1" s="1"/>
  <c r="S208" i="1"/>
  <c r="AF208" i="1" s="1"/>
  <c r="Y209" i="1"/>
  <c r="AL209" i="1" s="1"/>
  <c r="O210" i="1"/>
  <c r="AB210" i="1" s="1"/>
  <c r="U211" i="1"/>
  <c r="AH211" i="1" s="1"/>
  <c r="Q213" i="1"/>
  <c r="AD213" i="1" s="1"/>
  <c r="W214" i="1"/>
  <c r="AJ214" i="1" s="1"/>
  <c r="S216" i="1"/>
  <c r="AF216" i="1" s="1"/>
  <c r="Y217" i="1"/>
  <c r="AL217" i="1" s="1"/>
  <c r="O218" i="1"/>
  <c r="AB218" i="1" s="1"/>
  <c r="W219" i="1"/>
  <c r="AJ219" i="1" s="1"/>
  <c r="O220" i="1"/>
  <c r="AB220" i="1" s="1"/>
  <c r="W221" i="1"/>
  <c r="AJ221" i="1" s="1"/>
  <c r="O222" i="1"/>
  <c r="AB222" i="1" s="1"/>
  <c r="W223" i="1"/>
  <c r="AJ223" i="1" s="1"/>
  <c r="O224" i="1"/>
  <c r="AB224" i="1" s="1"/>
  <c r="W225" i="1"/>
  <c r="AJ225" i="1" s="1"/>
  <c r="O226" i="1"/>
  <c r="AB226" i="1" s="1"/>
  <c r="W227" i="1"/>
  <c r="AJ227" i="1" s="1"/>
  <c r="O228" i="1"/>
  <c r="AB228" i="1" s="1"/>
  <c r="W229" i="1"/>
  <c r="AJ229" i="1" s="1"/>
  <c r="O230" i="1"/>
  <c r="AB230" i="1" s="1"/>
  <c r="W231" i="1"/>
  <c r="AJ231" i="1" s="1"/>
  <c r="O232" i="1"/>
  <c r="AB232" i="1" s="1"/>
  <c r="W233" i="1"/>
  <c r="AJ233" i="1" s="1"/>
  <c r="O234" i="1"/>
  <c r="AB234" i="1" s="1"/>
  <c r="W235" i="1"/>
  <c r="AJ235" i="1" s="1"/>
  <c r="O236" i="1"/>
  <c r="AB236" i="1" s="1"/>
  <c r="W237" i="1"/>
  <c r="AJ237" i="1" s="1"/>
  <c r="O238" i="1"/>
  <c r="AB238" i="1" s="1"/>
  <c r="W239" i="1"/>
  <c r="AJ239" i="1" s="1"/>
  <c r="O240" i="1"/>
  <c r="AB240" i="1" s="1"/>
  <c r="W241" i="1"/>
  <c r="AJ241" i="1" s="1"/>
  <c r="O242" i="1"/>
  <c r="AB242" i="1" s="1"/>
  <c r="W243" i="1"/>
  <c r="AJ243" i="1" s="1"/>
  <c r="O244" i="1"/>
  <c r="AB244" i="1" s="1"/>
  <c r="W245" i="1"/>
  <c r="AJ245" i="1" s="1"/>
  <c r="O246" i="1"/>
  <c r="AB246" i="1" s="1"/>
  <c r="W247" i="1"/>
  <c r="AJ247" i="1" s="1"/>
  <c r="W144" i="1"/>
  <c r="AJ144" i="1" s="1"/>
  <c r="Y168" i="1"/>
  <c r="AL168" i="1" s="1"/>
  <c r="R175" i="1"/>
  <c r="AE175" i="1" s="1"/>
  <c r="U178" i="1"/>
  <c r="AH178" i="1" s="1"/>
  <c r="X181" i="1"/>
  <c r="AK181" i="1" s="1"/>
  <c r="Q188" i="1"/>
  <c r="AD188" i="1" s="1"/>
  <c r="T191" i="1"/>
  <c r="AG191" i="1" s="1"/>
  <c r="R196" i="1"/>
  <c r="AE196" i="1" s="1"/>
  <c r="T198" i="1"/>
  <c r="AG198" i="1" s="1"/>
  <c r="R200" i="1"/>
  <c r="AE200" i="1" s="1"/>
  <c r="P203" i="1"/>
  <c r="AC203" i="1" s="1"/>
  <c r="R205" i="1"/>
  <c r="AE205" i="1" s="1"/>
  <c r="X206" i="1"/>
  <c r="AK206" i="1" s="1"/>
  <c r="T208" i="1"/>
  <c r="AG208" i="1" s="1"/>
  <c r="Z209" i="1"/>
  <c r="AM209" i="1" s="1"/>
  <c r="P210" i="1"/>
  <c r="AC210" i="1" s="1"/>
  <c r="V211" i="1"/>
  <c r="AI211" i="1" s="1"/>
  <c r="R213" i="1"/>
  <c r="AE213" i="1" s="1"/>
  <c r="X214" i="1"/>
  <c r="AK214" i="1" s="1"/>
  <c r="T216" i="1"/>
  <c r="AG216" i="1" s="1"/>
  <c r="Z217" i="1"/>
  <c r="AM217" i="1" s="1"/>
  <c r="P218" i="1"/>
  <c r="AC218" i="1" s="1"/>
  <c r="X219" i="1"/>
  <c r="AK219" i="1" s="1"/>
  <c r="P220" i="1"/>
  <c r="AC220" i="1" s="1"/>
  <c r="X221" i="1"/>
  <c r="AK221" i="1" s="1"/>
  <c r="P222" i="1"/>
  <c r="AC222" i="1" s="1"/>
  <c r="X223" i="1"/>
  <c r="AK223" i="1" s="1"/>
  <c r="P224" i="1"/>
  <c r="AC224" i="1" s="1"/>
  <c r="X225" i="1"/>
  <c r="AK225" i="1" s="1"/>
  <c r="P226" i="1"/>
  <c r="AC226" i="1" s="1"/>
  <c r="X227" i="1"/>
  <c r="AK227" i="1" s="1"/>
  <c r="P228" i="1"/>
  <c r="AC228" i="1" s="1"/>
  <c r="X229" i="1"/>
  <c r="AK229" i="1" s="1"/>
  <c r="P230" i="1"/>
  <c r="AC230" i="1" s="1"/>
  <c r="X231" i="1"/>
  <c r="AK231" i="1" s="1"/>
  <c r="P232" i="1"/>
  <c r="AC232" i="1" s="1"/>
  <c r="X233" i="1"/>
  <c r="AK233" i="1" s="1"/>
  <c r="P234" i="1"/>
  <c r="AC234" i="1" s="1"/>
  <c r="X235" i="1"/>
  <c r="AK235" i="1" s="1"/>
  <c r="P236" i="1"/>
  <c r="AC236" i="1" s="1"/>
  <c r="X237" i="1"/>
  <c r="AK237" i="1" s="1"/>
  <c r="P238" i="1"/>
  <c r="AC238" i="1" s="1"/>
  <c r="X239" i="1"/>
  <c r="AK239" i="1" s="1"/>
  <c r="P240" i="1"/>
  <c r="AC240" i="1" s="1"/>
  <c r="X241" i="1"/>
  <c r="AK241" i="1" s="1"/>
  <c r="P242" i="1"/>
  <c r="AC242" i="1" s="1"/>
  <c r="X243" i="1"/>
  <c r="AK243" i="1" s="1"/>
  <c r="P244" i="1"/>
  <c r="AC244" i="1" s="1"/>
  <c r="X245" i="1"/>
  <c r="AK245" i="1" s="1"/>
  <c r="P246" i="1"/>
  <c r="AC246" i="1" s="1"/>
  <c r="X247" i="1"/>
  <c r="AK247" i="1" s="1"/>
  <c r="P248" i="1"/>
  <c r="AC248" i="1" s="1"/>
  <c r="V101" i="1"/>
  <c r="AI101" i="1" s="1"/>
  <c r="U157" i="1"/>
  <c r="AH157" i="1" s="1"/>
  <c r="Z168" i="1"/>
  <c r="AM168" i="1" s="1"/>
  <c r="P172" i="1"/>
  <c r="AC172" i="1" s="1"/>
  <c r="S175" i="1"/>
  <c r="AF175" i="1" s="1"/>
  <c r="V178" i="1"/>
  <c r="AI178" i="1" s="1"/>
  <c r="O185" i="1"/>
  <c r="AB185" i="1" s="1"/>
  <c r="R188" i="1"/>
  <c r="AE188" i="1" s="1"/>
  <c r="T194" i="1"/>
  <c r="AG194" i="1" s="1"/>
  <c r="X196" i="1"/>
  <c r="AK196" i="1" s="1"/>
  <c r="V198" i="1"/>
  <c r="AI198" i="1" s="1"/>
  <c r="X200" i="1"/>
  <c r="AK200" i="1" s="1"/>
  <c r="T202" i="1"/>
  <c r="AG202" i="1" s="1"/>
  <c r="Q203" i="1"/>
  <c r="AD203" i="1" s="1"/>
  <c r="S205" i="1"/>
  <c r="AF205" i="1" s="1"/>
  <c r="Y206" i="1"/>
  <c r="AL206" i="1" s="1"/>
  <c r="O207" i="1"/>
  <c r="AB207" i="1" s="1"/>
  <c r="U208" i="1"/>
  <c r="AH208" i="1" s="1"/>
  <c r="Q210" i="1"/>
  <c r="AD210" i="1" s="1"/>
  <c r="W211" i="1"/>
  <c r="AJ211" i="1" s="1"/>
  <c r="S213" i="1"/>
  <c r="AF213" i="1" s="1"/>
  <c r="Y214" i="1"/>
  <c r="AL214" i="1" s="1"/>
  <c r="O215" i="1"/>
  <c r="AB215" i="1" s="1"/>
  <c r="U216" i="1"/>
  <c r="AH216" i="1" s="1"/>
  <c r="Q218" i="1"/>
  <c r="AD218" i="1" s="1"/>
  <c r="Y219" i="1"/>
  <c r="AL219" i="1" s="1"/>
  <c r="Q220" i="1"/>
  <c r="AD220" i="1" s="1"/>
  <c r="Y221" i="1"/>
  <c r="AL221" i="1" s="1"/>
  <c r="Q222" i="1"/>
  <c r="AD222" i="1" s="1"/>
  <c r="Y223" i="1"/>
  <c r="AL223" i="1" s="1"/>
  <c r="Q224" i="1"/>
  <c r="AD224" i="1" s="1"/>
  <c r="Y225" i="1"/>
  <c r="AL225" i="1" s="1"/>
  <c r="Q226" i="1"/>
  <c r="AD226" i="1" s="1"/>
  <c r="Y227" i="1"/>
  <c r="AL227" i="1" s="1"/>
  <c r="Q228" i="1"/>
  <c r="AD228" i="1" s="1"/>
  <c r="Y229" i="1"/>
  <c r="AL229" i="1" s="1"/>
  <c r="Q230" i="1"/>
  <c r="AD230" i="1" s="1"/>
  <c r="Y231" i="1"/>
  <c r="AL231" i="1" s="1"/>
  <c r="Q232" i="1"/>
  <c r="AD232" i="1" s="1"/>
  <c r="Y233" i="1"/>
  <c r="AL233" i="1" s="1"/>
  <c r="Q234" i="1"/>
  <c r="AD234" i="1" s="1"/>
  <c r="Y235" i="1"/>
  <c r="AL235" i="1" s="1"/>
  <c r="Q236" i="1"/>
  <c r="AD236" i="1" s="1"/>
  <c r="Y237" i="1"/>
  <c r="AL237" i="1" s="1"/>
  <c r="Q238" i="1"/>
  <c r="AD238" i="1" s="1"/>
  <c r="Y239" i="1"/>
  <c r="AL239" i="1" s="1"/>
  <c r="Q240" i="1"/>
  <c r="AD240" i="1" s="1"/>
  <c r="Y241" i="1"/>
  <c r="AL241" i="1" s="1"/>
  <c r="Q242" i="1"/>
  <c r="AD242" i="1" s="1"/>
  <c r="W101" i="1"/>
  <c r="AJ101" i="1" s="1"/>
  <c r="Q132" i="1"/>
  <c r="AD132" i="1" s="1"/>
  <c r="Q172" i="1"/>
  <c r="AD172" i="1" s="1"/>
  <c r="T175" i="1"/>
  <c r="AG175" i="1" s="1"/>
  <c r="P185" i="1"/>
  <c r="AC185" i="1" s="1"/>
  <c r="U194" i="1"/>
  <c r="AH194" i="1" s="1"/>
  <c r="Z196" i="1"/>
  <c r="AM196" i="1" s="1"/>
  <c r="Y200" i="1"/>
  <c r="AL200" i="1" s="1"/>
  <c r="U202" i="1"/>
  <c r="AH202" i="1" s="1"/>
  <c r="R203" i="1"/>
  <c r="AE203" i="1" s="1"/>
  <c r="T205" i="1"/>
  <c r="AG205" i="1" s="1"/>
  <c r="Z206" i="1"/>
  <c r="AM206" i="1" s="1"/>
  <c r="P207" i="1"/>
  <c r="AC207" i="1" s="1"/>
  <c r="V208" i="1"/>
  <c r="AI208" i="1" s="1"/>
  <c r="R210" i="1"/>
  <c r="AE210" i="1" s="1"/>
  <c r="X211" i="1"/>
  <c r="AK211" i="1" s="1"/>
  <c r="T213" i="1"/>
  <c r="AG213" i="1" s="1"/>
  <c r="Z214" i="1"/>
  <c r="AM214" i="1" s="1"/>
  <c r="P215" i="1"/>
  <c r="AC215" i="1" s="1"/>
  <c r="V216" i="1"/>
  <c r="AI216" i="1" s="1"/>
  <c r="R218" i="1"/>
  <c r="AE218" i="1" s="1"/>
  <c r="Z219" i="1"/>
  <c r="AM219" i="1" s="1"/>
  <c r="R220" i="1"/>
  <c r="AE220" i="1" s="1"/>
  <c r="Z221" i="1"/>
  <c r="AM221" i="1" s="1"/>
  <c r="R222" i="1"/>
  <c r="AE222" i="1" s="1"/>
  <c r="Z223" i="1"/>
  <c r="AM223" i="1" s="1"/>
  <c r="R224" i="1"/>
  <c r="AE224" i="1" s="1"/>
  <c r="Z225" i="1"/>
  <c r="AM225" i="1" s="1"/>
  <c r="R226" i="1"/>
  <c r="AE226" i="1" s="1"/>
  <c r="Z227" i="1"/>
  <c r="AM227" i="1" s="1"/>
  <c r="R228" i="1"/>
  <c r="AE228" i="1" s="1"/>
  <c r="Z229" i="1"/>
  <c r="AM229" i="1" s="1"/>
  <c r="R230" i="1"/>
  <c r="AE230" i="1" s="1"/>
  <c r="Z231" i="1"/>
  <c r="AM231" i="1" s="1"/>
  <c r="R232" i="1"/>
  <c r="AE232" i="1" s="1"/>
  <c r="Z233" i="1"/>
  <c r="AM233" i="1" s="1"/>
  <c r="R234" i="1"/>
  <c r="AE234" i="1" s="1"/>
  <c r="Z235" i="1"/>
  <c r="AM235" i="1" s="1"/>
  <c r="R236" i="1"/>
  <c r="AE236" i="1" s="1"/>
  <c r="Z237" i="1"/>
  <c r="AM237" i="1" s="1"/>
  <c r="R238" i="1"/>
  <c r="AE238" i="1" s="1"/>
  <c r="Z239" i="1"/>
  <c r="AM239" i="1" s="1"/>
  <c r="R240" i="1"/>
  <c r="AE240" i="1" s="1"/>
  <c r="Z241" i="1"/>
  <c r="AM241" i="1" s="1"/>
  <c r="R242" i="1"/>
  <c r="AE242" i="1" s="1"/>
  <c r="Z243" i="1"/>
  <c r="AM243" i="1" s="1"/>
  <c r="R244" i="1"/>
  <c r="AE244" i="1" s="1"/>
  <c r="Z245" i="1"/>
  <c r="AM245" i="1" s="1"/>
  <c r="R246" i="1"/>
  <c r="AE246" i="1" s="1"/>
  <c r="Z247" i="1"/>
  <c r="AM247" i="1" s="1"/>
  <c r="R248" i="1"/>
  <c r="AE248" i="1" s="1"/>
  <c r="X134" i="1"/>
  <c r="AK134" i="1" s="1"/>
  <c r="X165" i="1"/>
  <c r="AK165" i="1" s="1"/>
  <c r="O169" i="1"/>
  <c r="AB169" i="1" s="1"/>
  <c r="R172" i="1"/>
  <c r="AE172" i="1" s="1"/>
  <c r="V194" i="1"/>
  <c r="AI194" i="1" s="1"/>
  <c r="Z200" i="1"/>
  <c r="AM200" i="1" s="1"/>
  <c r="V202" i="1"/>
  <c r="AI202" i="1" s="1"/>
  <c r="S203" i="1"/>
  <c r="AF203" i="1" s="1"/>
  <c r="O204" i="1"/>
  <c r="AB204" i="1" s="1"/>
  <c r="U205" i="1"/>
  <c r="AH205" i="1" s="1"/>
  <c r="Q207" i="1"/>
  <c r="AD207" i="1" s="1"/>
  <c r="W208" i="1"/>
  <c r="AJ208" i="1" s="1"/>
  <c r="S210" i="1"/>
  <c r="AF210" i="1" s="1"/>
  <c r="Y211" i="1"/>
  <c r="AL211" i="1" s="1"/>
  <c r="O212" i="1"/>
  <c r="AB212" i="1" s="1"/>
  <c r="U213" i="1"/>
  <c r="AH213" i="1" s="1"/>
  <c r="Q215" i="1"/>
  <c r="AD215" i="1" s="1"/>
  <c r="W216" i="1"/>
  <c r="AJ216" i="1" s="1"/>
  <c r="S218" i="1"/>
  <c r="AF218" i="1" s="1"/>
  <c r="S220" i="1"/>
  <c r="AF220" i="1" s="1"/>
  <c r="S222" i="1"/>
  <c r="AF222" i="1" s="1"/>
  <c r="S224" i="1"/>
  <c r="AF224" i="1" s="1"/>
  <c r="S226" i="1"/>
  <c r="AF226" i="1" s="1"/>
  <c r="S228" i="1"/>
  <c r="AF228" i="1" s="1"/>
  <c r="S230" i="1"/>
  <c r="AF230" i="1" s="1"/>
  <c r="S232" i="1"/>
  <c r="AF232" i="1" s="1"/>
  <c r="S234" i="1"/>
  <c r="AF234" i="1" s="1"/>
  <c r="S236" i="1"/>
  <c r="AF236" i="1" s="1"/>
  <c r="S238" i="1"/>
  <c r="AF238" i="1" s="1"/>
  <c r="S240" i="1"/>
  <c r="AF240" i="1" s="1"/>
  <c r="S242" i="1"/>
  <c r="AF242" i="1" s="1"/>
  <c r="S244" i="1"/>
  <c r="AF244" i="1" s="1"/>
  <c r="T159" i="1"/>
  <c r="AG159" i="1" s="1"/>
  <c r="Z179" i="1"/>
  <c r="AM179" i="1" s="1"/>
  <c r="P204" i="1"/>
  <c r="AC204" i="1" s="1"/>
  <c r="S207" i="1"/>
  <c r="AF207" i="1" s="1"/>
  <c r="V210" i="1"/>
  <c r="AI210" i="1" s="1"/>
  <c r="O217" i="1"/>
  <c r="AB217" i="1" s="1"/>
  <c r="V220" i="1"/>
  <c r="AI220" i="1" s="1"/>
  <c r="U226" i="1"/>
  <c r="AH226" i="1" s="1"/>
  <c r="U234" i="1"/>
  <c r="AH234" i="1" s="1"/>
  <c r="U242" i="1"/>
  <c r="AH242" i="1" s="1"/>
  <c r="X246" i="1"/>
  <c r="AK246" i="1" s="1"/>
  <c r="Y247" i="1"/>
  <c r="AL247" i="1" s="1"/>
  <c r="U248" i="1"/>
  <c r="AH248" i="1" s="1"/>
  <c r="U250" i="1"/>
  <c r="AH250" i="1" s="1"/>
  <c r="U252" i="1"/>
  <c r="AH252" i="1" s="1"/>
  <c r="U254" i="1"/>
  <c r="AH254" i="1" s="1"/>
  <c r="U256" i="1"/>
  <c r="AH256" i="1" s="1"/>
  <c r="U258" i="1"/>
  <c r="AH258" i="1" s="1"/>
  <c r="U260" i="1"/>
  <c r="AH260" i="1" s="1"/>
  <c r="U262" i="1"/>
  <c r="AH262" i="1" s="1"/>
  <c r="U264" i="1"/>
  <c r="AH264" i="1" s="1"/>
  <c r="U266" i="1"/>
  <c r="AH266" i="1" s="1"/>
  <c r="U268" i="1"/>
  <c r="AH268" i="1" s="1"/>
  <c r="U270" i="1"/>
  <c r="AH270" i="1" s="1"/>
  <c r="U272" i="1"/>
  <c r="AH272" i="1" s="1"/>
  <c r="U274" i="1"/>
  <c r="AH274" i="1" s="1"/>
  <c r="U276" i="1"/>
  <c r="AH276" i="1" s="1"/>
  <c r="U278" i="1"/>
  <c r="AH278" i="1" s="1"/>
  <c r="U280" i="1"/>
  <c r="AH280" i="1" s="1"/>
  <c r="U282" i="1"/>
  <c r="AH282" i="1" s="1"/>
  <c r="U284" i="1"/>
  <c r="AH284" i="1" s="1"/>
  <c r="U286" i="1"/>
  <c r="AH286" i="1" s="1"/>
  <c r="U288" i="1"/>
  <c r="AH288" i="1" s="1"/>
  <c r="U290" i="1"/>
  <c r="AH290" i="1" s="1"/>
  <c r="Q204" i="1"/>
  <c r="AD204" i="1" s="1"/>
  <c r="T207" i="1"/>
  <c r="AG207" i="1" s="1"/>
  <c r="P217" i="1"/>
  <c r="AC217" i="1" s="1"/>
  <c r="V226" i="1"/>
  <c r="AI226" i="1" s="1"/>
  <c r="V234" i="1"/>
  <c r="AI234" i="1" s="1"/>
  <c r="V242" i="1"/>
  <c r="AI242" i="1" s="1"/>
  <c r="Y246" i="1"/>
  <c r="AL246" i="1" s="1"/>
  <c r="V248" i="1"/>
  <c r="AI248" i="1" s="1"/>
  <c r="V250" i="1"/>
  <c r="AI250" i="1" s="1"/>
  <c r="V252" i="1"/>
  <c r="AI252" i="1" s="1"/>
  <c r="V254" i="1"/>
  <c r="AI254" i="1" s="1"/>
  <c r="V256" i="1"/>
  <c r="AI256" i="1" s="1"/>
  <c r="V258" i="1"/>
  <c r="AI258" i="1" s="1"/>
  <c r="V260" i="1"/>
  <c r="AI260" i="1" s="1"/>
  <c r="V262" i="1"/>
  <c r="AI262" i="1" s="1"/>
  <c r="V264" i="1"/>
  <c r="AI264" i="1" s="1"/>
  <c r="V266" i="1"/>
  <c r="AI266" i="1" s="1"/>
  <c r="V268" i="1"/>
  <c r="AI268" i="1" s="1"/>
  <c r="V270" i="1"/>
  <c r="AI270" i="1" s="1"/>
  <c r="V272" i="1"/>
  <c r="AI272" i="1" s="1"/>
  <c r="V274" i="1"/>
  <c r="AI274" i="1" s="1"/>
  <c r="V276" i="1"/>
  <c r="AI276" i="1" s="1"/>
  <c r="V278" i="1"/>
  <c r="AI278" i="1" s="1"/>
  <c r="V280" i="1"/>
  <c r="AI280" i="1" s="1"/>
  <c r="V282" i="1"/>
  <c r="AI282" i="1" s="1"/>
  <c r="V284" i="1"/>
  <c r="AI284" i="1" s="1"/>
  <c r="V286" i="1"/>
  <c r="AI286" i="1" s="1"/>
  <c r="V288" i="1"/>
  <c r="AI288" i="1" s="1"/>
  <c r="V290" i="1"/>
  <c r="AI290" i="1" s="1"/>
  <c r="R204" i="1"/>
  <c r="AE204" i="1" s="1"/>
  <c r="U229" i="1"/>
  <c r="AH229" i="1" s="1"/>
  <c r="U237" i="1"/>
  <c r="AH237" i="1" s="1"/>
  <c r="W248" i="1"/>
  <c r="AJ248" i="1" s="1"/>
  <c r="O249" i="1"/>
  <c r="AB249" i="1" s="1"/>
  <c r="W250" i="1"/>
  <c r="AJ250" i="1" s="1"/>
  <c r="O251" i="1"/>
  <c r="AB251" i="1" s="1"/>
  <c r="W252" i="1"/>
  <c r="AJ252" i="1" s="1"/>
  <c r="O253" i="1"/>
  <c r="AB253" i="1" s="1"/>
  <c r="W254" i="1"/>
  <c r="AJ254" i="1" s="1"/>
  <c r="O255" i="1"/>
  <c r="AB255" i="1" s="1"/>
  <c r="W256" i="1"/>
  <c r="AJ256" i="1" s="1"/>
  <c r="O257" i="1"/>
  <c r="AB257" i="1" s="1"/>
  <c r="W258" i="1"/>
  <c r="AJ258" i="1" s="1"/>
  <c r="O259" i="1"/>
  <c r="AB259" i="1" s="1"/>
  <c r="W260" i="1"/>
  <c r="AJ260" i="1" s="1"/>
  <c r="O261" i="1"/>
  <c r="AB261" i="1" s="1"/>
  <c r="W262" i="1"/>
  <c r="AJ262" i="1" s="1"/>
  <c r="O263" i="1"/>
  <c r="AB263" i="1" s="1"/>
  <c r="W264" i="1"/>
  <c r="AJ264" i="1" s="1"/>
  <c r="O265" i="1"/>
  <c r="AB265" i="1" s="1"/>
  <c r="W266" i="1"/>
  <c r="AJ266" i="1" s="1"/>
  <c r="O267" i="1"/>
  <c r="AB267" i="1" s="1"/>
  <c r="W268" i="1"/>
  <c r="AJ268" i="1" s="1"/>
  <c r="O269" i="1"/>
  <c r="AB269" i="1" s="1"/>
  <c r="W270" i="1"/>
  <c r="AJ270" i="1" s="1"/>
  <c r="O271" i="1"/>
  <c r="AB271" i="1" s="1"/>
  <c r="W272" i="1"/>
  <c r="AJ272" i="1" s="1"/>
  <c r="O273" i="1"/>
  <c r="AB273" i="1" s="1"/>
  <c r="W274" i="1"/>
  <c r="AJ274" i="1" s="1"/>
  <c r="O275" i="1"/>
  <c r="AB275" i="1" s="1"/>
  <c r="W276" i="1"/>
  <c r="AJ276" i="1" s="1"/>
  <c r="O277" i="1"/>
  <c r="AB277" i="1" s="1"/>
  <c r="W278" i="1"/>
  <c r="AJ278" i="1" s="1"/>
  <c r="O279" i="1"/>
  <c r="AB279" i="1" s="1"/>
  <c r="W280" i="1"/>
  <c r="AJ280" i="1" s="1"/>
  <c r="O281" i="1"/>
  <c r="AB281" i="1" s="1"/>
  <c r="W282" i="1"/>
  <c r="AJ282" i="1" s="1"/>
  <c r="O283" i="1"/>
  <c r="AB283" i="1" s="1"/>
  <c r="W284" i="1"/>
  <c r="AJ284" i="1" s="1"/>
  <c r="O285" i="1"/>
  <c r="AB285" i="1" s="1"/>
  <c r="W286" i="1"/>
  <c r="AJ286" i="1" s="1"/>
  <c r="O287" i="1"/>
  <c r="AB287" i="1" s="1"/>
  <c r="W288" i="1"/>
  <c r="AJ288" i="1" s="1"/>
  <c r="O289" i="1"/>
  <c r="AB289" i="1" s="1"/>
  <c r="W290" i="1"/>
  <c r="AJ290" i="1" s="1"/>
  <c r="O291" i="1"/>
  <c r="AB291" i="1" s="1"/>
  <c r="Y165" i="1"/>
  <c r="AL165" i="1" s="1"/>
  <c r="T224" i="1"/>
  <c r="AG224" i="1" s="1"/>
  <c r="T232" i="1"/>
  <c r="AG232" i="1" s="1"/>
  <c r="T240" i="1"/>
  <c r="AG240" i="1" s="1"/>
  <c r="X248" i="1"/>
  <c r="AK248" i="1" s="1"/>
  <c r="P249" i="1"/>
  <c r="AC249" i="1" s="1"/>
  <c r="X250" i="1"/>
  <c r="AK250" i="1" s="1"/>
  <c r="P251" i="1"/>
  <c r="AC251" i="1" s="1"/>
  <c r="X252" i="1"/>
  <c r="AK252" i="1" s="1"/>
  <c r="P253" i="1"/>
  <c r="AC253" i="1" s="1"/>
  <c r="X254" i="1"/>
  <c r="AK254" i="1" s="1"/>
  <c r="P255" i="1"/>
  <c r="AC255" i="1" s="1"/>
  <c r="X256" i="1"/>
  <c r="AK256" i="1" s="1"/>
  <c r="P257" i="1"/>
  <c r="AC257" i="1" s="1"/>
  <c r="X258" i="1"/>
  <c r="AK258" i="1" s="1"/>
  <c r="P259" i="1"/>
  <c r="AC259" i="1" s="1"/>
  <c r="X260" i="1"/>
  <c r="AK260" i="1" s="1"/>
  <c r="P261" i="1"/>
  <c r="AC261" i="1" s="1"/>
  <c r="X262" i="1"/>
  <c r="AK262" i="1" s="1"/>
  <c r="P263" i="1"/>
  <c r="AC263" i="1" s="1"/>
  <c r="X264" i="1"/>
  <c r="AK264" i="1" s="1"/>
  <c r="P265" i="1"/>
  <c r="AC265" i="1" s="1"/>
  <c r="X266" i="1"/>
  <c r="AK266" i="1" s="1"/>
  <c r="P267" i="1"/>
  <c r="AC267" i="1" s="1"/>
  <c r="X268" i="1"/>
  <c r="AK268" i="1" s="1"/>
  <c r="P269" i="1"/>
  <c r="AC269" i="1" s="1"/>
  <c r="X270" i="1"/>
  <c r="AK270" i="1" s="1"/>
  <c r="P271" i="1"/>
  <c r="AC271" i="1" s="1"/>
  <c r="X272" i="1"/>
  <c r="AK272" i="1" s="1"/>
  <c r="P273" i="1"/>
  <c r="AC273" i="1" s="1"/>
  <c r="X274" i="1"/>
  <c r="AK274" i="1" s="1"/>
  <c r="P275" i="1"/>
  <c r="AC275" i="1" s="1"/>
  <c r="X276" i="1"/>
  <c r="AK276" i="1" s="1"/>
  <c r="P277" i="1"/>
  <c r="AC277" i="1" s="1"/>
  <c r="X278" i="1"/>
  <c r="AK278" i="1" s="1"/>
  <c r="P279" i="1"/>
  <c r="AC279" i="1" s="1"/>
  <c r="X280" i="1"/>
  <c r="AK280" i="1" s="1"/>
  <c r="P281" i="1"/>
  <c r="AC281" i="1" s="1"/>
  <c r="X282" i="1"/>
  <c r="AK282" i="1" s="1"/>
  <c r="P283" i="1"/>
  <c r="AC283" i="1" s="1"/>
  <c r="X284" i="1"/>
  <c r="AK284" i="1" s="1"/>
  <c r="P285" i="1"/>
  <c r="AC285" i="1" s="1"/>
  <c r="X286" i="1"/>
  <c r="AK286" i="1" s="1"/>
  <c r="P287" i="1"/>
  <c r="AC287" i="1" s="1"/>
  <c r="X288" i="1"/>
  <c r="AK288" i="1" s="1"/>
  <c r="P289" i="1"/>
  <c r="AC289" i="1" s="1"/>
  <c r="X290" i="1"/>
  <c r="AK290" i="1" s="1"/>
  <c r="P291" i="1"/>
  <c r="AC291" i="1" s="1"/>
  <c r="Z165" i="1"/>
  <c r="AM165" i="1" s="1"/>
  <c r="Z211" i="1"/>
  <c r="AM211" i="1" s="1"/>
  <c r="U224" i="1"/>
  <c r="AH224" i="1" s="1"/>
  <c r="U232" i="1"/>
  <c r="AH232" i="1" s="1"/>
  <c r="U240" i="1"/>
  <c r="AH240" i="1" s="1"/>
  <c r="Y248" i="1"/>
  <c r="AL248" i="1" s="1"/>
  <c r="Q249" i="1"/>
  <c r="AD249" i="1" s="1"/>
  <c r="Y250" i="1"/>
  <c r="AL250" i="1" s="1"/>
  <c r="Q251" i="1"/>
  <c r="AD251" i="1" s="1"/>
  <c r="Y252" i="1"/>
  <c r="AL252" i="1" s="1"/>
  <c r="Q253" i="1"/>
  <c r="AD253" i="1" s="1"/>
  <c r="Y254" i="1"/>
  <c r="AL254" i="1" s="1"/>
  <c r="Q255" i="1"/>
  <c r="AD255" i="1" s="1"/>
  <c r="Y256" i="1"/>
  <c r="AL256" i="1" s="1"/>
  <c r="Q257" i="1"/>
  <c r="AD257" i="1" s="1"/>
  <c r="Y258" i="1"/>
  <c r="AL258" i="1" s="1"/>
  <c r="Q259" i="1"/>
  <c r="AD259" i="1" s="1"/>
  <c r="Y260" i="1"/>
  <c r="AL260" i="1" s="1"/>
  <c r="Q261" i="1"/>
  <c r="AD261" i="1" s="1"/>
  <c r="Y262" i="1"/>
  <c r="AL262" i="1" s="1"/>
  <c r="Q263" i="1"/>
  <c r="AD263" i="1" s="1"/>
  <c r="Y264" i="1"/>
  <c r="AL264" i="1" s="1"/>
  <c r="Q265" i="1"/>
  <c r="AD265" i="1" s="1"/>
  <c r="Y266" i="1"/>
  <c r="AL266" i="1" s="1"/>
  <c r="Q267" i="1"/>
  <c r="AD267" i="1" s="1"/>
  <c r="Y268" i="1"/>
  <c r="AL268" i="1" s="1"/>
  <c r="Q269" i="1"/>
  <c r="AD269" i="1" s="1"/>
  <c r="Y270" i="1"/>
  <c r="AL270" i="1" s="1"/>
  <c r="Q271" i="1"/>
  <c r="AD271" i="1" s="1"/>
  <c r="Y272" i="1"/>
  <c r="AL272" i="1" s="1"/>
  <c r="Q273" i="1"/>
  <c r="AD273" i="1" s="1"/>
  <c r="Y274" i="1"/>
  <c r="AL274" i="1" s="1"/>
  <c r="Q275" i="1"/>
  <c r="AD275" i="1" s="1"/>
  <c r="Y276" i="1"/>
  <c r="AL276" i="1" s="1"/>
  <c r="Q277" i="1"/>
  <c r="AD277" i="1" s="1"/>
  <c r="Y278" i="1"/>
  <c r="AL278" i="1" s="1"/>
  <c r="Q279" i="1"/>
  <c r="AD279" i="1" s="1"/>
  <c r="Y280" i="1"/>
  <c r="AL280" i="1" s="1"/>
  <c r="Q281" i="1"/>
  <c r="AD281" i="1" s="1"/>
  <c r="Y282" i="1"/>
  <c r="AL282" i="1" s="1"/>
  <c r="Q283" i="1"/>
  <c r="AD283" i="1" s="1"/>
  <c r="Y284" i="1"/>
  <c r="AL284" i="1" s="1"/>
  <c r="Q285" i="1"/>
  <c r="AD285" i="1" s="1"/>
  <c r="Y286" i="1"/>
  <c r="AL286" i="1" s="1"/>
  <c r="Q287" i="1"/>
  <c r="AD287" i="1" s="1"/>
  <c r="Y288" i="1"/>
  <c r="AL288" i="1" s="1"/>
  <c r="Q289" i="1"/>
  <c r="AD289" i="1" s="1"/>
  <c r="Y290" i="1"/>
  <c r="AL290" i="1" s="1"/>
  <c r="Q291" i="1"/>
  <c r="AD291" i="1" s="1"/>
  <c r="Y292" i="1"/>
  <c r="AL292" i="1" s="1"/>
  <c r="Q293" i="1"/>
  <c r="AD293" i="1" s="1"/>
  <c r="Y294" i="1"/>
  <c r="AL294" i="1" s="1"/>
  <c r="Q295" i="1"/>
  <c r="AD295" i="1" s="1"/>
  <c r="U166" i="1"/>
  <c r="AH166" i="1" s="1"/>
  <c r="X208" i="1"/>
  <c r="AK208" i="1" s="1"/>
  <c r="T218" i="1"/>
  <c r="AG218" i="1" s="1"/>
  <c r="V224" i="1"/>
  <c r="AI224" i="1" s="1"/>
  <c r="V232" i="1"/>
  <c r="AI232" i="1" s="1"/>
  <c r="V240" i="1"/>
  <c r="AI240" i="1" s="1"/>
  <c r="U245" i="1"/>
  <c r="AH245" i="1" s="1"/>
  <c r="Z248" i="1"/>
  <c r="AM248" i="1" s="1"/>
  <c r="R249" i="1"/>
  <c r="AE249" i="1" s="1"/>
  <c r="Z250" i="1"/>
  <c r="AM250" i="1" s="1"/>
  <c r="R251" i="1"/>
  <c r="AE251" i="1" s="1"/>
  <c r="Z252" i="1"/>
  <c r="AM252" i="1" s="1"/>
  <c r="R253" i="1"/>
  <c r="AE253" i="1" s="1"/>
  <c r="Z254" i="1"/>
  <c r="AM254" i="1" s="1"/>
  <c r="R255" i="1"/>
  <c r="AE255" i="1" s="1"/>
  <c r="Z256" i="1"/>
  <c r="AM256" i="1" s="1"/>
  <c r="R257" i="1"/>
  <c r="AE257" i="1" s="1"/>
  <c r="Z258" i="1"/>
  <c r="AM258" i="1" s="1"/>
  <c r="R259" i="1"/>
  <c r="AE259" i="1" s="1"/>
  <c r="Z260" i="1"/>
  <c r="AM260" i="1" s="1"/>
  <c r="R261" i="1"/>
  <c r="AE261" i="1" s="1"/>
  <c r="Z262" i="1"/>
  <c r="AM262" i="1" s="1"/>
  <c r="R263" i="1"/>
  <c r="AE263" i="1" s="1"/>
  <c r="Z264" i="1"/>
  <c r="AM264" i="1" s="1"/>
  <c r="R265" i="1"/>
  <c r="AE265" i="1" s="1"/>
  <c r="Z266" i="1"/>
  <c r="AM266" i="1" s="1"/>
  <c r="R267" i="1"/>
  <c r="AE267" i="1" s="1"/>
  <c r="Z268" i="1"/>
  <c r="AM268" i="1" s="1"/>
  <c r="R269" i="1"/>
  <c r="AE269" i="1" s="1"/>
  <c r="Z270" i="1"/>
  <c r="AM270" i="1" s="1"/>
  <c r="R271" i="1"/>
  <c r="AE271" i="1" s="1"/>
  <c r="Z272" i="1"/>
  <c r="AM272" i="1" s="1"/>
  <c r="R273" i="1"/>
  <c r="AE273" i="1" s="1"/>
  <c r="Z274" i="1"/>
  <c r="AM274" i="1" s="1"/>
  <c r="R275" i="1"/>
  <c r="AE275" i="1" s="1"/>
  <c r="Z276" i="1"/>
  <c r="AM276" i="1" s="1"/>
  <c r="R277" i="1"/>
  <c r="AE277" i="1" s="1"/>
  <c r="Z278" i="1"/>
  <c r="AM278" i="1" s="1"/>
  <c r="R279" i="1"/>
  <c r="AE279" i="1" s="1"/>
  <c r="Z280" i="1"/>
  <c r="AM280" i="1" s="1"/>
  <c r="R281" i="1"/>
  <c r="AE281" i="1" s="1"/>
  <c r="Z282" i="1"/>
  <c r="AM282" i="1" s="1"/>
  <c r="R283" i="1"/>
  <c r="AE283" i="1" s="1"/>
  <c r="Z284" i="1"/>
  <c r="AM284" i="1" s="1"/>
  <c r="R285" i="1"/>
  <c r="AE285" i="1" s="1"/>
  <c r="Z286" i="1"/>
  <c r="AM286" i="1" s="1"/>
  <c r="R287" i="1"/>
  <c r="AE287" i="1" s="1"/>
  <c r="Z288" i="1"/>
  <c r="AM288" i="1" s="1"/>
  <c r="R289" i="1"/>
  <c r="AE289" i="1" s="1"/>
  <c r="Z290" i="1"/>
  <c r="AM290" i="1" s="1"/>
  <c r="R291" i="1"/>
  <c r="AE291" i="1" s="1"/>
  <c r="P169" i="1"/>
  <c r="AC169" i="1" s="1"/>
  <c r="V205" i="1"/>
  <c r="AI205" i="1" s="1"/>
  <c r="Y208" i="1"/>
  <c r="AL208" i="1" s="1"/>
  <c r="R215" i="1"/>
  <c r="AE215" i="1" s="1"/>
  <c r="U218" i="1"/>
  <c r="AH218" i="1" s="1"/>
  <c r="U227" i="1"/>
  <c r="AH227" i="1" s="1"/>
  <c r="U235" i="1"/>
  <c r="AH235" i="1" s="1"/>
  <c r="U243" i="1"/>
  <c r="AH243" i="1" s="1"/>
  <c r="Y245" i="1"/>
  <c r="AL245" i="1" s="1"/>
  <c r="S249" i="1"/>
  <c r="AF249" i="1" s="1"/>
  <c r="S251" i="1"/>
  <c r="AF251" i="1" s="1"/>
  <c r="S253" i="1"/>
  <c r="AF253" i="1" s="1"/>
  <c r="S255" i="1"/>
  <c r="AF255" i="1" s="1"/>
  <c r="S257" i="1"/>
  <c r="AF257" i="1" s="1"/>
  <c r="S259" i="1"/>
  <c r="AF259" i="1" s="1"/>
  <c r="S261" i="1"/>
  <c r="AF261" i="1" s="1"/>
  <c r="S263" i="1"/>
  <c r="AF263" i="1" s="1"/>
  <c r="S265" i="1"/>
  <c r="AF265" i="1" s="1"/>
  <c r="S267" i="1"/>
  <c r="AF267" i="1" s="1"/>
  <c r="S269" i="1"/>
  <c r="AF269" i="1" s="1"/>
  <c r="S271" i="1"/>
  <c r="AF271" i="1" s="1"/>
  <c r="S273" i="1"/>
  <c r="AF273" i="1" s="1"/>
  <c r="S275" i="1"/>
  <c r="AF275" i="1" s="1"/>
  <c r="S277" i="1"/>
  <c r="AF277" i="1" s="1"/>
  <c r="S279" i="1"/>
  <c r="AF279" i="1" s="1"/>
  <c r="S281" i="1"/>
  <c r="AF281" i="1" s="1"/>
  <c r="S283" i="1"/>
  <c r="AF283" i="1" s="1"/>
  <c r="S285" i="1"/>
  <c r="AF285" i="1" s="1"/>
  <c r="S287" i="1"/>
  <c r="AF287" i="1" s="1"/>
  <c r="S289" i="1"/>
  <c r="AF289" i="1" s="1"/>
  <c r="S291" i="1"/>
  <c r="AF291" i="1" s="1"/>
  <c r="T186" i="1"/>
  <c r="AG186" i="1" s="1"/>
  <c r="W205" i="1"/>
  <c r="AJ205" i="1" s="1"/>
  <c r="Z208" i="1"/>
  <c r="AM208" i="1" s="1"/>
  <c r="P212" i="1"/>
  <c r="AC212" i="1" s="1"/>
  <c r="S215" i="1"/>
  <c r="AF215" i="1" s="1"/>
  <c r="V218" i="1"/>
  <c r="AI218" i="1" s="1"/>
  <c r="T222" i="1"/>
  <c r="AG222" i="1" s="1"/>
  <c r="T230" i="1"/>
  <c r="AG230" i="1" s="1"/>
  <c r="T238" i="1"/>
  <c r="AG238" i="1" s="1"/>
  <c r="Y243" i="1"/>
  <c r="AL243" i="1" s="1"/>
  <c r="T249" i="1"/>
  <c r="AG249" i="1" s="1"/>
  <c r="T251" i="1"/>
  <c r="AG251" i="1" s="1"/>
  <c r="T253" i="1"/>
  <c r="AG253" i="1" s="1"/>
  <c r="T255" i="1"/>
  <c r="AG255" i="1" s="1"/>
  <c r="T257" i="1"/>
  <c r="AG257" i="1" s="1"/>
  <c r="T259" i="1"/>
  <c r="AG259" i="1" s="1"/>
  <c r="T261" i="1"/>
  <c r="AG261" i="1" s="1"/>
  <c r="T263" i="1"/>
  <c r="AG263" i="1" s="1"/>
  <c r="T265" i="1"/>
  <c r="AG265" i="1" s="1"/>
  <c r="T267" i="1"/>
  <c r="AG267" i="1" s="1"/>
  <c r="T269" i="1"/>
  <c r="AG269" i="1" s="1"/>
  <c r="T271" i="1"/>
  <c r="AG271" i="1" s="1"/>
  <c r="T273" i="1"/>
  <c r="AG273" i="1" s="1"/>
  <c r="T275" i="1"/>
  <c r="AG275" i="1" s="1"/>
  <c r="T277" i="1"/>
  <c r="AG277" i="1" s="1"/>
  <c r="T279" i="1"/>
  <c r="AG279" i="1" s="1"/>
  <c r="T281" i="1"/>
  <c r="AG281" i="1" s="1"/>
  <c r="T283" i="1"/>
  <c r="AG283" i="1" s="1"/>
  <c r="T285" i="1"/>
  <c r="AG285" i="1" s="1"/>
  <c r="T287" i="1"/>
  <c r="AG287" i="1" s="1"/>
  <c r="T289" i="1"/>
  <c r="AG289" i="1" s="1"/>
  <c r="T291" i="1"/>
  <c r="AG291" i="1" s="1"/>
  <c r="T293" i="1"/>
  <c r="AG293" i="1" s="1"/>
  <c r="T295" i="1"/>
  <c r="AG295" i="1" s="1"/>
  <c r="T297" i="1"/>
  <c r="AG297" i="1" s="1"/>
  <c r="T299" i="1"/>
  <c r="AG299" i="1" s="1"/>
  <c r="T301" i="1"/>
  <c r="AG301" i="1" s="1"/>
  <c r="T303" i="1"/>
  <c r="AG303" i="1" s="1"/>
  <c r="T305" i="1"/>
  <c r="AG305" i="1" s="1"/>
  <c r="X205" i="1"/>
  <c r="AK205" i="1" s="1"/>
  <c r="Q212" i="1"/>
  <c r="AD212" i="1" s="1"/>
  <c r="T215" i="1"/>
  <c r="AG215" i="1" s="1"/>
  <c r="U222" i="1"/>
  <c r="AH222" i="1" s="1"/>
  <c r="U230" i="1"/>
  <c r="AH230" i="1" s="1"/>
  <c r="U238" i="1"/>
  <c r="AH238" i="1" s="1"/>
  <c r="U249" i="1"/>
  <c r="AH249" i="1" s="1"/>
  <c r="U251" i="1"/>
  <c r="AH251" i="1" s="1"/>
  <c r="U253" i="1"/>
  <c r="AH253" i="1" s="1"/>
  <c r="U255" i="1"/>
  <c r="AH255" i="1" s="1"/>
  <c r="U257" i="1"/>
  <c r="AH257" i="1" s="1"/>
  <c r="U259" i="1"/>
  <c r="AH259" i="1" s="1"/>
  <c r="U261" i="1"/>
  <c r="AH261" i="1" s="1"/>
  <c r="U263" i="1"/>
  <c r="AH263" i="1" s="1"/>
  <c r="U265" i="1"/>
  <c r="AH265" i="1" s="1"/>
  <c r="U267" i="1"/>
  <c r="AH267" i="1" s="1"/>
  <c r="U269" i="1"/>
  <c r="AH269" i="1" s="1"/>
  <c r="U271" i="1"/>
  <c r="AH271" i="1" s="1"/>
  <c r="U273" i="1"/>
  <c r="AH273" i="1" s="1"/>
  <c r="U275" i="1"/>
  <c r="AH275" i="1" s="1"/>
  <c r="U277" i="1"/>
  <c r="AH277" i="1" s="1"/>
  <c r="U279" i="1"/>
  <c r="AH279" i="1" s="1"/>
  <c r="U281" i="1"/>
  <c r="AH281" i="1" s="1"/>
  <c r="U283" i="1"/>
  <c r="AH283" i="1" s="1"/>
  <c r="U285" i="1"/>
  <c r="AH285" i="1" s="1"/>
  <c r="U287" i="1"/>
  <c r="AH287" i="1" s="1"/>
  <c r="U289" i="1"/>
  <c r="AH289" i="1" s="1"/>
  <c r="U291" i="1"/>
  <c r="AH291" i="1" s="1"/>
  <c r="U293" i="1"/>
  <c r="AH293" i="1" s="1"/>
  <c r="U295" i="1"/>
  <c r="AH295" i="1" s="1"/>
  <c r="U297" i="1"/>
  <c r="AH297" i="1" s="1"/>
  <c r="U299" i="1"/>
  <c r="AH299" i="1" s="1"/>
  <c r="U301" i="1"/>
  <c r="AH301" i="1" s="1"/>
  <c r="U303" i="1"/>
  <c r="AH303" i="1" s="1"/>
  <c r="U305" i="1"/>
  <c r="AH305" i="1" s="1"/>
  <c r="U114" i="1"/>
  <c r="AH114" i="1" s="1"/>
  <c r="V189" i="1"/>
  <c r="AI189" i="1" s="1"/>
  <c r="O209" i="1"/>
  <c r="AB209" i="1" s="1"/>
  <c r="R212" i="1"/>
  <c r="AE212" i="1" s="1"/>
  <c r="V222" i="1"/>
  <c r="AI222" i="1" s="1"/>
  <c r="V230" i="1"/>
  <c r="AI230" i="1" s="1"/>
  <c r="V238" i="1"/>
  <c r="AI238" i="1" s="1"/>
  <c r="O247" i="1"/>
  <c r="AB247" i="1" s="1"/>
  <c r="V249" i="1"/>
  <c r="AI249" i="1" s="1"/>
  <c r="V251" i="1"/>
  <c r="AI251" i="1" s="1"/>
  <c r="V253" i="1"/>
  <c r="AI253" i="1" s="1"/>
  <c r="V255" i="1"/>
  <c r="AI255" i="1" s="1"/>
  <c r="V257" i="1"/>
  <c r="AI257" i="1" s="1"/>
  <c r="V259" i="1"/>
  <c r="AI259" i="1" s="1"/>
  <c r="V261" i="1"/>
  <c r="AI261" i="1" s="1"/>
  <c r="V263" i="1"/>
  <c r="AI263" i="1" s="1"/>
  <c r="V265" i="1"/>
  <c r="AI265" i="1" s="1"/>
  <c r="V267" i="1"/>
  <c r="AI267" i="1" s="1"/>
  <c r="V269" i="1"/>
  <c r="AI269" i="1" s="1"/>
  <c r="V271" i="1"/>
  <c r="AI271" i="1" s="1"/>
  <c r="V273" i="1"/>
  <c r="AI273" i="1" s="1"/>
  <c r="V275" i="1"/>
  <c r="AI275" i="1" s="1"/>
  <c r="V277" i="1"/>
  <c r="AI277" i="1" s="1"/>
  <c r="V279" i="1"/>
  <c r="AI279" i="1" s="1"/>
  <c r="V281" i="1"/>
  <c r="AI281" i="1" s="1"/>
  <c r="V283" i="1"/>
  <c r="AI283" i="1" s="1"/>
  <c r="V285" i="1"/>
  <c r="AI285" i="1" s="1"/>
  <c r="V287" i="1"/>
  <c r="AI287" i="1" s="1"/>
  <c r="V289" i="1"/>
  <c r="AI289" i="1" s="1"/>
  <c r="V291" i="1"/>
  <c r="AI291" i="1" s="1"/>
  <c r="V293" i="1"/>
  <c r="AI293" i="1" s="1"/>
  <c r="V295" i="1"/>
  <c r="AI295" i="1" s="1"/>
  <c r="V297" i="1"/>
  <c r="AI297" i="1" s="1"/>
  <c r="V299" i="1"/>
  <c r="AI299" i="1" s="1"/>
  <c r="V301" i="1"/>
  <c r="AI301" i="1" s="1"/>
  <c r="V303" i="1"/>
  <c r="AI303" i="1" s="1"/>
  <c r="V305" i="1"/>
  <c r="AI305" i="1" s="1"/>
  <c r="Y134" i="1"/>
  <c r="AL134" i="1" s="1"/>
  <c r="W189" i="1"/>
  <c r="AJ189" i="1" s="1"/>
  <c r="W202" i="1"/>
  <c r="AJ202" i="1" s="1"/>
  <c r="P209" i="1"/>
  <c r="AC209" i="1" s="1"/>
  <c r="U225" i="1"/>
  <c r="AH225" i="1" s="1"/>
  <c r="U233" i="1"/>
  <c r="AH233" i="1" s="1"/>
  <c r="U241" i="1"/>
  <c r="AH241" i="1" s="1"/>
  <c r="P247" i="1"/>
  <c r="AC247" i="1" s="1"/>
  <c r="W249" i="1"/>
  <c r="AJ249" i="1" s="1"/>
  <c r="O250" i="1"/>
  <c r="AB250" i="1" s="1"/>
  <c r="W251" i="1"/>
  <c r="AJ251" i="1" s="1"/>
  <c r="O252" i="1"/>
  <c r="AB252" i="1" s="1"/>
  <c r="W253" i="1"/>
  <c r="AJ253" i="1" s="1"/>
  <c r="O254" i="1"/>
  <c r="AB254" i="1" s="1"/>
  <c r="W255" i="1"/>
  <c r="AJ255" i="1" s="1"/>
  <c r="O256" i="1"/>
  <c r="AB256" i="1" s="1"/>
  <c r="W257" i="1"/>
  <c r="AJ257" i="1" s="1"/>
  <c r="O258" i="1"/>
  <c r="AB258" i="1" s="1"/>
  <c r="W259" i="1"/>
  <c r="AJ259" i="1" s="1"/>
  <c r="O260" i="1"/>
  <c r="AB260" i="1" s="1"/>
  <c r="W261" i="1"/>
  <c r="AJ261" i="1" s="1"/>
  <c r="O262" i="1"/>
  <c r="AB262" i="1" s="1"/>
  <c r="W263" i="1"/>
  <c r="AJ263" i="1" s="1"/>
  <c r="O264" i="1"/>
  <c r="AB264" i="1" s="1"/>
  <c r="W265" i="1"/>
  <c r="AJ265" i="1" s="1"/>
  <c r="O266" i="1"/>
  <c r="AB266" i="1" s="1"/>
  <c r="W267" i="1"/>
  <c r="AJ267" i="1" s="1"/>
  <c r="O268" i="1"/>
  <c r="AB268" i="1" s="1"/>
  <c r="W269" i="1"/>
  <c r="AJ269" i="1" s="1"/>
  <c r="O270" i="1"/>
  <c r="AB270" i="1" s="1"/>
  <c r="W271" i="1"/>
  <c r="AJ271" i="1" s="1"/>
  <c r="O272" i="1"/>
  <c r="AB272" i="1" s="1"/>
  <c r="W273" i="1"/>
  <c r="AJ273" i="1" s="1"/>
  <c r="O274" i="1"/>
  <c r="AB274" i="1" s="1"/>
  <c r="W275" i="1"/>
  <c r="AJ275" i="1" s="1"/>
  <c r="O276" i="1"/>
  <c r="AB276" i="1" s="1"/>
  <c r="W277" i="1"/>
  <c r="AJ277" i="1" s="1"/>
  <c r="O278" i="1"/>
  <c r="AB278" i="1" s="1"/>
  <c r="W279" i="1"/>
  <c r="AJ279" i="1" s="1"/>
  <c r="O280" i="1"/>
  <c r="AB280" i="1" s="1"/>
  <c r="W281" i="1"/>
  <c r="AJ281" i="1" s="1"/>
  <c r="O282" i="1"/>
  <c r="AB282" i="1" s="1"/>
  <c r="W283" i="1"/>
  <c r="AJ283" i="1" s="1"/>
  <c r="O284" i="1"/>
  <c r="AB284" i="1" s="1"/>
  <c r="W285" i="1"/>
  <c r="AJ285" i="1" s="1"/>
  <c r="O286" i="1"/>
  <c r="AB286" i="1" s="1"/>
  <c r="W287" i="1"/>
  <c r="AJ287" i="1" s="1"/>
  <c r="O288" i="1"/>
  <c r="AB288" i="1" s="1"/>
  <c r="W289" i="1"/>
  <c r="AJ289" i="1" s="1"/>
  <c r="O290" i="1"/>
  <c r="AB290" i="1" s="1"/>
  <c r="W291" i="1"/>
  <c r="AJ291" i="1" s="1"/>
  <c r="O292" i="1"/>
  <c r="AB292" i="1" s="1"/>
  <c r="W293" i="1"/>
  <c r="AJ293" i="1" s="1"/>
  <c r="O294" i="1"/>
  <c r="AB294" i="1" s="1"/>
  <c r="W295" i="1"/>
  <c r="AJ295" i="1" s="1"/>
  <c r="O296" i="1"/>
  <c r="AB296" i="1" s="1"/>
  <c r="W297" i="1"/>
  <c r="AJ297" i="1" s="1"/>
  <c r="O298" i="1"/>
  <c r="AB298" i="1" s="1"/>
  <c r="W299" i="1"/>
  <c r="AJ299" i="1" s="1"/>
  <c r="O300" i="1"/>
  <c r="AB300" i="1" s="1"/>
  <c r="W301" i="1"/>
  <c r="AJ301" i="1" s="1"/>
  <c r="O302" i="1"/>
  <c r="AB302" i="1" s="1"/>
  <c r="W303" i="1"/>
  <c r="AJ303" i="1" s="1"/>
  <c r="O304" i="1"/>
  <c r="AB304" i="1" s="1"/>
  <c r="W305" i="1"/>
  <c r="AJ305" i="1" s="1"/>
  <c r="O306" i="1"/>
  <c r="AB306" i="1" s="1"/>
  <c r="P192" i="1"/>
  <c r="AC192" i="1" s="1"/>
  <c r="X202" i="1"/>
  <c r="AK202" i="1" s="1"/>
  <c r="T228" i="1"/>
  <c r="AG228" i="1" s="1"/>
  <c r="T236" i="1"/>
  <c r="AG236" i="1" s="1"/>
  <c r="Q246" i="1"/>
  <c r="AD246" i="1" s="1"/>
  <c r="Q247" i="1"/>
  <c r="AD247" i="1" s="1"/>
  <c r="X249" i="1"/>
  <c r="AK249" i="1" s="1"/>
  <c r="P250" i="1"/>
  <c r="AC250" i="1" s="1"/>
  <c r="X251" i="1"/>
  <c r="AK251" i="1" s="1"/>
  <c r="P252" i="1"/>
  <c r="AC252" i="1" s="1"/>
  <c r="X253" i="1"/>
  <c r="AK253" i="1" s="1"/>
  <c r="P254" i="1"/>
  <c r="AC254" i="1" s="1"/>
  <c r="X255" i="1"/>
  <c r="AK255" i="1" s="1"/>
  <c r="P256" i="1"/>
  <c r="AC256" i="1" s="1"/>
  <c r="X257" i="1"/>
  <c r="AK257" i="1" s="1"/>
  <c r="P258" i="1"/>
  <c r="AC258" i="1" s="1"/>
  <c r="X259" i="1"/>
  <c r="AK259" i="1" s="1"/>
  <c r="P260" i="1"/>
  <c r="AC260" i="1" s="1"/>
  <c r="X261" i="1"/>
  <c r="AK261" i="1" s="1"/>
  <c r="P262" i="1"/>
  <c r="AC262" i="1" s="1"/>
  <c r="X263" i="1"/>
  <c r="AK263" i="1" s="1"/>
  <c r="P264" i="1"/>
  <c r="AC264" i="1" s="1"/>
  <c r="X265" i="1"/>
  <c r="AK265" i="1" s="1"/>
  <c r="P266" i="1"/>
  <c r="AC266" i="1" s="1"/>
  <c r="X267" i="1"/>
  <c r="AK267" i="1" s="1"/>
  <c r="P268" i="1"/>
  <c r="AC268" i="1" s="1"/>
  <c r="X269" i="1"/>
  <c r="AK269" i="1" s="1"/>
  <c r="P270" i="1"/>
  <c r="AC270" i="1" s="1"/>
  <c r="X271" i="1"/>
  <c r="AK271" i="1" s="1"/>
  <c r="P272" i="1"/>
  <c r="AC272" i="1" s="1"/>
  <c r="X273" i="1"/>
  <c r="AK273" i="1" s="1"/>
  <c r="P274" i="1"/>
  <c r="AC274" i="1" s="1"/>
  <c r="X275" i="1"/>
  <c r="AK275" i="1" s="1"/>
  <c r="P276" i="1"/>
  <c r="AC276" i="1" s="1"/>
  <c r="X277" i="1"/>
  <c r="AK277" i="1" s="1"/>
  <c r="P278" i="1"/>
  <c r="AC278" i="1" s="1"/>
  <c r="X279" i="1"/>
  <c r="AK279" i="1" s="1"/>
  <c r="P280" i="1"/>
  <c r="AC280" i="1" s="1"/>
  <c r="X281" i="1"/>
  <c r="AK281" i="1" s="1"/>
  <c r="P282" i="1"/>
  <c r="AC282" i="1" s="1"/>
  <c r="X283" i="1"/>
  <c r="AK283" i="1" s="1"/>
  <c r="P284" i="1"/>
  <c r="AC284" i="1" s="1"/>
  <c r="X285" i="1"/>
  <c r="AK285" i="1" s="1"/>
  <c r="P286" i="1"/>
  <c r="AC286" i="1" s="1"/>
  <c r="X287" i="1"/>
  <c r="AK287" i="1" s="1"/>
  <c r="P288" i="1"/>
  <c r="AC288" i="1" s="1"/>
  <c r="X289" i="1"/>
  <c r="AK289" i="1" s="1"/>
  <c r="P290" i="1"/>
  <c r="AC290" i="1" s="1"/>
  <c r="X291" i="1"/>
  <c r="AK291" i="1" s="1"/>
  <c r="P292" i="1"/>
  <c r="AC292" i="1" s="1"/>
  <c r="X293" i="1"/>
  <c r="AK293" i="1" s="1"/>
  <c r="P294" i="1"/>
  <c r="AC294" i="1" s="1"/>
  <c r="X295" i="1"/>
  <c r="AK295" i="1" s="1"/>
  <c r="P296" i="1"/>
  <c r="AC296" i="1" s="1"/>
  <c r="X297" i="1"/>
  <c r="AK297" i="1" s="1"/>
  <c r="P298" i="1"/>
  <c r="AC298" i="1" s="1"/>
  <c r="X299" i="1"/>
  <c r="AK299" i="1" s="1"/>
  <c r="P300" i="1"/>
  <c r="AC300" i="1" s="1"/>
  <c r="X301" i="1"/>
  <c r="AK301" i="1" s="1"/>
  <c r="P302" i="1"/>
  <c r="AC302" i="1" s="1"/>
  <c r="X303" i="1"/>
  <c r="AK303" i="1" s="1"/>
  <c r="P304" i="1"/>
  <c r="AC304" i="1" s="1"/>
  <c r="X305" i="1"/>
  <c r="AK305" i="1" s="1"/>
  <c r="P306" i="1"/>
  <c r="AC306" i="1" s="1"/>
  <c r="U147" i="1"/>
  <c r="AH147" i="1" s="1"/>
  <c r="Y192" i="1"/>
  <c r="AL192" i="1" s="1"/>
  <c r="T203" i="1"/>
  <c r="AG203" i="1" s="1"/>
  <c r="V213" i="1"/>
  <c r="AI213" i="1" s="1"/>
  <c r="Y216" i="1"/>
  <c r="AL216" i="1" s="1"/>
  <c r="V228" i="1"/>
  <c r="AI228" i="1" s="1"/>
  <c r="V236" i="1"/>
  <c r="AI236" i="1" s="1"/>
  <c r="T244" i="1"/>
  <c r="AG244" i="1" s="1"/>
  <c r="T246" i="1"/>
  <c r="AG246" i="1" s="1"/>
  <c r="S247" i="1"/>
  <c r="AF247" i="1" s="1"/>
  <c r="Q248" i="1"/>
  <c r="AD248" i="1" s="1"/>
  <c r="Z249" i="1"/>
  <c r="AM249" i="1" s="1"/>
  <c r="R250" i="1"/>
  <c r="AE250" i="1" s="1"/>
  <c r="Z251" i="1"/>
  <c r="AM251" i="1" s="1"/>
  <c r="R252" i="1"/>
  <c r="AE252" i="1" s="1"/>
  <c r="Z253" i="1"/>
  <c r="AM253" i="1" s="1"/>
  <c r="R254" i="1"/>
  <c r="AE254" i="1" s="1"/>
  <c r="Z255" i="1"/>
  <c r="AM255" i="1" s="1"/>
  <c r="R256" i="1"/>
  <c r="AE256" i="1" s="1"/>
  <c r="Z257" i="1"/>
  <c r="AM257" i="1" s="1"/>
  <c r="R258" i="1"/>
  <c r="AE258" i="1" s="1"/>
  <c r="Z259" i="1"/>
  <c r="AM259" i="1" s="1"/>
  <c r="R260" i="1"/>
  <c r="AE260" i="1" s="1"/>
  <c r="Z261" i="1"/>
  <c r="AM261" i="1" s="1"/>
  <c r="R262" i="1"/>
  <c r="AE262" i="1" s="1"/>
  <c r="Z263" i="1"/>
  <c r="AM263" i="1" s="1"/>
  <c r="R264" i="1"/>
  <c r="AE264" i="1" s="1"/>
  <c r="Z265" i="1"/>
  <c r="AM265" i="1" s="1"/>
  <c r="R266" i="1"/>
  <c r="AE266" i="1" s="1"/>
  <c r="Z267" i="1"/>
  <c r="AM267" i="1" s="1"/>
  <c r="R268" i="1"/>
  <c r="AE268" i="1" s="1"/>
  <c r="Z269" i="1"/>
  <c r="AM269" i="1" s="1"/>
  <c r="R270" i="1"/>
  <c r="AE270" i="1" s="1"/>
  <c r="Z271" i="1"/>
  <c r="AM271" i="1" s="1"/>
  <c r="R272" i="1"/>
  <c r="AE272" i="1" s="1"/>
  <c r="Z273" i="1"/>
  <c r="AM273" i="1" s="1"/>
  <c r="R274" i="1"/>
  <c r="AE274" i="1" s="1"/>
  <c r="Z275" i="1"/>
  <c r="AM275" i="1" s="1"/>
  <c r="R276" i="1"/>
  <c r="AE276" i="1" s="1"/>
  <c r="Z277" i="1"/>
  <c r="AM277" i="1" s="1"/>
  <c r="R278" i="1"/>
  <c r="AE278" i="1" s="1"/>
  <c r="Z279" i="1"/>
  <c r="AM279" i="1" s="1"/>
  <c r="R280" i="1"/>
  <c r="AE280" i="1" s="1"/>
  <c r="Z281" i="1"/>
  <c r="AM281" i="1" s="1"/>
  <c r="R282" i="1"/>
  <c r="AE282" i="1" s="1"/>
  <c r="Z283" i="1"/>
  <c r="AM283" i="1" s="1"/>
  <c r="R284" i="1"/>
  <c r="AE284" i="1" s="1"/>
  <c r="Z285" i="1"/>
  <c r="AM285" i="1" s="1"/>
  <c r="R286" i="1"/>
  <c r="AE286" i="1" s="1"/>
  <c r="Z287" i="1"/>
  <c r="AM287" i="1" s="1"/>
  <c r="V246" i="1"/>
  <c r="AI246" i="1" s="1"/>
  <c r="S254" i="1"/>
  <c r="AF254" i="1" s="1"/>
  <c r="Y261" i="1"/>
  <c r="AL261" i="1" s="1"/>
  <c r="T268" i="1"/>
  <c r="AG268" i="1" s="1"/>
  <c r="Q272" i="1"/>
  <c r="AD272" i="1" s="1"/>
  <c r="S286" i="1"/>
  <c r="AF286" i="1" s="1"/>
  <c r="Y289" i="1"/>
  <c r="AL289" i="1" s="1"/>
  <c r="X306" i="1"/>
  <c r="AK306" i="1" s="1"/>
  <c r="R307" i="1"/>
  <c r="AE307" i="1" s="1"/>
  <c r="Z308" i="1"/>
  <c r="AM308" i="1" s="1"/>
  <c r="R309" i="1"/>
  <c r="AE309" i="1" s="1"/>
  <c r="Z310" i="1"/>
  <c r="AM310" i="1" s="1"/>
  <c r="R311" i="1"/>
  <c r="AE311" i="1" s="1"/>
  <c r="Z312" i="1"/>
  <c r="AM312" i="1" s="1"/>
  <c r="R313" i="1"/>
  <c r="AE313" i="1" s="1"/>
  <c r="Z314" i="1"/>
  <c r="AM314" i="1" s="1"/>
  <c r="R315" i="1"/>
  <c r="AE315" i="1" s="1"/>
  <c r="Z316" i="1"/>
  <c r="AM316" i="1" s="1"/>
  <c r="R317" i="1"/>
  <c r="AE317" i="1" s="1"/>
  <c r="Z318" i="1"/>
  <c r="AM318" i="1" s="1"/>
  <c r="R319" i="1"/>
  <c r="AE319" i="1" s="1"/>
  <c r="Z320" i="1"/>
  <c r="AM320" i="1" s="1"/>
  <c r="R321" i="1"/>
  <c r="AE321" i="1" s="1"/>
  <c r="Z322" i="1"/>
  <c r="AM322" i="1" s="1"/>
  <c r="R323" i="1"/>
  <c r="AE323" i="1" s="1"/>
  <c r="Z324" i="1"/>
  <c r="AM324" i="1" s="1"/>
  <c r="R325" i="1"/>
  <c r="AE325" i="1" s="1"/>
  <c r="Z326" i="1"/>
  <c r="AM326" i="1" s="1"/>
  <c r="R327" i="1"/>
  <c r="AE327" i="1" s="1"/>
  <c r="Z328" i="1"/>
  <c r="AM328" i="1" s="1"/>
  <c r="R329" i="1"/>
  <c r="AE329" i="1" s="1"/>
  <c r="Z330" i="1"/>
  <c r="AM330" i="1" s="1"/>
  <c r="R331" i="1"/>
  <c r="AE331" i="1" s="1"/>
  <c r="Z332" i="1"/>
  <c r="AM332" i="1" s="1"/>
  <c r="R333" i="1"/>
  <c r="AE333" i="1" s="1"/>
  <c r="Z334" i="1"/>
  <c r="AM334" i="1" s="1"/>
  <c r="R335" i="1"/>
  <c r="AE335" i="1" s="1"/>
  <c r="Z336" i="1"/>
  <c r="AM336" i="1" s="1"/>
  <c r="R337" i="1"/>
  <c r="AE337" i="1" s="1"/>
  <c r="Z338" i="1"/>
  <c r="AM338" i="1" s="1"/>
  <c r="R339" i="1"/>
  <c r="AE339" i="1" s="1"/>
  <c r="Z340" i="1"/>
  <c r="AM340" i="1" s="1"/>
  <c r="R341" i="1"/>
  <c r="AE341" i="1" s="1"/>
  <c r="Z342" i="1"/>
  <c r="AM342" i="1" s="1"/>
  <c r="R343" i="1"/>
  <c r="AE343" i="1" s="1"/>
  <c r="Z202" i="1"/>
  <c r="AM202" i="1" s="1"/>
  <c r="T220" i="1"/>
  <c r="AG220" i="1" s="1"/>
  <c r="T234" i="1"/>
  <c r="AG234" i="1" s="1"/>
  <c r="R247" i="1"/>
  <c r="AE247" i="1" s="1"/>
  <c r="T254" i="1"/>
  <c r="AG254" i="1" s="1"/>
  <c r="Q258" i="1"/>
  <c r="AD258" i="1" s="1"/>
  <c r="S272" i="1"/>
  <c r="AF272" i="1" s="1"/>
  <c r="Y279" i="1"/>
  <c r="AL279" i="1" s="1"/>
  <c r="T286" i="1"/>
  <c r="AG286" i="1" s="1"/>
  <c r="Z289" i="1"/>
  <c r="AM289" i="1" s="1"/>
  <c r="Q296" i="1"/>
  <c r="AD296" i="1" s="1"/>
  <c r="Y306" i="1"/>
  <c r="AL306" i="1" s="1"/>
  <c r="S307" i="1"/>
  <c r="AF307" i="1" s="1"/>
  <c r="S309" i="1"/>
  <c r="AF309" i="1" s="1"/>
  <c r="S311" i="1"/>
  <c r="AF311" i="1" s="1"/>
  <c r="S313" i="1"/>
  <c r="AF313" i="1" s="1"/>
  <c r="S315" i="1"/>
  <c r="AF315" i="1" s="1"/>
  <c r="S317" i="1"/>
  <c r="AF317" i="1" s="1"/>
  <c r="S319" i="1"/>
  <c r="AF319" i="1" s="1"/>
  <c r="S321" i="1"/>
  <c r="AF321" i="1" s="1"/>
  <c r="S323" i="1"/>
  <c r="AF323" i="1" s="1"/>
  <c r="S325" i="1"/>
  <c r="AF325" i="1" s="1"/>
  <c r="S327" i="1"/>
  <c r="AF327" i="1" s="1"/>
  <c r="S329" i="1"/>
  <c r="AF329" i="1" s="1"/>
  <c r="S331" i="1"/>
  <c r="AF331" i="1" s="1"/>
  <c r="S333" i="1"/>
  <c r="AF333" i="1" s="1"/>
  <c r="S335" i="1"/>
  <c r="AF335" i="1" s="1"/>
  <c r="S337" i="1"/>
  <c r="AF337" i="1" s="1"/>
  <c r="S339" i="1"/>
  <c r="AF339" i="1" s="1"/>
  <c r="S341" i="1"/>
  <c r="AF341" i="1" s="1"/>
  <c r="Z203" i="1"/>
  <c r="AM203" i="1" s="1"/>
  <c r="U220" i="1"/>
  <c r="AH220" i="1" s="1"/>
  <c r="U236" i="1"/>
  <c r="AH236" i="1" s="1"/>
  <c r="T247" i="1"/>
  <c r="AG247" i="1" s="1"/>
  <c r="S258" i="1"/>
  <c r="AF258" i="1" s="1"/>
  <c r="Y265" i="1"/>
  <c r="AL265" i="1" s="1"/>
  <c r="T272" i="1"/>
  <c r="AG272" i="1" s="1"/>
  <c r="Q276" i="1"/>
  <c r="AD276" i="1" s="1"/>
  <c r="Q294" i="1"/>
  <c r="AD294" i="1" s="1"/>
  <c r="O295" i="1"/>
  <c r="AB295" i="1" s="1"/>
  <c r="R296" i="1"/>
  <c r="AE296" i="1" s="1"/>
  <c r="O297" i="1"/>
  <c r="AB297" i="1" s="1"/>
  <c r="Q298" i="1"/>
  <c r="AD298" i="1" s="1"/>
  <c r="Z306" i="1"/>
  <c r="AM306" i="1" s="1"/>
  <c r="T307" i="1"/>
  <c r="AG307" i="1" s="1"/>
  <c r="T309" i="1"/>
  <c r="AG309" i="1" s="1"/>
  <c r="T311" i="1"/>
  <c r="AG311" i="1" s="1"/>
  <c r="T313" i="1"/>
  <c r="AG313" i="1" s="1"/>
  <c r="T315" i="1"/>
  <c r="AG315" i="1" s="1"/>
  <c r="T317" i="1"/>
  <c r="AG317" i="1" s="1"/>
  <c r="T319" i="1"/>
  <c r="AG319" i="1" s="1"/>
  <c r="T321" i="1"/>
  <c r="AG321" i="1" s="1"/>
  <c r="T323" i="1"/>
  <c r="AG323" i="1" s="1"/>
  <c r="T325" i="1"/>
  <c r="AG325" i="1" s="1"/>
  <c r="T327" i="1"/>
  <c r="AG327" i="1" s="1"/>
  <c r="T329" i="1"/>
  <c r="AG329" i="1" s="1"/>
  <c r="T331" i="1"/>
  <c r="AG331" i="1" s="1"/>
  <c r="T333" i="1"/>
  <c r="AG333" i="1" s="1"/>
  <c r="T335" i="1"/>
  <c r="AG335" i="1" s="1"/>
  <c r="T337" i="1"/>
  <c r="AG337" i="1" s="1"/>
  <c r="T339" i="1"/>
  <c r="AG339" i="1" s="1"/>
  <c r="T341" i="1"/>
  <c r="AG341" i="1" s="1"/>
  <c r="T343" i="1"/>
  <c r="AG343" i="1" s="1"/>
  <c r="U247" i="1"/>
  <c r="AH247" i="1" s="1"/>
  <c r="Y251" i="1"/>
  <c r="AL251" i="1" s="1"/>
  <c r="T258" i="1"/>
  <c r="AG258" i="1" s="1"/>
  <c r="Q262" i="1"/>
  <c r="AD262" i="1" s="1"/>
  <c r="S276" i="1"/>
  <c r="AF276" i="1" s="1"/>
  <c r="Y283" i="1"/>
  <c r="AL283" i="1" s="1"/>
  <c r="R294" i="1"/>
  <c r="AE294" i="1" s="1"/>
  <c r="P295" i="1"/>
  <c r="AC295" i="1" s="1"/>
  <c r="S296" i="1"/>
  <c r="AF296" i="1" s="1"/>
  <c r="P297" i="1"/>
  <c r="AC297" i="1" s="1"/>
  <c r="R298" i="1"/>
  <c r="AE298" i="1" s="1"/>
  <c r="O299" i="1"/>
  <c r="AB299" i="1" s="1"/>
  <c r="Q300" i="1"/>
  <c r="AD300" i="1" s="1"/>
  <c r="U307" i="1"/>
  <c r="AH307" i="1" s="1"/>
  <c r="U309" i="1"/>
  <c r="AH309" i="1" s="1"/>
  <c r="U311" i="1"/>
  <c r="AH311" i="1" s="1"/>
  <c r="U313" i="1"/>
  <c r="AH313" i="1" s="1"/>
  <c r="U315" i="1"/>
  <c r="AH315" i="1" s="1"/>
  <c r="U317" i="1"/>
  <c r="AH317" i="1" s="1"/>
  <c r="U319" i="1"/>
  <c r="AH319" i="1" s="1"/>
  <c r="U321" i="1"/>
  <c r="AH321" i="1" s="1"/>
  <c r="U323" i="1"/>
  <c r="AH323" i="1" s="1"/>
  <c r="U325" i="1"/>
  <c r="AH325" i="1" s="1"/>
  <c r="U327" i="1"/>
  <c r="AH327" i="1" s="1"/>
  <c r="U329" i="1"/>
  <c r="AH329" i="1" s="1"/>
  <c r="U331" i="1"/>
  <c r="AH331" i="1" s="1"/>
  <c r="U333" i="1"/>
  <c r="AH333" i="1" s="1"/>
  <c r="U335" i="1"/>
  <c r="AH335" i="1" s="1"/>
  <c r="U337" i="1"/>
  <c r="AH337" i="1" s="1"/>
  <c r="U339" i="1"/>
  <c r="AH339" i="1" s="1"/>
  <c r="U341" i="1"/>
  <c r="AH341" i="1" s="1"/>
  <c r="U223" i="1"/>
  <c r="AH223" i="1" s="1"/>
  <c r="O248" i="1"/>
  <c r="AB248" i="1" s="1"/>
  <c r="S262" i="1"/>
  <c r="AF262" i="1" s="1"/>
  <c r="Y269" i="1"/>
  <c r="AL269" i="1" s="1"/>
  <c r="T276" i="1"/>
  <c r="AG276" i="1" s="1"/>
  <c r="Q280" i="1"/>
  <c r="AD280" i="1" s="1"/>
  <c r="Q290" i="1"/>
  <c r="AD290" i="1" s="1"/>
  <c r="O293" i="1"/>
  <c r="AB293" i="1" s="1"/>
  <c r="S294" i="1"/>
  <c r="AF294" i="1" s="1"/>
  <c r="R295" i="1"/>
  <c r="AE295" i="1" s="1"/>
  <c r="T296" i="1"/>
  <c r="AG296" i="1" s="1"/>
  <c r="Q297" i="1"/>
  <c r="AD297" i="1" s="1"/>
  <c r="S298" i="1"/>
  <c r="AF298" i="1" s="1"/>
  <c r="P299" i="1"/>
  <c r="AC299" i="1" s="1"/>
  <c r="R300" i="1"/>
  <c r="AE300" i="1" s="1"/>
  <c r="O301" i="1"/>
  <c r="AB301" i="1" s="1"/>
  <c r="Q302" i="1"/>
  <c r="AD302" i="1" s="1"/>
  <c r="V307" i="1"/>
  <c r="AI307" i="1" s="1"/>
  <c r="V309" i="1"/>
  <c r="AI309" i="1" s="1"/>
  <c r="V311" i="1"/>
  <c r="AI311" i="1" s="1"/>
  <c r="V313" i="1"/>
  <c r="AI313" i="1" s="1"/>
  <c r="V315" i="1"/>
  <c r="AI315" i="1" s="1"/>
  <c r="V317" i="1"/>
  <c r="AI317" i="1" s="1"/>
  <c r="V319" i="1"/>
  <c r="AI319" i="1" s="1"/>
  <c r="V321" i="1"/>
  <c r="AI321" i="1" s="1"/>
  <c r="V323" i="1"/>
  <c r="AI323" i="1" s="1"/>
  <c r="V325" i="1"/>
  <c r="AI325" i="1" s="1"/>
  <c r="V327" i="1"/>
  <c r="AI327" i="1" s="1"/>
  <c r="V329" i="1"/>
  <c r="AI329" i="1" s="1"/>
  <c r="V331" i="1"/>
  <c r="AI331" i="1" s="1"/>
  <c r="V333" i="1"/>
  <c r="AI333" i="1" s="1"/>
  <c r="V335" i="1"/>
  <c r="AI335" i="1" s="1"/>
  <c r="V337" i="1"/>
  <c r="AI337" i="1" s="1"/>
  <c r="V339" i="1"/>
  <c r="AI339" i="1" s="1"/>
  <c r="V341" i="1"/>
  <c r="AI341" i="1" s="1"/>
  <c r="V343" i="1"/>
  <c r="AI343" i="1" s="1"/>
  <c r="S248" i="1"/>
  <c r="AF248" i="1" s="1"/>
  <c r="Y255" i="1"/>
  <c r="AL255" i="1" s="1"/>
  <c r="T262" i="1"/>
  <c r="AG262" i="1" s="1"/>
  <c r="Q266" i="1"/>
  <c r="AD266" i="1" s="1"/>
  <c r="S280" i="1"/>
  <c r="AF280" i="1" s="1"/>
  <c r="Y287" i="1"/>
  <c r="AL287" i="1" s="1"/>
  <c r="R290" i="1"/>
  <c r="AE290" i="1" s="1"/>
  <c r="Q292" i="1"/>
  <c r="AD292" i="1" s="1"/>
  <c r="P293" i="1"/>
  <c r="AC293" i="1" s="1"/>
  <c r="T294" i="1"/>
  <c r="AG294" i="1" s="1"/>
  <c r="S295" i="1"/>
  <c r="AF295" i="1" s="1"/>
  <c r="U296" i="1"/>
  <c r="AH296" i="1" s="1"/>
  <c r="R297" i="1"/>
  <c r="AE297" i="1" s="1"/>
  <c r="T298" i="1"/>
  <c r="AG298" i="1" s="1"/>
  <c r="Q299" i="1"/>
  <c r="AD299" i="1" s="1"/>
  <c r="S300" i="1"/>
  <c r="AF300" i="1" s="1"/>
  <c r="P301" i="1"/>
  <c r="AC301" i="1" s="1"/>
  <c r="R302" i="1"/>
  <c r="AE302" i="1" s="1"/>
  <c r="O303" i="1"/>
  <c r="AB303" i="1" s="1"/>
  <c r="Q304" i="1"/>
  <c r="AD304" i="1" s="1"/>
  <c r="W307" i="1"/>
  <c r="AJ307" i="1" s="1"/>
  <c r="O308" i="1"/>
  <c r="AB308" i="1" s="1"/>
  <c r="W309" i="1"/>
  <c r="AJ309" i="1" s="1"/>
  <c r="O310" i="1"/>
  <c r="AB310" i="1" s="1"/>
  <c r="W311" i="1"/>
  <c r="AJ311" i="1" s="1"/>
  <c r="O312" i="1"/>
  <c r="AB312" i="1" s="1"/>
  <c r="W313" i="1"/>
  <c r="AJ313" i="1" s="1"/>
  <c r="O314" i="1"/>
  <c r="AB314" i="1" s="1"/>
  <c r="W315" i="1"/>
  <c r="AJ315" i="1" s="1"/>
  <c r="O316" i="1"/>
  <c r="AB316" i="1" s="1"/>
  <c r="W317" i="1"/>
  <c r="AJ317" i="1" s="1"/>
  <c r="O318" i="1"/>
  <c r="AB318" i="1" s="1"/>
  <c r="W319" i="1"/>
  <c r="AJ319" i="1" s="1"/>
  <c r="O320" i="1"/>
  <c r="AB320" i="1" s="1"/>
  <c r="W321" i="1"/>
  <c r="AJ321" i="1" s="1"/>
  <c r="O322" i="1"/>
  <c r="AB322" i="1" s="1"/>
  <c r="W323" i="1"/>
  <c r="AJ323" i="1" s="1"/>
  <c r="O324" i="1"/>
  <c r="AB324" i="1" s="1"/>
  <c r="W325" i="1"/>
  <c r="AJ325" i="1" s="1"/>
  <c r="O326" i="1"/>
  <c r="AB326" i="1" s="1"/>
  <c r="W327" i="1"/>
  <c r="AJ327" i="1" s="1"/>
  <c r="O328" i="1"/>
  <c r="AB328" i="1" s="1"/>
  <c r="W329" i="1"/>
  <c r="AJ329" i="1" s="1"/>
  <c r="O330" i="1"/>
  <c r="AB330" i="1" s="1"/>
  <c r="W331" i="1"/>
  <c r="AJ331" i="1" s="1"/>
  <c r="O332" i="1"/>
  <c r="AB332" i="1" s="1"/>
  <c r="W333" i="1"/>
  <c r="AJ333" i="1" s="1"/>
  <c r="O334" i="1"/>
  <c r="AB334" i="1" s="1"/>
  <c r="W335" i="1"/>
  <c r="AJ335" i="1" s="1"/>
  <c r="O336" i="1"/>
  <c r="AB336" i="1" s="1"/>
  <c r="W337" i="1"/>
  <c r="AJ337" i="1" s="1"/>
  <c r="O338" i="1"/>
  <c r="AB338" i="1" s="1"/>
  <c r="W339" i="1"/>
  <c r="AJ339" i="1" s="1"/>
  <c r="O340" i="1"/>
  <c r="AB340" i="1" s="1"/>
  <c r="W341" i="1"/>
  <c r="AJ341" i="1" s="1"/>
  <c r="O342" i="1"/>
  <c r="AB342" i="1" s="1"/>
  <c r="R207" i="1"/>
  <c r="AE207" i="1" s="1"/>
  <c r="U239" i="1"/>
  <c r="AH239" i="1" s="1"/>
  <c r="T248" i="1"/>
  <c r="AG248" i="1" s="1"/>
  <c r="Q252" i="1"/>
  <c r="AD252" i="1" s="1"/>
  <c r="S266" i="1"/>
  <c r="AF266" i="1" s="1"/>
  <c r="Y273" i="1"/>
  <c r="AL273" i="1" s="1"/>
  <c r="T280" i="1"/>
  <c r="AG280" i="1" s="1"/>
  <c r="Q284" i="1"/>
  <c r="AD284" i="1" s="1"/>
  <c r="S290" i="1"/>
  <c r="AF290" i="1" s="1"/>
  <c r="R292" i="1"/>
  <c r="AE292" i="1" s="1"/>
  <c r="R293" i="1"/>
  <c r="AE293" i="1" s="1"/>
  <c r="U294" i="1"/>
  <c r="AH294" i="1" s="1"/>
  <c r="Y295" i="1"/>
  <c r="AL295" i="1" s="1"/>
  <c r="V296" i="1"/>
  <c r="AI296" i="1" s="1"/>
  <c r="S297" i="1"/>
  <c r="AF297" i="1" s="1"/>
  <c r="U298" i="1"/>
  <c r="AH298" i="1" s="1"/>
  <c r="R299" i="1"/>
  <c r="AE299" i="1" s="1"/>
  <c r="T300" i="1"/>
  <c r="AG300" i="1" s="1"/>
  <c r="Q301" i="1"/>
  <c r="AD301" i="1" s="1"/>
  <c r="S302" i="1"/>
  <c r="AF302" i="1" s="1"/>
  <c r="P303" i="1"/>
  <c r="AC303" i="1" s="1"/>
  <c r="R304" i="1"/>
  <c r="AE304" i="1" s="1"/>
  <c r="O305" i="1"/>
  <c r="AB305" i="1" s="1"/>
  <c r="X307" i="1"/>
  <c r="AK307" i="1" s="1"/>
  <c r="P308" i="1"/>
  <c r="AC308" i="1" s="1"/>
  <c r="X309" i="1"/>
  <c r="AK309" i="1" s="1"/>
  <c r="P310" i="1"/>
  <c r="AC310" i="1" s="1"/>
  <c r="X311" i="1"/>
  <c r="AK311" i="1" s="1"/>
  <c r="P312" i="1"/>
  <c r="AC312" i="1" s="1"/>
  <c r="X313" i="1"/>
  <c r="AK313" i="1" s="1"/>
  <c r="P314" i="1"/>
  <c r="AC314" i="1" s="1"/>
  <c r="X315" i="1"/>
  <c r="AK315" i="1" s="1"/>
  <c r="P316" i="1"/>
  <c r="AC316" i="1" s="1"/>
  <c r="X317" i="1"/>
  <c r="AK317" i="1" s="1"/>
  <c r="P318" i="1"/>
  <c r="AC318" i="1" s="1"/>
  <c r="X319" i="1"/>
  <c r="AK319" i="1" s="1"/>
  <c r="P320" i="1"/>
  <c r="AC320" i="1" s="1"/>
  <c r="X321" i="1"/>
  <c r="AK321" i="1" s="1"/>
  <c r="P322" i="1"/>
  <c r="AC322" i="1" s="1"/>
  <c r="X323" i="1"/>
  <c r="AK323" i="1" s="1"/>
  <c r="P324" i="1"/>
  <c r="AC324" i="1" s="1"/>
  <c r="X325" i="1"/>
  <c r="AK325" i="1" s="1"/>
  <c r="P326" i="1"/>
  <c r="AC326" i="1" s="1"/>
  <c r="X327" i="1"/>
  <c r="AK327" i="1" s="1"/>
  <c r="P328" i="1"/>
  <c r="AC328" i="1" s="1"/>
  <c r="X329" i="1"/>
  <c r="AK329" i="1" s="1"/>
  <c r="P330" i="1"/>
  <c r="AC330" i="1" s="1"/>
  <c r="X331" i="1"/>
  <c r="AK331" i="1" s="1"/>
  <c r="P332" i="1"/>
  <c r="AC332" i="1" s="1"/>
  <c r="X333" i="1"/>
  <c r="AK333" i="1" s="1"/>
  <c r="P334" i="1"/>
  <c r="AC334" i="1" s="1"/>
  <c r="X335" i="1"/>
  <c r="AK335" i="1" s="1"/>
  <c r="P336" i="1"/>
  <c r="AC336" i="1" s="1"/>
  <c r="X337" i="1"/>
  <c r="AK337" i="1" s="1"/>
  <c r="P338" i="1"/>
  <c r="AC338" i="1" s="1"/>
  <c r="X339" i="1"/>
  <c r="AK339" i="1" s="1"/>
  <c r="P340" i="1"/>
  <c r="AC340" i="1" s="1"/>
  <c r="X341" i="1"/>
  <c r="AK341" i="1" s="1"/>
  <c r="P342" i="1"/>
  <c r="AC342" i="1" s="1"/>
  <c r="X343" i="1"/>
  <c r="AK343" i="1" s="1"/>
  <c r="P344" i="1"/>
  <c r="AC344" i="1" s="1"/>
  <c r="X345" i="1"/>
  <c r="AK345" i="1" s="1"/>
  <c r="P346" i="1"/>
  <c r="AC346" i="1" s="1"/>
  <c r="X347" i="1"/>
  <c r="AK347" i="1" s="1"/>
  <c r="P348" i="1"/>
  <c r="AC348" i="1" s="1"/>
  <c r="S252" i="1"/>
  <c r="AF252" i="1" s="1"/>
  <c r="Y259" i="1"/>
  <c r="AL259" i="1" s="1"/>
  <c r="T266" i="1"/>
  <c r="AG266" i="1" s="1"/>
  <c r="Q270" i="1"/>
  <c r="AD270" i="1" s="1"/>
  <c r="S284" i="1"/>
  <c r="AF284" i="1" s="1"/>
  <c r="T290" i="1"/>
  <c r="AG290" i="1" s="1"/>
  <c r="S292" i="1"/>
  <c r="AF292" i="1" s="1"/>
  <c r="S293" i="1"/>
  <c r="AF293" i="1" s="1"/>
  <c r="V294" i="1"/>
  <c r="AI294" i="1" s="1"/>
  <c r="Z295" i="1"/>
  <c r="AM295" i="1" s="1"/>
  <c r="W296" i="1"/>
  <c r="AJ296" i="1" s="1"/>
  <c r="Y297" i="1"/>
  <c r="AL297" i="1" s="1"/>
  <c r="V298" i="1"/>
  <c r="AI298" i="1" s="1"/>
  <c r="S299" i="1"/>
  <c r="AF299" i="1" s="1"/>
  <c r="U300" i="1"/>
  <c r="AH300" i="1" s="1"/>
  <c r="R301" i="1"/>
  <c r="AE301" i="1" s="1"/>
  <c r="T302" i="1"/>
  <c r="AG302" i="1" s="1"/>
  <c r="Q303" i="1"/>
  <c r="AD303" i="1" s="1"/>
  <c r="S304" i="1"/>
  <c r="AF304" i="1" s="1"/>
  <c r="P305" i="1"/>
  <c r="AC305" i="1" s="1"/>
  <c r="Y307" i="1"/>
  <c r="AL307" i="1" s="1"/>
  <c r="Q308" i="1"/>
  <c r="AD308" i="1" s="1"/>
  <c r="Y309" i="1"/>
  <c r="AL309" i="1" s="1"/>
  <c r="Q310" i="1"/>
  <c r="AD310" i="1" s="1"/>
  <c r="Y311" i="1"/>
  <c r="AL311" i="1" s="1"/>
  <c r="Q312" i="1"/>
  <c r="AD312" i="1" s="1"/>
  <c r="Y313" i="1"/>
  <c r="AL313" i="1" s="1"/>
  <c r="Q314" i="1"/>
  <c r="AD314" i="1" s="1"/>
  <c r="Y315" i="1"/>
  <c r="AL315" i="1" s="1"/>
  <c r="Q316" i="1"/>
  <c r="AD316" i="1" s="1"/>
  <c r="Y317" i="1"/>
  <c r="AL317" i="1" s="1"/>
  <c r="Q318" i="1"/>
  <c r="AD318" i="1" s="1"/>
  <c r="Y319" i="1"/>
  <c r="AL319" i="1" s="1"/>
  <c r="Q320" i="1"/>
  <c r="AD320" i="1" s="1"/>
  <c r="Y321" i="1"/>
  <c r="AL321" i="1" s="1"/>
  <c r="Q322" i="1"/>
  <c r="AD322" i="1" s="1"/>
  <c r="Y323" i="1"/>
  <c r="AL323" i="1" s="1"/>
  <c r="Q324" i="1"/>
  <c r="AD324" i="1" s="1"/>
  <c r="Y325" i="1"/>
  <c r="AL325" i="1" s="1"/>
  <c r="Q326" i="1"/>
  <c r="AD326" i="1" s="1"/>
  <c r="Y327" i="1"/>
  <c r="AL327" i="1" s="1"/>
  <c r="Q328" i="1"/>
  <c r="AD328" i="1" s="1"/>
  <c r="Y329" i="1"/>
  <c r="AL329" i="1" s="1"/>
  <c r="Q330" i="1"/>
  <c r="AD330" i="1" s="1"/>
  <c r="Y331" i="1"/>
  <c r="AL331" i="1" s="1"/>
  <c r="Q332" i="1"/>
  <c r="AD332" i="1" s="1"/>
  <c r="T210" i="1"/>
  <c r="AG210" i="1" s="1"/>
  <c r="T226" i="1"/>
  <c r="AG226" i="1" s="1"/>
  <c r="T252" i="1"/>
  <c r="AG252" i="1" s="1"/>
  <c r="Q256" i="1"/>
  <c r="AD256" i="1" s="1"/>
  <c r="S270" i="1"/>
  <c r="AF270" i="1" s="1"/>
  <c r="Y277" i="1"/>
  <c r="AL277" i="1" s="1"/>
  <c r="T284" i="1"/>
  <c r="AG284" i="1" s="1"/>
  <c r="Q288" i="1"/>
  <c r="AD288" i="1" s="1"/>
  <c r="T292" i="1"/>
  <c r="AG292" i="1" s="1"/>
  <c r="Y293" i="1"/>
  <c r="AL293" i="1" s="1"/>
  <c r="W294" i="1"/>
  <c r="AJ294" i="1" s="1"/>
  <c r="X296" i="1"/>
  <c r="AK296" i="1" s="1"/>
  <c r="Z297" i="1"/>
  <c r="AM297" i="1" s="1"/>
  <c r="W298" i="1"/>
  <c r="AJ298" i="1" s="1"/>
  <c r="Y299" i="1"/>
  <c r="AL299" i="1" s="1"/>
  <c r="V300" i="1"/>
  <c r="AI300" i="1" s="1"/>
  <c r="S301" i="1"/>
  <c r="AF301" i="1" s="1"/>
  <c r="U302" i="1"/>
  <c r="AH302" i="1" s="1"/>
  <c r="R303" i="1"/>
  <c r="AE303" i="1" s="1"/>
  <c r="T304" i="1"/>
  <c r="AG304" i="1" s="1"/>
  <c r="Q305" i="1"/>
  <c r="AD305" i="1" s="1"/>
  <c r="Z307" i="1"/>
  <c r="AM307" i="1" s="1"/>
  <c r="R308" i="1"/>
  <c r="AE308" i="1" s="1"/>
  <c r="Z309" i="1"/>
  <c r="AM309" i="1" s="1"/>
  <c r="R310" i="1"/>
  <c r="AE310" i="1" s="1"/>
  <c r="Z311" i="1"/>
  <c r="AM311" i="1" s="1"/>
  <c r="R312" i="1"/>
  <c r="AE312" i="1" s="1"/>
  <c r="Z313" i="1"/>
  <c r="AM313" i="1" s="1"/>
  <c r="R314" i="1"/>
  <c r="AE314" i="1" s="1"/>
  <c r="Z315" i="1"/>
  <c r="AM315" i="1" s="1"/>
  <c r="R316" i="1"/>
  <c r="AE316" i="1" s="1"/>
  <c r="Z317" i="1"/>
  <c r="AM317" i="1" s="1"/>
  <c r="R318" i="1"/>
  <c r="AE318" i="1" s="1"/>
  <c r="Z319" i="1"/>
  <c r="AM319" i="1" s="1"/>
  <c r="R320" i="1"/>
  <c r="AE320" i="1" s="1"/>
  <c r="Z321" i="1"/>
  <c r="AM321" i="1" s="1"/>
  <c r="R322" i="1"/>
  <c r="AE322" i="1" s="1"/>
  <c r="Z323" i="1"/>
  <c r="AM323" i="1" s="1"/>
  <c r="R324" i="1"/>
  <c r="AE324" i="1" s="1"/>
  <c r="Z325" i="1"/>
  <c r="AM325" i="1" s="1"/>
  <c r="R326" i="1"/>
  <c r="AE326" i="1" s="1"/>
  <c r="Z327" i="1"/>
  <c r="AM327" i="1" s="1"/>
  <c r="R328" i="1"/>
  <c r="AE328" i="1" s="1"/>
  <c r="Z329" i="1"/>
  <c r="AM329" i="1" s="1"/>
  <c r="R330" i="1"/>
  <c r="AE330" i="1" s="1"/>
  <c r="Z331" i="1"/>
  <c r="AM331" i="1" s="1"/>
  <c r="R332" i="1"/>
  <c r="AE332" i="1" s="1"/>
  <c r="Z333" i="1"/>
  <c r="AM333" i="1" s="1"/>
  <c r="R334" i="1"/>
  <c r="AE334" i="1" s="1"/>
  <c r="Z335" i="1"/>
  <c r="AM335" i="1" s="1"/>
  <c r="R336" i="1"/>
  <c r="AE336" i="1" s="1"/>
  <c r="Z337" i="1"/>
  <c r="AM337" i="1" s="1"/>
  <c r="R338" i="1"/>
  <c r="AE338" i="1" s="1"/>
  <c r="Z339" i="1"/>
  <c r="AM339" i="1" s="1"/>
  <c r="R340" i="1"/>
  <c r="AE340" i="1" s="1"/>
  <c r="Z341" i="1"/>
  <c r="AM341" i="1" s="1"/>
  <c r="R342" i="1"/>
  <c r="AE342" i="1" s="1"/>
  <c r="Z343" i="1"/>
  <c r="AM343" i="1" s="1"/>
  <c r="R344" i="1"/>
  <c r="AE344" i="1" s="1"/>
  <c r="T149" i="1"/>
  <c r="AG149" i="1" s="1"/>
  <c r="U210" i="1"/>
  <c r="AH210" i="1" s="1"/>
  <c r="U228" i="1"/>
  <c r="AH228" i="1" s="1"/>
  <c r="S256" i="1"/>
  <c r="AF256" i="1" s="1"/>
  <c r="Y263" i="1"/>
  <c r="AL263" i="1" s="1"/>
  <c r="T270" i="1"/>
  <c r="AG270" i="1" s="1"/>
  <c r="Q274" i="1"/>
  <c r="AD274" i="1" s="1"/>
  <c r="R288" i="1"/>
  <c r="AE288" i="1" s="1"/>
  <c r="U292" i="1"/>
  <c r="AH292" i="1" s="1"/>
  <c r="Z293" i="1"/>
  <c r="AM293" i="1" s="1"/>
  <c r="X294" i="1"/>
  <c r="AK294" i="1" s="1"/>
  <c r="Y296" i="1"/>
  <c r="AL296" i="1" s="1"/>
  <c r="X298" i="1"/>
  <c r="AK298" i="1" s="1"/>
  <c r="Z299" i="1"/>
  <c r="AM299" i="1" s="1"/>
  <c r="W300" i="1"/>
  <c r="AJ300" i="1" s="1"/>
  <c r="Y301" i="1"/>
  <c r="AL301" i="1" s="1"/>
  <c r="V302" i="1"/>
  <c r="AI302" i="1" s="1"/>
  <c r="S303" i="1"/>
  <c r="AF303" i="1" s="1"/>
  <c r="U304" i="1"/>
  <c r="AH304" i="1" s="1"/>
  <c r="R305" i="1"/>
  <c r="AE305" i="1" s="1"/>
  <c r="Q306" i="1"/>
  <c r="AD306" i="1" s="1"/>
  <c r="S308" i="1"/>
  <c r="AF308" i="1" s="1"/>
  <c r="S310" i="1"/>
  <c r="AF310" i="1" s="1"/>
  <c r="S312" i="1"/>
  <c r="AF312" i="1" s="1"/>
  <c r="S314" i="1"/>
  <c r="AF314" i="1" s="1"/>
  <c r="S316" i="1"/>
  <c r="AF316" i="1" s="1"/>
  <c r="S318" i="1"/>
  <c r="AF318" i="1" s="1"/>
  <c r="S320" i="1"/>
  <c r="AF320" i="1" s="1"/>
  <c r="S322" i="1"/>
  <c r="AF322" i="1" s="1"/>
  <c r="S324" i="1"/>
  <c r="AF324" i="1" s="1"/>
  <c r="S326" i="1"/>
  <c r="AF326" i="1" s="1"/>
  <c r="S328" i="1"/>
  <c r="AF328" i="1" s="1"/>
  <c r="S330" i="1"/>
  <c r="AF330" i="1" s="1"/>
  <c r="S332" i="1"/>
  <c r="AF332" i="1" s="1"/>
  <c r="S334" i="1"/>
  <c r="AF334" i="1" s="1"/>
  <c r="S336" i="1"/>
  <c r="AF336" i="1" s="1"/>
  <c r="S338" i="1"/>
  <c r="AF338" i="1" s="1"/>
  <c r="S340" i="1"/>
  <c r="AF340" i="1" s="1"/>
  <c r="S342" i="1"/>
  <c r="AF342" i="1" s="1"/>
  <c r="S344" i="1"/>
  <c r="AF344" i="1" s="1"/>
  <c r="S346" i="1"/>
  <c r="AF346" i="1" s="1"/>
  <c r="S348" i="1"/>
  <c r="AF348" i="1" s="1"/>
  <c r="U149" i="1"/>
  <c r="AH149" i="1" s="1"/>
  <c r="T242" i="1"/>
  <c r="AG242" i="1" s="1"/>
  <c r="Y249" i="1"/>
  <c r="AL249" i="1" s="1"/>
  <c r="T256" i="1"/>
  <c r="AG256" i="1" s="1"/>
  <c r="Q260" i="1"/>
  <c r="AD260" i="1" s="1"/>
  <c r="S274" i="1"/>
  <c r="AF274" i="1" s="1"/>
  <c r="Y281" i="1"/>
  <c r="AL281" i="1" s="1"/>
  <c r="S288" i="1"/>
  <c r="AF288" i="1" s="1"/>
  <c r="V292" i="1"/>
  <c r="AI292" i="1" s="1"/>
  <c r="Z294" i="1"/>
  <c r="AM294" i="1" s="1"/>
  <c r="Z296" i="1"/>
  <c r="AM296" i="1" s="1"/>
  <c r="Y298" i="1"/>
  <c r="AL298" i="1" s="1"/>
  <c r="X300" i="1"/>
  <c r="AK300" i="1" s="1"/>
  <c r="Z301" i="1"/>
  <c r="AM301" i="1" s="1"/>
  <c r="W302" i="1"/>
  <c r="AJ302" i="1" s="1"/>
  <c r="Y303" i="1"/>
  <c r="AL303" i="1" s="1"/>
  <c r="V304" i="1"/>
  <c r="AI304" i="1" s="1"/>
  <c r="S305" i="1"/>
  <c r="AF305" i="1" s="1"/>
  <c r="R306" i="1"/>
  <c r="AE306" i="1" s="1"/>
  <c r="T308" i="1"/>
  <c r="AG308" i="1" s="1"/>
  <c r="T310" i="1"/>
  <c r="AG310" i="1" s="1"/>
  <c r="T312" i="1"/>
  <c r="AG312" i="1" s="1"/>
  <c r="T314" i="1"/>
  <c r="AG314" i="1" s="1"/>
  <c r="T316" i="1"/>
  <c r="AG316" i="1" s="1"/>
  <c r="T318" i="1"/>
  <c r="AG318" i="1" s="1"/>
  <c r="T320" i="1"/>
  <c r="AG320" i="1" s="1"/>
  <c r="T322" i="1"/>
  <c r="AG322" i="1" s="1"/>
  <c r="T324" i="1"/>
  <c r="AG324" i="1" s="1"/>
  <c r="T326" i="1"/>
  <c r="AG326" i="1" s="1"/>
  <c r="T328" i="1"/>
  <c r="AG328" i="1" s="1"/>
  <c r="T330" i="1"/>
  <c r="AG330" i="1" s="1"/>
  <c r="T332" i="1"/>
  <c r="AG332" i="1" s="1"/>
  <c r="T334" i="1"/>
  <c r="AG334" i="1" s="1"/>
  <c r="T336" i="1"/>
  <c r="AG336" i="1" s="1"/>
  <c r="T338" i="1"/>
  <c r="AG338" i="1" s="1"/>
  <c r="T340" i="1"/>
  <c r="AG340" i="1" s="1"/>
  <c r="T342" i="1"/>
  <c r="AG342" i="1" s="1"/>
  <c r="T344" i="1"/>
  <c r="AG344" i="1" s="1"/>
  <c r="T346" i="1"/>
  <c r="AG346" i="1" s="1"/>
  <c r="T348" i="1"/>
  <c r="AG348" i="1" s="1"/>
  <c r="W213" i="1"/>
  <c r="AJ213" i="1" s="1"/>
  <c r="Q244" i="1"/>
  <c r="AD244" i="1" s="1"/>
  <c r="S260" i="1"/>
  <c r="AF260" i="1" s="1"/>
  <c r="Y267" i="1"/>
  <c r="AL267" i="1" s="1"/>
  <c r="T274" i="1"/>
  <c r="AG274" i="1" s="1"/>
  <c r="Q278" i="1"/>
  <c r="AD278" i="1" s="1"/>
  <c r="T288" i="1"/>
  <c r="AG288" i="1" s="1"/>
  <c r="W292" i="1"/>
  <c r="AJ292" i="1" s="1"/>
  <c r="Z298" i="1"/>
  <c r="AM298" i="1" s="1"/>
  <c r="Y300" i="1"/>
  <c r="AL300" i="1" s="1"/>
  <c r="X302" i="1"/>
  <c r="AK302" i="1" s="1"/>
  <c r="Z303" i="1"/>
  <c r="AM303" i="1" s="1"/>
  <c r="W304" i="1"/>
  <c r="AJ304" i="1" s="1"/>
  <c r="Y305" i="1"/>
  <c r="AL305" i="1" s="1"/>
  <c r="S306" i="1"/>
  <c r="AF306" i="1" s="1"/>
  <c r="U308" i="1"/>
  <c r="AH308" i="1" s="1"/>
  <c r="U310" i="1"/>
  <c r="AH310" i="1" s="1"/>
  <c r="U312" i="1"/>
  <c r="AH312" i="1" s="1"/>
  <c r="U314" i="1"/>
  <c r="AH314" i="1" s="1"/>
  <c r="U316" i="1"/>
  <c r="AH316" i="1" s="1"/>
  <c r="U318" i="1"/>
  <c r="AH318" i="1" s="1"/>
  <c r="U320" i="1"/>
  <c r="AH320" i="1" s="1"/>
  <c r="U322" i="1"/>
  <c r="AH322" i="1" s="1"/>
  <c r="U324" i="1"/>
  <c r="AH324" i="1" s="1"/>
  <c r="U326" i="1"/>
  <c r="AH326" i="1" s="1"/>
  <c r="U328" i="1"/>
  <c r="AH328" i="1" s="1"/>
  <c r="U330" i="1"/>
  <c r="AH330" i="1" s="1"/>
  <c r="U332" i="1"/>
  <c r="AH332" i="1" s="1"/>
  <c r="U334" i="1"/>
  <c r="AH334" i="1" s="1"/>
  <c r="U336" i="1"/>
  <c r="AH336" i="1" s="1"/>
  <c r="U338" i="1"/>
  <c r="AH338" i="1" s="1"/>
  <c r="U340" i="1"/>
  <c r="AH340" i="1" s="1"/>
  <c r="U342" i="1"/>
  <c r="AH342" i="1" s="1"/>
  <c r="U344" i="1"/>
  <c r="AH344" i="1" s="1"/>
  <c r="U346" i="1"/>
  <c r="AH346" i="1" s="1"/>
  <c r="U348" i="1"/>
  <c r="AH348" i="1" s="1"/>
  <c r="X216" i="1"/>
  <c r="AK216" i="1" s="1"/>
  <c r="U231" i="1"/>
  <c r="AH231" i="1" s="1"/>
  <c r="V244" i="1"/>
  <c r="AI244" i="1" s="1"/>
  <c r="Q250" i="1"/>
  <c r="AD250" i="1" s="1"/>
  <c r="S264" i="1"/>
  <c r="AF264" i="1" s="1"/>
  <c r="Y271" i="1"/>
  <c r="AL271" i="1" s="1"/>
  <c r="T278" i="1"/>
  <c r="AG278" i="1" s="1"/>
  <c r="Q282" i="1"/>
  <c r="AD282" i="1" s="1"/>
  <c r="Z291" i="1"/>
  <c r="AM291" i="1" s="1"/>
  <c r="Z292" i="1"/>
  <c r="AM292" i="1" s="1"/>
  <c r="Z302" i="1"/>
  <c r="AM302" i="1" s="1"/>
  <c r="Y304" i="1"/>
  <c r="AL304" i="1" s="1"/>
  <c r="U306" i="1"/>
  <c r="AH306" i="1" s="1"/>
  <c r="O307" i="1"/>
  <c r="AB307" i="1" s="1"/>
  <c r="W308" i="1"/>
  <c r="AJ308" i="1" s="1"/>
  <c r="O309" i="1"/>
  <c r="AB309" i="1" s="1"/>
  <c r="W310" i="1"/>
  <c r="AJ310" i="1" s="1"/>
  <c r="O311" i="1"/>
  <c r="AB311" i="1" s="1"/>
  <c r="W312" i="1"/>
  <c r="AJ312" i="1" s="1"/>
  <c r="O313" i="1"/>
  <c r="AB313" i="1" s="1"/>
  <c r="W314" i="1"/>
  <c r="AJ314" i="1" s="1"/>
  <c r="O315" i="1"/>
  <c r="AB315" i="1" s="1"/>
  <c r="W316" i="1"/>
  <c r="AJ316" i="1" s="1"/>
  <c r="O317" i="1"/>
  <c r="AB317" i="1" s="1"/>
  <c r="W318" i="1"/>
  <c r="AJ318" i="1" s="1"/>
  <c r="O319" i="1"/>
  <c r="AB319" i="1" s="1"/>
  <c r="W320" i="1"/>
  <c r="AJ320" i="1" s="1"/>
  <c r="O321" i="1"/>
  <c r="AB321" i="1" s="1"/>
  <c r="W322" i="1"/>
  <c r="AJ322" i="1" s="1"/>
  <c r="O323" i="1"/>
  <c r="AB323" i="1" s="1"/>
  <c r="W324" i="1"/>
  <c r="AJ324" i="1" s="1"/>
  <c r="O325" i="1"/>
  <c r="AB325" i="1" s="1"/>
  <c r="W326" i="1"/>
  <c r="AJ326" i="1" s="1"/>
  <c r="O327" i="1"/>
  <c r="AB327" i="1" s="1"/>
  <c r="W328" i="1"/>
  <c r="AJ328" i="1" s="1"/>
  <c r="O329" i="1"/>
  <c r="AB329" i="1" s="1"/>
  <c r="W330" i="1"/>
  <c r="AJ330" i="1" s="1"/>
  <c r="O331" i="1"/>
  <c r="AB331" i="1" s="1"/>
  <c r="W332" i="1"/>
  <c r="AJ332" i="1" s="1"/>
  <c r="O333" i="1"/>
  <c r="AB333" i="1" s="1"/>
  <c r="W334" i="1"/>
  <c r="AJ334" i="1" s="1"/>
  <c r="O335" i="1"/>
  <c r="AB335" i="1" s="1"/>
  <c r="W336" i="1"/>
  <c r="AJ336" i="1" s="1"/>
  <c r="O337" i="1"/>
  <c r="AB337" i="1" s="1"/>
  <c r="W338" i="1"/>
  <c r="AJ338" i="1" s="1"/>
  <c r="O339" i="1"/>
  <c r="AB339" i="1" s="1"/>
  <c r="W340" i="1"/>
  <c r="AJ340" i="1" s="1"/>
  <c r="O341" i="1"/>
  <c r="AB341" i="1" s="1"/>
  <c r="Q264" i="1"/>
  <c r="AD264" i="1" s="1"/>
  <c r="S282" i="1"/>
  <c r="AF282" i="1" s="1"/>
  <c r="Z304" i="1"/>
  <c r="AM304" i="1" s="1"/>
  <c r="Y308" i="1"/>
  <c r="AL308" i="1" s="1"/>
  <c r="V312" i="1"/>
  <c r="AI312" i="1" s="1"/>
  <c r="Q319" i="1"/>
  <c r="AD319" i="1" s="1"/>
  <c r="X326" i="1"/>
  <c r="AK326" i="1" s="1"/>
  <c r="Y333" i="1"/>
  <c r="AL333" i="1" s="1"/>
  <c r="Q336" i="1"/>
  <c r="AD336" i="1" s="1"/>
  <c r="Y341" i="1"/>
  <c r="AL341" i="1" s="1"/>
  <c r="W343" i="1"/>
  <c r="AJ343" i="1" s="1"/>
  <c r="Y344" i="1"/>
  <c r="AL344" i="1" s="1"/>
  <c r="U345" i="1"/>
  <c r="AH345" i="1" s="1"/>
  <c r="R346" i="1"/>
  <c r="AE346" i="1" s="1"/>
  <c r="Q347" i="1"/>
  <c r="AD347" i="1" s="1"/>
  <c r="T350" i="1"/>
  <c r="AG350" i="1" s="1"/>
  <c r="T352" i="1"/>
  <c r="AG352" i="1" s="1"/>
  <c r="T354" i="1"/>
  <c r="AG354" i="1" s="1"/>
  <c r="T356" i="1"/>
  <c r="AG356" i="1" s="1"/>
  <c r="T358" i="1"/>
  <c r="AG358" i="1" s="1"/>
  <c r="T360" i="1"/>
  <c r="AG360" i="1" s="1"/>
  <c r="T362" i="1"/>
  <c r="AG362" i="1" s="1"/>
  <c r="T364" i="1"/>
  <c r="AG364" i="1" s="1"/>
  <c r="T366" i="1"/>
  <c r="AG366" i="1" s="1"/>
  <c r="T368" i="1"/>
  <c r="AG368" i="1" s="1"/>
  <c r="T370" i="1"/>
  <c r="AG370" i="1" s="1"/>
  <c r="T372" i="1"/>
  <c r="AG372" i="1" s="1"/>
  <c r="T374" i="1"/>
  <c r="AG374" i="1" s="1"/>
  <c r="T376" i="1"/>
  <c r="AG376" i="1" s="1"/>
  <c r="T378" i="1"/>
  <c r="AG378" i="1" s="1"/>
  <c r="T380" i="1"/>
  <c r="AG380" i="1" s="1"/>
  <c r="T382" i="1"/>
  <c r="AG382" i="1" s="1"/>
  <c r="T384" i="1"/>
  <c r="AG384" i="1" s="1"/>
  <c r="T386" i="1"/>
  <c r="AG386" i="1" s="1"/>
  <c r="T388" i="1"/>
  <c r="AG388" i="1" s="1"/>
  <c r="T390" i="1"/>
  <c r="AG390" i="1" s="1"/>
  <c r="T392" i="1"/>
  <c r="AG392" i="1" s="1"/>
  <c r="T394" i="1"/>
  <c r="AG394" i="1" s="1"/>
  <c r="T396" i="1"/>
  <c r="AG396" i="1" s="1"/>
  <c r="T398" i="1"/>
  <c r="AG398" i="1" s="1"/>
  <c r="T400" i="1"/>
  <c r="AG400" i="1" s="1"/>
  <c r="U244" i="1"/>
  <c r="AH244" i="1" s="1"/>
  <c r="T264" i="1"/>
  <c r="AG264" i="1" s="1"/>
  <c r="T282" i="1"/>
  <c r="AG282" i="1" s="1"/>
  <c r="X312" i="1"/>
  <c r="AK312" i="1" s="1"/>
  <c r="P323" i="1"/>
  <c r="AC323" i="1" s="1"/>
  <c r="Y326" i="1"/>
  <c r="AL326" i="1" s="1"/>
  <c r="V330" i="1"/>
  <c r="AI330" i="1" s="1"/>
  <c r="V336" i="1"/>
  <c r="AI336" i="1" s="1"/>
  <c r="Y343" i="1"/>
  <c r="AL343" i="1" s="1"/>
  <c r="Z344" i="1"/>
  <c r="AM344" i="1" s="1"/>
  <c r="V345" i="1"/>
  <c r="AI345" i="1" s="1"/>
  <c r="V346" i="1"/>
  <c r="AI346" i="1" s="1"/>
  <c r="R347" i="1"/>
  <c r="AE347" i="1" s="1"/>
  <c r="U350" i="1"/>
  <c r="AH350" i="1" s="1"/>
  <c r="U352" i="1"/>
  <c r="AH352" i="1" s="1"/>
  <c r="U354" i="1"/>
  <c r="AH354" i="1" s="1"/>
  <c r="U356" i="1"/>
  <c r="AH356" i="1" s="1"/>
  <c r="U358" i="1"/>
  <c r="AH358" i="1" s="1"/>
  <c r="U360" i="1"/>
  <c r="AH360" i="1" s="1"/>
  <c r="U362" i="1"/>
  <c r="AH362" i="1" s="1"/>
  <c r="U364" i="1"/>
  <c r="AH364" i="1" s="1"/>
  <c r="U366" i="1"/>
  <c r="AH366" i="1" s="1"/>
  <c r="U368" i="1"/>
  <c r="AH368" i="1" s="1"/>
  <c r="U370" i="1"/>
  <c r="AH370" i="1" s="1"/>
  <c r="U372" i="1"/>
  <c r="AH372" i="1" s="1"/>
  <c r="U374" i="1"/>
  <c r="AH374" i="1" s="1"/>
  <c r="U376" i="1"/>
  <c r="AH376" i="1" s="1"/>
  <c r="U378" i="1"/>
  <c r="AH378" i="1" s="1"/>
  <c r="U380" i="1"/>
  <c r="AH380" i="1" s="1"/>
  <c r="U382" i="1"/>
  <c r="AH382" i="1" s="1"/>
  <c r="U384" i="1"/>
  <c r="AH384" i="1" s="1"/>
  <c r="U386" i="1"/>
  <c r="AH386" i="1" s="1"/>
  <c r="U388" i="1"/>
  <c r="AH388" i="1" s="1"/>
  <c r="U390" i="1"/>
  <c r="AH390" i="1" s="1"/>
  <c r="U392" i="1"/>
  <c r="AH392" i="1" s="1"/>
  <c r="U394" i="1"/>
  <c r="AH394" i="1" s="1"/>
  <c r="U396" i="1"/>
  <c r="AH396" i="1" s="1"/>
  <c r="S246" i="1"/>
  <c r="AF246" i="1" s="1"/>
  <c r="Y285" i="1"/>
  <c r="AL285" i="1" s="1"/>
  <c r="Z305" i="1"/>
  <c r="AM305" i="1" s="1"/>
  <c r="P309" i="1"/>
  <c r="AC309" i="1" s="1"/>
  <c r="Y312" i="1"/>
  <c r="AL312" i="1" s="1"/>
  <c r="V316" i="1"/>
  <c r="AI316" i="1" s="1"/>
  <c r="Q323" i="1"/>
  <c r="AD323" i="1" s="1"/>
  <c r="X330" i="1"/>
  <c r="AK330" i="1" s="1"/>
  <c r="X336" i="1"/>
  <c r="AK336" i="1" s="1"/>
  <c r="P339" i="1"/>
  <c r="AC339" i="1" s="1"/>
  <c r="W345" i="1"/>
  <c r="AJ345" i="1" s="1"/>
  <c r="W346" i="1"/>
  <c r="AJ346" i="1" s="1"/>
  <c r="S347" i="1"/>
  <c r="AF347" i="1" s="1"/>
  <c r="O348" i="1"/>
  <c r="AB348" i="1" s="1"/>
  <c r="V350" i="1"/>
  <c r="AI350" i="1" s="1"/>
  <c r="V352" i="1"/>
  <c r="AI352" i="1" s="1"/>
  <c r="V354" i="1"/>
  <c r="AI354" i="1" s="1"/>
  <c r="V356" i="1"/>
  <c r="AI356" i="1" s="1"/>
  <c r="V358" i="1"/>
  <c r="AI358" i="1" s="1"/>
  <c r="V360" i="1"/>
  <c r="AI360" i="1" s="1"/>
  <c r="V362" i="1"/>
  <c r="AI362" i="1" s="1"/>
  <c r="V364" i="1"/>
  <c r="AI364" i="1" s="1"/>
  <c r="V366" i="1"/>
  <c r="AI366" i="1" s="1"/>
  <c r="V368" i="1"/>
  <c r="AI368" i="1" s="1"/>
  <c r="V370" i="1"/>
  <c r="AI370" i="1" s="1"/>
  <c r="V372" i="1"/>
  <c r="AI372" i="1" s="1"/>
  <c r="V374" i="1"/>
  <c r="AI374" i="1" s="1"/>
  <c r="V376" i="1"/>
  <c r="AI376" i="1" s="1"/>
  <c r="V378" i="1"/>
  <c r="AI378" i="1" s="1"/>
  <c r="V380" i="1"/>
  <c r="AI380" i="1" s="1"/>
  <c r="V382" i="1"/>
  <c r="AI382" i="1" s="1"/>
  <c r="V384" i="1"/>
  <c r="AI384" i="1" s="1"/>
  <c r="V386" i="1"/>
  <c r="AI386" i="1" s="1"/>
  <c r="V388" i="1"/>
  <c r="AI388" i="1" s="1"/>
  <c r="V390" i="1"/>
  <c r="AI390" i="1" s="1"/>
  <c r="V392" i="1"/>
  <c r="AI392" i="1" s="1"/>
  <c r="V394" i="1"/>
  <c r="AI394" i="1" s="1"/>
  <c r="V396" i="1"/>
  <c r="AI396" i="1" s="1"/>
  <c r="V398" i="1"/>
  <c r="AI398" i="1" s="1"/>
  <c r="V400" i="1"/>
  <c r="AI400" i="1" s="1"/>
  <c r="U246" i="1"/>
  <c r="AH246" i="1" s="1"/>
  <c r="Z300" i="1"/>
  <c r="AM300" i="1" s="1"/>
  <c r="Q309" i="1"/>
  <c r="AD309" i="1" s="1"/>
  <c r="X316" i="1"/>
  <c r="AK316" i="1" s="1"/>
  <c r="P327" i="1"/>
  <c r="AC327" i="1" s="1"/>
  <c r="Y330" i="1"/>
  <c r="AL330" i="1" s="1"/>
  <c r="Y336" i="1"/>
  <c r="AL336" i="1" s="1"/>
  <c r="Q339" i="1"/>
  <c r="AD339" i="1" s="1"/>
  <c r="Y345" i="1"/>
  <c r="AL345" i="1" s="1"/>
  <c r="X346" i="1"/>
  <c r="AK346" i="1" s="1"/>
  <c r="T347" i="1"/>
  <c r="AG347" i="1" s="1"/>
  <c r="Q348" i="1"/>
  <c r="AD348" i="1" s="1"/>
  <c r="O349" i="1"/>
  <c r="AB349" i="1" s="1"/>
  <c r="W350" i="1"/>
  <c r="AJ350" i="1" s="1"/>
  <c r="O351" i="1"/>
  <c r="AB351" i="1" s="1"/>
  <c r="W352" i="1"/>
  <c r="AJ352" i="1" s="1"/>
  <c r="O353" i="1"/>
  <c r="AB353" i="1" s="1"/>
  <c r="W354" i="1"/>
  <c r="AJ354" i="1" s="1"/>
  <c r="O355" i="1"/>
  <c r="AB355" i="1" s="1"/>
  <c r="W356" i="1"/>
  <c r="AJ356" i="1" s="1"/>
  <c r="O357" i="1"/>
  <c r="AB357" i="1" s="1"/>
  <c r="W358" i="1"/>
  <c r="AJ358" i="1" s="1"/>
  <c r="O359" i="1"/>
  <c r="AB359" i="1" s="1"/>
  <c r="W360" i="1"/>
  <c r="AJ360" i="1" s="1"/>
  <c r="O361" i="1"/>
  <c r="AB361" i="1" s="1"/>
  <c r="W362" i="1"/>
  <c r="AJ362" i="1" s="1"/>
  <c r="O363" i="1"/>
  <c r="AB363" i="1" s="1"/>
  <c r="W364" i="1"/>
  <c r="AJ364" i="1" s="1"/>
  <c r="O365" i="1"/>
  <c r="AB365" i="1" s="1"/>
  <c r="W366" i="1"/>
  <c r="AJ366" i="1" s="1"/>
  <c r="O367" i="1"/>
  <c r="AB367" i="1" s="1"/>
  <c r="W368" i="1"/>
  <c r="AJ368" i="1" s="1"/>
  <c r="O369" i="1"/>
  <c r="AB369" i="1" s="1"/>
  <c r="W370" i="1"/>
  <c r="AJ370" i="1" s="1"/>
  <c r="O371" i="1"/>
  <c r="AB371" i="1" s="1"/>
  <c r="W372" i="1"/>
  <c r="AJ372" i="1" s="1"/>
  <c r="O373" i="1"/>
  <c r="AB373" i="1" s="1"/>
  <c r="W374" i="1"/>
  <c r="AJ374" i="1" s="1"/>
  <c r="O375" i="1"/>
  <c r="AB375" i="1" s="1"/>
  <c r="W376" i="1"/>
  <c r="AJ376" i="1" s="1"/>
  <c r="O377" i="1"/>
  <c r="AB377" i="1" s="1"/>
  <c r="W378" i="1"/>
  <c r="AJ378" i="1" s="1"/>
  <c r="O379" i="1"/>
  <c r="AB379" i="1" s="1"/>
  <c r="W380" i="1"/>
  <c r="AJ380" i="1" s="1"/>
  <c r="O381" i="1"/>
  <c r="AB381" i="1" s="1"/>
  <c r="W382" i="1"/>
  <c r="AJ382" i="1" s="1"/>
  <c r="O383" i="1"/>
  <c r="AB383" i="1" s="1"/>
  <c r="W384" i="1"/>
  <c r="AJ384" i="1" s="1"/>
  <c r="O385" i="1"/>
  <c r="AB385" i="1" s="1"/>
  <c r="W386" i="1"/>
  <c r="AJ386" i="1" s="1"/>
  <c r="O387" i="1"/>
  <c r="AB387" i="1" s="1"/>
  <c r="W388" i="1"/>
  <c r="AJ388" i="1" s="1"/>
  <c r="O389" i="1"/>
  <c r="AB389" i="1" s="1"/>
  <c r="W390" i="1"/>
  <c r="AJ390" i="1" s="1"/>
  <c r="O391" i="1"/>
  <c r="AB391" i="1" s="1"/>
  <c r="W392" i="1"/>
  <c r="AJ392" i="1" s="1"/>
  <c r="O393" i="1"/>
  <c r="AB393" i="1" s="1"/>
  <c r="W394" i="1"/>
  <c r="AJ394" i="1" s="1"/>
  <c r="O395" i="1"/>
  <c r="AB395" i="1" s="1"/>
  <c r="Q268" i="1"/>
  <c r="AD268" i="1" s="1"/>
  <c r="Q286" i="1"/>
  <c r="AD286" i="1" s="1"/>
  <c r="P313" i="1"/>
  <c r="AC313" i="1" s="1"/>
  <c r="Y316" i="1"/>
  <c r="AL316" i="1" s="1"/>
  <c r="V320" i="1"/>
  <c r="AI320" i="1" s="1"/>
  <c r="Q327" i="1"/>
  <c r="AD327" i="1" s="1"/>
  <c r="Q334" i="1"/>
  <c r="AD334" i="1" s="1"/>
  <c r="Y339" i="1"/>
  <c r="AL339" i="1" s="1"/>
  <c r="Q342" i="1"/>
  <c r="AD342" i="1" s="1"/>
  <c r="Z345" i="1"/>
  <c r="AM345" i="1" s="1"/>
  <c r="Y346" i="1"/>
  <c r="AL346" i="1" s="1"/>
  <c r="U347" i="1"/>
  <c r="AH347" i="1" s="1"/>
  <c r="R348" i="1"/>
  <c r="AE348" i="1" s="1"/>
  <c r="P349" i="1"/>
  <c r="AC349" i="1" s="1"/>
  <c r="X350" i="1"/>
  <c r="AK350" i="1" s="1"/>
  <c r="P351" i="1"/>
  <c r="AC351" i="1" s="1"/>
  <c r="X352" i="1"/>
  <c r="AK352" i="1" s="1"/>
  <c r="P353" i="1"/>
  <c r="AC353" i="1" s="1"/>
  <c r="X354" i="1"/>
  <c r="AK354" i="1" s="1"/>
  <c r="P355" i="1"/>
  <c r="AC355" i="1" s="1"/>
  <c r="X356" i="1"/>
  <c r="AK356" i="1" s="1"/>
  <c r="P357" i="1"/>
  <c r="AC357" i="1" s="1"/>
  <c r="X358" i="1"/>
  <c r="AK358" i="1" s="1"/>
  <c r="P359" i="1"/>
  <c r="AC359" i="1" s="1"/>
  <c r="X360" i="1"/>
  <c r="AK360" i="1" s="1"/>
  <c r="P361" i="1"/>
  <c r="AC361" i="1" s="1"/>
  <c r="X362" i="1"/>
  <c r="AK362" i="1" s="1"/>
  <c r="P363" i="1"/>
  <c r="AC363" i="1" s="1"/>
  <c r="X364" i="1"/>
  <c r="AK364" i="1" s="1"/>
  <c r="P365" i="1"/>
  <c r="AC365" i="1" s="1"/>
  <c r="X366" i="1"/>
  <c r="AK366" i="1" s="1"/>
  <c r="P367" i="1"/>
  <c r="AC367" i="1" s="1"/>
  <c r="X368" i="1"/>
  <c r="AK368" i="1" s="1"/>
  <c r="P369" i="1"/>
  <c r="AC369" i="1" s="1"/>
  <c r="X370" i="1"/>
  <c r="AK370" i="1" s="1"/>
  <c r="P371" i="1"/>
  <c r="AC371" i="1" s="1"/>
  <c r="X372" i="1"/>
  <c r="AK372" i="1" s="1"/>
  <c r="P373" i="1"/>
  <c r="AC373" i="1" s="1"/>
  <c r="X374" i="1"/>
  <c r="AK374" i="1" s="1"/>
  <c r="P375" i="1"/>
  <c r="AC375" i="1" s="1"/>
  <c r="X376" i="1"/>
  <c r="AK376" i="1" s="1"/>
  <c r="P377" i="1"/>
  <c r="AC377" i="1" s="1"/>
  <c r="X378" i="1"/>
  <c r="AK378" i="1" s="1"/>
  <c r="P379" i="1"/>
  <c r="AC379" i="1" s="1"/>
  <c r="X380" i="1"/>
  <c r="AK380" i="1" s="1"/>
  <c r="P381" i="1"/>
  <c r="AC381" i="1" s="1"/>
  <c r="X382" i="1"/>
  <c r="AK382" i="1" s="1"/>
  <c r="P383" i="1"/>
  <c r="AC383" i="1" s="1"/>
  <c r="X384" i="1"/>
  <c r="AK384" i="1" s="1"/>
  <c r="P385" i="1"/>
  <c r="AC385" i="1" s="1"/>
  <c r="X386" i="1"/>
  <c r="AK386" i="1" s="1"/>
  <c r="P387" i="1"/>
  <c r="AC387" i="1" s="1"/>
  <c r="X388" i="1"/>
  <c r="AK388" i="1" s="1"/>
  <c r="P389" i="1"/>
  <c r="AC389" i="1" s="1"/>
  <c r="X390" i="1"/>
  <c r="AK390" i="1" s="1"/>
  <c r="P391" i="1"/>
  <c r="AC391" i="1" s="1"/>
  <c r="X392" i="1"/>
  <c r="AK392" i="1" s="1"/>
  <c r="P393" i="1"/>
  <c r="AC393" i="1" s="1"/>
  <c r="X394" i="1"/>
  <c r="AK394" i="1" s="1"/>
  <c r="P395" i="1"/>
  <c r="AC395" i="1" s="1"/>
  <c r="X396" i="1"/>
  <c r="AK396" i="1" s="1"/>
  <c r="P397" i="1"/>
  <c r="AC397" i="1" s="1"/>
  <c r="S250" i="1"/>
  <c r="AF250" i="1" s="1"/>
  <c r="S268" i="1"/>
  <c r="AF268" i="1" s="1"/>
  <c r="T306" i="1"/>
  <c r="AG306" i="1" s="1"/>
  <c r="Q313" i="1"/>
  <c r="AD313" i="1" s="1"/>
  <c r="X320" i="1"/>
  <c r="AK320" i="1" s="1"/>
  <c r="P331" i="1"/>
  <c r="AC331" i="1" s="1"/>
  <c r="V334" i="1"/>
  <c r="AI334" i="1" s="1"/>
  <c r="V342" i="1"/>
  <c r="AI342" i="1" s="1"/>
  <c r="Z346" i="1"/>
  <c r="AM346" i="1" s="1"/>
  <c r="V347" i="1"/>
  <c r="AI347" i="1" s="1"/>
  <c r="V348" i="1"/>
  <c r="AI348" i="1" s="1"/>
  <c r="Q349" i="1"/>
  <c r="AD349" i="1" s="1"/>
  <c r="Y350" i="1"/>
  <c r="AL350" i="1" s="1"/>
  <c r="Q351" i="1"/>
  <c r="AD351" i="1" s="1"/>
  <c r="Y352" i="1"/>
  <c r="AL352" i="1" s="1"/>
  <c r="Q353" i="1"/>
  <c r="AD353" i="1" s="1"/>
  <c r="Y354" i="1"/>
  <c r="AL354" i="1" s="1"/>
  <c r="Q355" i="1"/>
  <c r="AD355" i="1" s="1"/>
  <c r="Y356" i="1"/>
  <c r="AL356" i="1" s="1"/>
  <c r="Q357" i="1"/>
  <c r="AD357" i="1" s="1"/>
  <c r="Y358" i="1"/>
  <c r="AL358" i="1" s="1"/>
  <c r="Q359" i="1"/>
  <c r="AD359" i="1" s="1"/>
  <c r="Y360" i="1"/>
  <c r="AL360" i="1" s="1"/>
  <c r="Q361" i="1"/>
  <c r="AD361" i="1" s="1"/>
  <c r="Y362" i="1"/>
  <c r="AL362" i="1" s="1"/>
  <c r="Q363" i="1"/>
  <c r="AD363" i="1" s="1"/>
  <c r="Y364" i="1"/>
  <c r="AL364" i="1" s="1"/>
  <c r="Q365" i="1"/>
  <c r="AD365" i="1" s="1"/>
  <c r="Y366" i="1"/>
  <c r="AL366" i="1" s="1"/>
  <c r="Q367" i="1"/>
  <c r="AD367" i="1" s="1"/>
  <c r="Y368" i="1"/>
  <c r="AL368" i="1" s="1"/>
  <c r="Q369" i="1"/>
  <c r="AD369" i="1" s="1"/>
  <c r="Y370" i="1"/>
  <c r="AL370" i="1" s="1"/>
  <c r="Q371" i="1"/>
  <c r="AD371" i="1" s="1"/>
  <c r="Y372" i="1"/>
  <c r="AL372" i="1" s="1"/>
  <c r="Q373" i="1"/>
  <c r="AD373" i="1" s="1"/>
  <c r="Y374" i="1"/>
  <c r="AL374" i="1" s="1"/>
  <c r="Q375" i="1"/>
  <c r="AD375" i="1" s="1"/>
  <c r="Y376" i="1"/>
  <c r="AL376" i="1" s="1"/>
  <c r="Q377" i="1"/>
  <c r="AD377" i="1" s="1"/>
  <c r="Y378" i="1"/>
  <c r="AL378" i="1" s="1"/>
  <c r="Q379" i="1"/>
  <c r="AD379" i="1" s="1"/>
  <c r="Y380" i="1"/>
  <c r="AL380" i="1" s="1"/>
  <c r="Q381" i="1"/>
  <c r="AD381" i="1" s="1"/>
  <c r="Y382" i="1"/>
  <c r="AL382" i="1" s="1"/>
  <c r="Q383" i="1"/>
  <c r="AD383" i="1" s="1"/>
  <c r="Y384" i="1"/>
  <c r="AL384" i="1" s="1"/>
  <c r="Q385" i="1"/>
  <c r="AD385" i="1" s="1"/>
  <c r="Y386" i="1"/>
  <c r="AL386" i="1" s="1"/>
  <c r="Q387" i="1"/>
  <c r="AD387" i="1" s="1"/>
  <c r="Y388" i="1"/>
  <c r="AL388" i="1" s="1"/>
  <c r="Q389" i="1"/>
  <c r="AD389" i="1" s="1"/>
  <c r="Y390" i="1"/>
  <c r="AL390" i="1" s="1"/>
  <c r="Q391" i="1"/>
  <c r="AD391" i="1" s="1"/>
  <c r="Y392" i="1"/>
  <c r="AL392" i="1" s="1"/>
  <c r="Q393" i="1"/>
  <c r="AD393" i="1" s="1"/>
  <c r="Y394" i="1"/>
  <c r="AL394" i="1" s="1"/>
  <c r="Q395" i="1"/>
  <c r="AD395" i="1" s="1"/>
  <c r="Y396" i="1"/>
  <c r="AL396" i="1" s="1"/>
  <c r="Q397" i="1"/>
  <c r="AD397" i="1" s="1"/>
  <c r="T250" i="1"/>
  <c r="AG250" i="1" s="1"/>
  <c r="V306" i="1"/>
  <c r="AI306" i="1" s="1"/>
  <c r="P317" i="1"/>
  <c r="AC317" i="1" s="1"/>
  <c r="Y320" i="1"/>
  <c r="AL320" i="1" s="1"/>
  <c r="V324" i="1"/>
  <c r="AI324" i="1" s="1"/>
  <c r="Q331" i="1"/>
  <c r="AD331" i="1" s="1"/>
  <c r="X334" i="1"/>
  <c r="AK334" i="1" s="1"/>
  <c r="P337" i="1"/>
  <c r="AC337" i="1" s="1"/>
  <c r="W342" i="1"/>
  <c r="AJ342" i="1" s="1"/>
  <c r="W347" i="1"/>
  <c r="AJ347" i="1" s="1"/>
  <c r="W348" i="1"/>
  <c r="AJ348" i="1" s="1"/>
  <c r="R349" i="1"/>
  <c r="AE349" i="1" s="1"/>
  <c r="Z350" i="1"/>
  <c r="AM350" i="1" s="1"/>
  <c r="R351" i="1"/>
  <c r="AE351" i="1" s="1"/>
  <c r="Z352" i="1"/>
  <c r="AM352" i="1" s="1"/>
  <c r="R353" i="1"/>
  <c r="AE353" i="1" s="1"/>
  <c r="Z354" i="1"/>
  <c r="AM354" i="1" s="1"/>
  <c r="R355" i="1"/>
  <c r="AE355" i="1" s="1"/>
  <c r="Z356" i="1"/>
  <c r="AM356" i="1" s="1"/>
  <c r="R357" i="1"/>
  <c r="AE357" i="1" s="1"/>
  <c r="Z358" i="1"/>
  <c r="AM358" i="1" s="1"/>
  <c r="R359" i="1"/>
  <c r="AE359" i="1" s="1"/>
  <c r="Z360" i="1"/>
  <c r="AM360" i="1" s="1"/>
  <c r="R361" i="1"/>
  <c r="AE361" i="1" s="1"/>
  <c r="Z362" i="1"/>
  <c r="AM362" i="1" s="1"/>
  <c r="R363" i="1"/>
  <c r="AE363" i="1" s="1"/>
  <c r="Z364" i="1"/>
  <c r="AM364" i="1" s="1"/>
  <c r="R365" i="1"/>
  <c r="AE365" i="1" s="1"/>
  <c r="Z366" i="1"/>
  <c r="AM366" i="1" s="1"/>
  <c r="R367" i="1"/>
  <c r="AE367" i="1" s="1"/>
  <c r="Z368" i="1"/>
  <c r="AM368" i="1" s="1"/>
  <c r="R369" i="1"/>
  <c r="AE369" i="1" s="1"/>
  <c r="Z370" i="1"/>
  <c r="AM370" i="1" s="1"/>
  <c r="R371" i="1"/>
  <c r="AE371" i="1" s="1"/>
  <c r="Z372" i="1"/>
  <c r="AM372" i="1" s="1"/>
  <c r="R373" i="1"/>
  <c r="AE373" i="1" s="1"/>
  <c r="Z374" i="1"/>
  <c r="AM374" i="1" s="1"/>
  <c r="R375" i="1"/>
  <c r="AE375" i="1" s="1"/>
  <c r="Z376" i="1"/>
  <c r="AM376" i="1" s="1"/>
  <c r="R377" i="1"/>
  <c r="AE377" i="1" s="1"/>
  <c r="Z378" i="1"/>
  <c r="AM378" i="1" s="1"/>
  <c r="R379" i="1"/>
  <c r="AE379" i="1" s="1"/>
  <c r="Z380" i="1"/>
  <c r="AM380" i="1" s="1"/>
  <c r="R381" i="1"/>
  <c r="AE381" i="1" s="1"/>
  <c r="Z382" i="1"/>
  <c r="AM382" i="1" s="1"/>
  <c r="R383" i="1"/>
  <c r="AE383" i="1" s="1"/>
  <c r="Z384" i="1"/>
  <c r="AM384" i="1" s="1"/>
  <c r="R385" i="1"/>
  <c r="AE385" i="1" s="1"/>
  <c r="Z386" i="1"/>
  <c r="AM386" i="1" s="1"/>
  <c r="R387" i="1"/>
  <c r="AE387" i="1" s="1"/>
  <c r="Z388" i="1"/>
  <c r="AM388" i="1" s="1"/>
  <c r="R389" i="1"/>
  <c r="AE389" i="1" s="1"/>
  <c r="Z390" i="1"/>
  <c r="AM390" i="1" s="1"/>
  <c r="R391" i="1"/>
  <c r="AE391" i="1" s="1"/>
  <c r="Z392" i="1"/>
  <c r="AM392" i="1" s="1"/>
  <c r="R393" i="1"/>
  <c r="AE393" i="1" s="1"/>
  <c r="Z394" i="1"/>
  <c r="AM394" i="1" s="1"/>
  <c r="R395" i="1"/>
  <c r="AE395" i="1" s="1"/>
  <c r="Z396" i="1"/>
  <c r="AM396" i="1" s="1"/>
  <c r="R397" i="1"/>
  <c r="AE397" i="1" s="1"/>
  <c r="Z398" i="1"/>
  <c r="AM398" i="1" s="1"/>
  <c r="R399" i="1"/>
  <c r="AE399" i="1" s="1"/>
  <c r="Z400" i="1"/>
  <c r="AM400" i="1" s="1"/>
  <c r="R401" i="1"/>
  <c r="AE401" i="1" s="1"/>
  <c r="Z402" i="1"/>
  <c r="AM402" i="1" s="1"/>
  <c r="R403" i="1"/>
  <c r="AE403" i="1" s="1"/>
  <c r="Z404" i="1"/>
  <c r="AM404" i="1" s="1"/>
  <c r="R405" i="1"/>
  <c r="AE405" i="1" s="1"/>
  <c r="Z406" i="1"/>
  <c r="AM406" i="1" s="1"/>
  <c r="R407" i="1"/>
  <c r="AE407" i="1" s="1"/>
  <c r="Z408" i="1"/>
  <c r="AM408" i="1" s="1"/>
  <c r="R409" i="1"/>
  <c r="AE409" i="1" s="1"/>
  <c r="Z410" i="1"/>
  <c r="AM410" i="1" s="1"/>
  <c r="R411" i="1"/>
  <c r="AE411" i="1" s="1"/>
  <c r="Z412" i="1"/>
  <c r="AM412" i="1" s="1"/>
  <c r="R413" i="1"/>
  <c r="AE413" i="1" s="1"/>
  <c r="Z414" i="1"/>
  <c r="AM414" i="1" s="1"/>
  <c r="Y253" i="1"/>
  <c r="AL253" i="1" s="1"/>
  <c r="W306" i="1"/>
  <c r="AJ306" i="1" s="1"/>
  <c r="V310" i="1"/>
  <c r="AI310" i="1" s="1"/>
  <c r="Q317" i="1"/>
  <c r="AD317" i="1" s="1"/>
  <c r="X324" i="1"/>
  <c r="AK324" i="1" s="1"/>
  <c r="Y334" i="1"/>
  <c r="AL334" i="1" s="1"/>
  <c r="Q337" i="1"/>
  <c r="AD337" i="1" s="1"/>
  <c r="X342" i="1"/>
  <c r="AK342" i="1" s="1"/>
  <c r="Y347" i="1"/>
  <c r="AL347" i="1" s="1"/>
  <c r="X348" i="1"/>
  <c r="AK348" i="1" s="1"/>
  <c r="S349" i="1"/>
  <c r="AF349" i="1" s="1"/>
  <c r="S351" i="1"/>
  <c r="AF351" i="1" s="1"/>
  <c r="S353" i="1"/>
  <c r="AF353" i="1" s="1"/>
  <c r="S355" i="1"/>
  <c r="AF355" i="1" s="1"/>
  <c r="S357" i="1"/>
  <c r="AF357" i="1" s="1"/>
  <c r="S359" i="1"/>
  <c r="AF359" i="1" s="1"/>
  <c r="S361" i="1"/>
  <c r="AF361" i="1" s="1"/>
  <c r="S363" i="1"/>
  <c r="AF363" i="1" s="1"/>
  <c r="S365" i="1"/>
  <c r="AF365" i="1" s="1"/>
  <c r="S367" i="1"/>
  <c r="AF367" i="1" s="1"/>
  <c r="S369" i="1"/>
  <c r="AF369" i="1" s="1"/>
  <c r="S371" i="1"/>
  <c r="AF371" i="1" s="1"/>
  <c r="S373" i="1"/>
  <c r="AF373" i="1" s="1"/>
  <c r="S375" i="1"/>
  <c r="AF375" i="1" s="1"/>
  <c r="S377" i="1"/>
  <c r="AF377" i="1" s="1"/>
  <c r="S379" i="1"/>
  <c r="AF379" i="1" s="1"/>
  <c r="S381" i="1"/>
  <c r="AF381" i="1" s="1"/>
  <c r="S383" i="1"/>
  <c r="AF383" i="1" s="1"/>
  <c r="S385" i="1"/>
  <c r="AF385" i="1" s="1"/>
  <c r="S387" i="1"/>
  <c r="AF387" i="1" s="1"/>
  <c r="S389" i="1"/>
  <c r="AF389" i="1" s="1"/>
  <c r="S391" i="1"/>
  <c r="AF391" i="1" s="1"/>
  <c r="S393" i="1"/>
  <c r="AF393" i="1" s="1"/>
  <c r="S395" i="1"/>
  <c r="AF395" i="1" s="1"/>
  <c r="S397" i="1"/>
  <c r="AF397" i="1" s="1"/>
  <c r="S399" i="1"/>
  <c r="AF399" i="1" s="1"/>
  <c r="S401" i="1"/>
  <c r="AF401" i="1" s="1"/>
  <c r="S403" i="1"/>
  <c r="AF403" i="1" s="1"/>
  <c r="S405" i="1"/>
  <c r="AF405" i="1" s="1"/>
  <c r="S407" i="1"/>
  <c r="AF407" i="1" s="1"/>
  <c r="S409" i="1"/>
  <c r="AF409" i="1" s="1"/>
  <c r="S411" i="1"/>
  <c r="AF411" i="1" s="1"/>
  <c r="S413" i="1"/>
  <c r="AF413" i="1" s="1"/>
  <c r="X176" i="1"/>
  <c r="AK176" i="1" s="1"/>
  <c r="Y291" i="1"/>
  <c r="AL291" i="1" s="1"/>
  <c r="X310" i="1"/>
  <c r="AK310" i="1" s="1"/>
  <c r="P321" i="1"/>
  <c r="AC321" i="1" s="1"/>
  <c r="Y324" i="1"/>
  <c r="AL324" i="1" s="1"/>
  <c r="V328" i="1"/>
  <c r="AI328" i="1" s="1"/>
  <c r="Y337" i="1"/>
  <c r="AL337" i="1" s="1"/>
  <c r="Q340" i="1"/>
  <c r="AD340" i="1" s="1"/>
  <c r="Y342" i="1"/>
  <c r="AL342" i="1" s="1"/>
  <c r="Z347" i="1"/>
  <c r="AM347" i="1" s="1"/>
  <c r="Y348" i="1"/>
  <c r="AL348" i="1" s="1"/>
  <c r="T349" i="1"/>
  <c r="AG349" i="1" s="1"/>
  <c r="T351" i="1"/>
  <c r="AG351" i="1" s="1"/>
  <c r="T353" i="1"/>
  <c r="AG353" i="1" s="1"/>
  <c r="T355" i="1"/>
  <c r="AG355" i="1" s="1"/>
  <c r="T357" i="1"/>
  <c r="AG357" i="1" s="1"/>
  <c r="T359" i="1"/>
  <c r="AG359" i="1" s="1"/>
  <c r="T361" i="1"/>
  <c r="AG361" i="1" s="1"/>
  <c r="T363" i="1"/>
  <c r="AG363" i="1" s="1"/>
  <c r="T365" i="1"/>
  <c r="AG365" i="1" s="1"/>
  <c r="T367" i="1"/>
  <c r="AG367" i="1" s="1"/>
  <c r="T369" i="1"/>
  <c r="AG369" i="1" s="1"/>
  <c r="T371" i="1"/>
  <c r="AG371" i="1" s="1"/>
  <c r="T373" i="1"/>
  <c r="AG373" i="1" s="1"/>
  <c r="T375" i="1"/>
  <c r="AG375" i="1" s="1"/>
  <c r="T377" i="1"/>
  <c r="AG377" i="1" s="1"/>
  <c r="T379" i="1"/>
  <c r="AG379" i="1" s="1"/>
  <c r="T381" i="1"/>
  <c r="AG381" i="1" s="1"/>
  <c r="T383" i="1"/>
  <c r="AG383" i="1" s="1"/>
  <c r="T385" i="1"/>
  <c r="AG385" i="1" s="1"/>
  <c r="T387" i="1"/>
  <c r="AG387" i="1" s="1"/>
  <c r="T389" i="1"/>
  <c r="AG389" i="1" s="1"/>
  <c r="T391" i="1"/>
  <c r="AG391" i="1" s="1"/>
  <c r="T393" i="1"/>
  <c r="AG393" i="1" s="1"/>
  <c r="T395" i="1"/>
  <c r="AG395" i="1" s="1"/>
  <c r="T397" i="1"/>
  <c r="AG397" i="1" s="1"/>
  <c r="T399" i="1"/>
  <c r="AG399" i="1" s="1"/>
  <c r="T401" i="1"/>
  <c r="AG401" i="1" s="1"/>
  <c r="T403" i="1"/>
  <c r="AG403" i="1" s="1"/>
  <c r="T405" i="1"/>
  <c r="AG405" i="1" s="1"/>
  <c r="T407" i="1"/>
  <c r="AG407" i="1" s="1"/>
  <c r="T409" i="1"/>
  <c r="AG409" i="1" s="1"/>
  <c r="T411" i="1"/>
  <c r="AG411" i="1" s="1"/>
  <c r="T413" i="1"/>
  <c r="AG413" i="1" s="1"/>
  <c r="X192" i="1"/>
  <c r="AK192" i="1" s="1"/>
  <c r="Q254" i="1"/>
  <c r="AD254" i="1" s="1"/>
  <c r="Y302" i="1"/>
  <c r="AL302" i="1" s="1"/>
  <c r="P307" i="1"/>
  <c r="AC307" i="1" s="1"/>
  <c r="Y310" i="1"/>
  <c r="AL310" i="1" s="1"/>
  <c r="V314" i="1"/>
  <c r="AI314" i="1" s="1"/>
  <c r="Q321" i="1"/>
  <c r="AD321" i="1" s="1"/>
  <c r="X328" i="1"/>
  <c r="AK328" i="1" s="1"/>
  <c r="V340" i="1"/>
  <c r="AI340" i="1" s="1"/>
  <c r="Z348" i="1"/>
  <c r="AM348" i="1" s="1"/>
  <c r="U349" i="1"/>
  <c r="AH349" i="1" s="1"/>
  <c r="U351" i="1"/>
  <c r="AH351" i="1" s="1"/>
  <c r="U353" i="1"/>
  <c r="AH353" i="1" s="1"/>
  <c r="U355" i="1"/>
  <c r="AH355" i="1" s="1"/>
  <c r="U357" i="1"/>
  <c r="AH357" i="1" s="1"/>
  <c r="U359" i="1"/>
  <c r="AH359" i="1" s="1"/>
  <c r="U361" i="1"/>
  <c r="AH361" i="1" s="1"/>
  <c r="U363" i="1"/>
  <c r="AH363" i="1" s="1"/>
  <c r="U365" i="1"/>
  <c r="AH365" i="1" s="1"/>
  <c r="U367" i="1"/>
  <c r="AH367" i="1" s="1"/>
  <c r="U369" i="1"/>
  <c r="AH369" i="1" s="1"/>
  <c r="U371" i="1"/>
  <c r="AH371" i="1" s="1"/>
  <c r="U373" i="1"/>
  <c r="AH373" i="1" s="1"/>
  <c r="U375" i="1"/>
  <c r="AH375" i="1" s="1"/>
  <c r="U377" i="1"/>
  <c r="AH377" i="1" s="1"/>
  <c r="U379" i="1"/>
  <c r="AH379" i="1" s="1"/>
  <c r="U381" i="1"/>
  <c r="AH381" i="1" s="1"/>
  <c r="U383" i="1"/>
  <c r="AH383" i="1" s="1"/>
  <c r="U385" i="1"/>
  <c r="AH385" i="1" s="1"/>
  <c r="U387" i="1"/>
  <c r="AH387" i="1" s="1"/>
  <c r="U389" i="1"/>
  <c r="AH389" i="1" s="1"/>
  <c r="U391" i="1"/>
  <c r="AH391" i="1" s="1"/>
  <c r="U393" i="1"/>
  <c r="AH393" i="1" s="1"/>
  <c r="U395" i="1"/>
  <c r="AH395" i="1" s="1"/>
  <c r="U397" i="1"/>
  <c r="AH397" i="1" s="1"/>
  <c r="U399" i="1"/>
  <c r="AH399" i="1" s="1"/>
  <c r="U401" i="1"/>
  <c r="AH401" i="1" s="1"/>
  <c r="U403" i="1"/>
  <c r="AH403" i="1" s="1"/>
  <c r="U405" i="1"/>
  <c r="AH405" i="1" s="1"/>
  <c r="U407" i="1"/>
  <c r="AH407" i="1" s="1"/>
  <c r="U409" i="1"/>
  <c r="AH409" i="1" s="1"/>
  <c r="U411" i="1"/>
  <c r="AH411" i="1" s="1"/>
  <c r="U413" i="1"/>
  <c r="AH413" i="1" s="1"/>
  <c r="Q307" i="1"/>
  <c r="AD307" i="1" s="1"/>
  <c r="X314" i="1"/>
  <c r="AK314" i="1" s="1"/>
  <c r="P325" i="1"/>
  <c r="AC325" i="1" s="1"/>
  <c r="Y328" i="1"/>
  <c r="AL328" i="1" s="1"/>
  <c r="V332" i="1"/>
  <c r="AI332" i="1" s="1"/>
  <c r="P335" i="1"/>
  <c r="AC335" i="1" s="1"/>
  <c r="X340" i="1"/>
  <c r="AK340" i="1" s="1"/>
  <c r="O345" i="1"/>
  <c r="AB345" i="1" s="1"/>
  <c r="V349" i="1"/>
  <c r="AI349" i="1" s="1"/>
  <c r="V351" i="1"/>
  <c r="AI351" i="1" s="1"/>
  <c r="V353" i="1"/>
  <c r="AI353" i="1" s="1"/>
  <c r="V355" i="1"/>
  <c r="AI355" i="1" s="1"/>
  <c r="V357" i="1"/>
  <c r="AI357" i="1" s="1"/>
  <c r="V359" i="1"/>
  <c r="AI359" i="1" s="1"/>
  <c r="V361" i="1"/>
  <c r="AI361" i="1" s="1"/>
  <c r="V363" i="1"/>
  <c r="AI363" i="1" s="1"/>
  <c r="V365" i="1"/>
  <c r="AI365" i="1" s="1"/>
  <c r="V367" i="1"/>
  <c r="AI367" i="1" s="1"/>
  <c r="V369" i="1"/>
  <c r="AI369" i="1" s="1"/>
  <c r="V371" i="1"/>
  <c r="AI371" i="1" s="1"/>
  <c r="V373" i="1"/>
  <c r="AI373" i="1" s="1"/>
  <c r="V375" i="1"/>
  <c r="AI375" i="1" s="1"/>
  <c r="V377" i="1"/>
  <c r="AI377" i="1" s="1"/>
  <c r="V379" i="1"/>
  <c r="AI379" i="1" s="1"/>
  <c r="V381" i="1"/>
  <c r="AI381" i="1" s="1"/>
  <c r="V383" i="1"/>
  <c r="AI383" i="1" s="1"/>
  <c r="V385" i="1"/>
  <c r="AI385" i="1" s="1"/>
  <c r="V387" i="1"/>
  <c r="AI387" i="1" s="1"/>
  <c r="V389" i="1"/>
  <c r="AI389" i="1" s="1"/>
  <c r="V391" i="1"/>
  <c r="AI391" i="1" s="1"/>
  <c r="V393" i="1"/>
  <c r="AI393" i="1" s="1"/>
  <c r="V395" i="1"/>
  <c r="AI395" i="1" s="1"/>
  <c r="V397" i="1"/>
  <c r="AI397" i="1" s="1"/>
  <c r="V399" i="1"/>
  <c r="AI399" i="1" s="1"/>
  <c r="V401" i="1"/>
  <c r="AI401" i="1" s="1"/>
  <c r="V403" i="1"/>
  <c r="AI403" i="1" s="1"/>
  <c r="V405" i="1"/>
  <c r="AI405" i="1" s="1"/>
  <c r="V407" i="1"/>
  <c r="AI407" i="1" s="1"/>
  <c r="V409" i="1"/>
  <c r="AI409" i="1" s="1"/>
  <c r="V411" i="1"/>
  <c r="AI411" i="1" s="1"/>
  <c r="V413" i="1"/>
  <c r="AI413" i="1" s="1"/>
  <c r="T260" i="1"/>
  <c r="AG260" i="1" s="1"/>
  <c r="P315" i="1"/>
  <c r="AC315" i="1" s="1"/>
  <c r="Y318" i="1"/>
  <c r="AL318" i="1" s="1"/>
  <c r="V322" i="1"/>
  <c r="AI322" i="1" s="1"/>
  <c r="Q329" i="1"/>
  <c r="AD329" i="1" s="1"/>
  <c r="V338" i="1"/>
  <c r="AI338" i="1" s="1"/>
  <c r="Q343" i="1"/>
  <c r="AD343" i="1" s="1"/>
  <c r="V344" i="1"/>
  <c r="AI344" i="1" s="1"/>
  <c r="R345" i="1"/>
  <c r="AE345" i="1" s="1"/>
  <c r="Y349" i="1"/>
  <c r="AL349" i="1" s="1"/>
  <c r="Q350" i="1"/>
  <c r="AD350" i="1" s="1"/>
  <c r="Y351" i="1"/>
  <c r="AL351" i="1" s="1"/>
  <c r="Q352" i="1"/>
  <c r="AD352" i="1" s="1"/>
  <c r="Y353" i="1"/>
  <c r="AL353" i="1" s="1"/>
  <c r="Q354" i="1"/>
  <c r="AD354" i="1" s="1"/>
  <c r="Y355" i="1"/>
  <c r="AL355" i="1" s="1"/>
  <c r="Q356" i="1"/>
  <c r="AD356" i="1" s="1"/>
  <c r="Y357" i="1"/>
  <c r="AL357" i="1" s="1"/>
  <c r="Q358" i="1"/>
  <c r="AD358" i="1" s="1"/>
  <c r="Y359" i="1"/>
  <c r="AL359" i="1" s="1"/>
  <c r="Q360" i="1"/>
  <c r="AD360" i="1" s="1"/>
  <c r="Y361" i="1"/>
  <c r="AL361" i="1" s="1"/>
  <c r="Q362" i="1"/>
  <c r="AD362" i="1" s="1"/>
  <c r="Y363" i="1"/>
  <c r="AL363" i="1" s="1"/>
  <c r="Q364" i="1"/>
  <c r="AD364" i="1" s="1"/>
  <c r="Y365" i="1"/>
  <c r="AL365" i="1" s="1"/>
  <c r="Q366" i="1"/>
  <c r="AD366" i="1" s="1"/>
  <c r="Y367" i="1"/>
  <c r="AL367" i="1" s="1"/>
  <c r="Q368" i="1"/>
  <c r="AD368" i="1" s="1"/>
  <c r="Y369" i="1"/>
  <c r="AL369" i="1" s="1"/>
  <c r="Q370" i="1"/>
  <c r="AD370" i="1" s="1"/>
  <c r="Y371" i="1"/>
  <c r="AL371" i="1" s="1"/>
  <c r="Q372" i="1"/>
  <c r="AD372" i="1" s="1"/>
  <c r="Y373" i="1"/>
  <c r="AL373" i="1" s="1"/>
  <c r="Q374" i="1"/>
  <c r="AD374" i="1" s="1"/>
  <c r="Y375" i="1"/>
  <c r="AL375" i="1" s="1"/>
  <c r="Q376" i="1"/>
  <c r="AD376" i="1" s="1"/>
  <c r="Y377" i="1"/>
  <c r="AL377" i="1" s="1"/>
  <c r="Q378" i="1"/>
  <c r="AD378" i="1" s="1"/>
  <c r="Y379" i="1"/>
  <c r="AL379" i="1" s="1"/>
  <c r="Q380" i="1"/>
  <c r="AD380" i="1" s="1"/>
  <c r="Y381" i="1"/>
  <c r="AL381" i="1" s="1"/>
  <c r="Q382" i="1"/>
  <c r="AD382" i="1" s="1"/>
  <c r="Y383" i="1"/>
  <c r="AL383" i="1" s="1"/>
  <c r="Q384" i="1"/>
  <c r="AD384" i="1" s="1"/>
  <c r="Y385" i="1"/>
  <c r="AL385" i="1" s="1"/>
  <c r="Q386" i="1"/>
  <c r="AD386" i="1" s="1"/>
  <c r="Y387" i="1"/>
  <c r="AL387" i="1" s="1"/>
  <c r="Q388" i="1"/>
  <c r="AD388" i="1" s="1"/>
  <c r="Y389" i="1"/>
  <c r="AL389" i="1" s="1"/>
  <c r="Q390" i="1"/>
  <c r="AD390" i="1" s="1"/>
  <c r="Y391" i="1"/>
  <c r="AL391" i="1" s="1"/>
  <c r="Q392" i="1"/>
  <c r="AD392" i="1" s="1"/>
  <c r="V308" i="1"/>
  <c r="AI308" i="1" s="1"/>
  <c r="Q315" i="1"/>
  <c r="AD315" i="1" s="1"/>
  <c r="X322" i="1"/>
  <c r="AK322" i="1" s="1"/>
  <c r="P333" i="1"/>
  <c r="AC333" i="1" s="1"/>
  <c r="X338" i="1"/>
  <c r="AK338" i="1" s="1"/>
  <c r="P341" i="1"/>
  <c r="AC341" i="1" s="1"/>
  <c r="S343" i="1"/>
  <c r="AF343" i="1" s="1"/>
  <c r="W344" i="1"/>
  <c r="AJ344" i="1" s="1"/>
  <c r="S345" i="1"/>
  <c r="AF345" i="1" s="1"/>
  <c r="O346" i="1"/>
  <c r="AB346" i="1" s="1"/>
  <c r="O347" i="1"/>
  <c r="AB347" i="1" s="1"/>
  <c r="Z349" i="1"/>
  <c r="AM349" i="1" s="1"/>
  <c r="R350" i="1"/>
  <c r="AE350" i="1" s="1"/>
  <c r="Z351" i="1"/>
  <c r="AM351" i="1" s="1"/>
  <c r="R352" i="1"/>
  <c r="AE352" i="1" s="1"/>
  <c r="Z353" i="1"/>
  <c r="AM353" i="1" s="1"/>
  <c r="R354" i="1"/>
  <c r="AE354" i="1" s="1"/>
  <c r="Z355" i="1"/>
  <c r="AM355" i="1" s="1"/>
  <c r="R356" i="1"/>
  <c r="AE356" i="1" s="1"/>
  <c r="Z357" i="1"/>
  <c r="AM357" i="1" s="1"/>
  <c r="R358" i="1"/>
  <c r="AE358" i="1" s="1"/>
  <c r="Z359" i="1"/>
  <c r="AM359" i="1" s="1"/>
  <c r="R360" i="1"/>
  <c r="AE360" i="1" s="1"/>
  <c r="Z361" i="1"/>
  <c r="AM361" i="1" s="1"/>
  <c r="R362" i="1"/>
  <c r="AE362" i="1" s="1"/>
  <c r="Z363" i="1"/>
  <c r="AM363" i="1" s="1"/>
  <c r="R364" i="1"/>
  <c r="AE364" i="1" s="1"/>
  <c r="Z365" i="1"/>
  <c r="AM365" i="1" s="1"/>
  <c r="R366" i="1"/>
  <c r="AE366" i="1" s="1"/>
  <c r="Z367" i="1"/>
  <c r="AM367" i="1" s="1"/>
  <c r="R368" i="1"/>
  <c r="AE368" i="1" s="1"/>
  <c r="Z369" i="1"/>
  <c r="AM369" i="1" s="1"/>
  <c r="R370" i="1"/>
  <c r="AE370" i="1" s="1"/>
  <c r="Z371" i="1"/>
  <c r="AM371" i="1" s="1"/>
  <c r="R372" i="1"/>
  <c r="AE372" i="1" s="1"/>
  <c r="Z373" i="1"/>
  <c r="AM373" i="1" s="1"/>
  <c r="R374" i="1"/>
  <c r="AE374" i="1" s="1"/>
  <c r="Z375" i="1"/>
  <c r="AM375" i="1" s="1"/>
  <c r="R376" i="1"/>
  <c r="AE376" i="1" s="1"/>
  <c r="Z377" i="1"/>
  <c r="AM377" i="1" s="1"/>
  <c r="R378" i="1"/>
  <c r="AE378" i="1" s="1"/>
  <c r="Z379" i="1"/>
  <c r="AM379" i="1" s="1"/>
  <c r="R380" i="1"/>
  <c r="AE380" i="1" s="1"/>
  <c r="Z381" i="1"/>
  <c r="AM381" i="1" s="1"/>
  <c r="R382" i="1"/>
  <c r="AE382" i="1" s="1"/>
  <c r="Z383" i="1"/>
  <c r="AM383" i="1" s="1"/>
  <c r="R384" i="1"/>
  <c r="AE384" i="1" s="1"/>
  <c r="Z385" i="1"/>
  <c r="AM385" i="1" s="1"/>
  <c r="R386" i="1"/>
  <c r="AE386" i="1" s="1"/>
  <c r="Z387" i="1"/>
  <c r="AM387" i="1" s="1"/>
  <c r="R388" i="1"/>
  <c r="AE388" i="1" s="1"/>
  <c r="Z389" i="1"/>
  <c r="AM389" i="1" s="1"/>
  <c r="Y314" i="1"/>
  <c r="AL314" i="1" s="1"/>
  <c r="Y332" i="1"/>
  <c r="AL332" i="1" s="1"/>
  <c r="X344" i="1"/>
  <c r="AK344" i="1" s="1"/>
  <c r="W349" i="1"/>
  <c r="AJ349" i="1" s="1"/>
  <c r="S356" i="1"/>
  <c r="AF356" i="1" s="1"/>
  <c r="O360" i="1"/>
  <c r="AB360" i="1" s="1"/>
  <c r="X363" i="1"/>
  <c r="AK363" i="1" s="1"/>
  <c r="P374" i="1"/>
  <c r="AC374" i="1" s="1"/>
  <c r="W381" i="1"/>
  <c r="AJ381" i="1" s="1"/>
  <c r="S388" i="1"/>
  <c r="AF388" i="1" s="1"/>
  <c r="X391" i="1"/>
  <c r="AK391" i="1" s="1"/>
  <c r="O394" i="1"/>
  <c r="AB394" i="1" s="1"/>
  <c r="P396" i="1"/>
  <c r="AC396" i="1" s="1"/>
  <c r="P400" i="1"/>
  <c r="AC400" i="1" s="1"/>
  <c r="O401" i="1"/>
  <c r="AB401" i="1" s="1"/>
  <c r="Q402" i="1"/>
  <c r="AD402" i="1" s="1"/>
  <c r="P404" i="1"/>
  <c r="AC404" i="1" s="1"/>
  <c r="O406" i="1"/>
  <c r="AB406" i="1" s="1"/>
  <c r="W415" i="1"/>
  <c r="AJ415" i="1" s="1"/>
  <c r="O416" i="1"/>
  <c r="AB416" i="1" s="1"/>
  <c r="W417" i="1"/>
  <c r="AJ417" i="1" s="1"/>
  <c r="O418" i="1"/>
  <c r="AB418" i="1" s="1"/>
  <c r="W419" i="1"/>
  <c r="AJ419" i="1" s="1"/>
  <c r="O420" i="1"/>
  <c r="AB420" i="1" s="1"/>
  <c r="W421" i="1"/>
  <c r="AJ421" i="1" s="1"/>
  <c r="O422" i="1"/>
  <c r="AB422" i="1" s="1"/>
  <c r="W423" i="1"/>
  <c r="AJ423" i="1" s="1"/>
  <c r="O424" i="1"/>
  <c r="AB424" i="1" s="1"/>
  <c r="W425" i="1"/>
  <c r="AJ425" i="1" s="1"/>
  <c r="O426" i="1"/>
  <c r="AB426" i="1" s="1"/>
  <c r="W427" i="1"/>
  <c r="AJ427" i="1" s="1"/>
  <c r="O428" i="1"/>
  <c r="AB428" i="1" s="1"/>
  <c r="W429" i="1"/>
  <c r="AJ429" i="1" s="1"/>
  <c r="O430" i="1"/>
  <c r="AB430" i="1" s="1"/>
  <c r="W431" i="1"/>
  <c r="AJ431" i="1" s="1"/>
  <c r="O432" i="1"/>
  <c r="AB432" i="1" s="1"/>
  <c r="W433" i="1"/>
  <c r="AJ433" i="1" s="1"/>
  <c r="O434" i="1"/>
  <c r="AB434" i="1" s="1"/>
  <c r="W435" i="1"/>
  <c r="AJ435" i="1" s="1"/>
  <c r="O436" i="1"/>
  <c r="AB436" i="1" s="1"/>
  <c r="W437" i="1"/>
  <c r="AJ437" i="1" s="1"/>
  <c r="O438" i="1"/>
  <c r="AB438" i="1" s="1"/>
  <c r="W439" i="1"/>
  <c r="AJ439" i="1" s="1"/>
  <c r="O440" i="1"/>
  <c r="AB440" i="1" s="1"/>
  <c r="W441" i="1"/>
  <c r="AJ441" i="1" s="1"/>
  <c r="O442" i="1"/>
  <c r="AB442" i="1" s="1"/>
  <c r="W443" i="1"/>
  <c r="AJ443" i="1" s="1"/>
  <c r="O444" i="1"/>
  <c r="AB444" i="1" s="1"/>
  <c r="W445" i="1"/>
  <c r="AJ445" i="1" s="1"/>
  <c r="O446" i="1"/>
  <c r="AB446" i="1" s="1"/>
  <c r="W447" i="1"/>
  <c r="AJ447" i="1" s="1"/>
  <c r="O448" i="1"/>
  <c r="AB448" i="1" s="1"/>
  <c r="W449" i="1"/>
  <c r="AJ449" i="1" s="1"/>
  <c r="O450" i="1"/>
  <c r="AB450" i="1" s="1"/>
  <c r="W451" i="1"/>
  <c r="AJ451" i="1" s="1"/>
  <c r="O452" i="1"/>
  <c r="AB452" i="1" s="1"/>
  <c r="W453" i="1"/>
  <c r="AJ453" i="1" s="1"/>
  <c r="O454" i="1"/>
  <c r="AB454" i="1" s="1"/>
  <c r="W455" i="1"/>
  <c r="AJ455" i="1" s="1"/>
  <c r="O456" i="1"/>
  <c r="AB456" i="1" s="1"/>
  <c r="W457" i="1"/>
  <c r="AJ457" i="1" s="1"/>
  <c r="O458" i="1"/>
  <c r="AB458" i="1" s="1"/>
  <c r="W459" i="1"/>
  <c r="AJ459" i="1" s="1"/>
  <c r="O460" i="1"/>
  <c r="AB460" i="1" s="1"/>
  <c r="W461" i="1"/>
  <c r="AJ461" i="1" s="1"/>
  <c r="O462" i="1"/>
  <c r="AB462" i="1" s="1"/>
  <c r="W463" i="1"/>
  <c r="AJ463" i="1" s="1"/>
  <c r="O464" i="1"/>
  <c r="AB464" i="1" s="1"/>
  <c r="W465" i="1"/>
  <c r="AJ465" i="1" s="1"/>
  <c r="O466" i="1"/>
  <c r="AB466" i="1" s="1"/>
  <c r="W467" i="1"/>
  <c r="AJ467" i="1" s="1"/>
  <c r="O468" i="1"/>
  <c r="AB468" i="1" s="1"/>
  <c r="W469" i="1"/>
  <c r="AJ469" i="1" s="1"/>
  <c r="O470" i="1"/>
  <c r="AB470" i="1" s="1"/>
  <c r="W471" i="1"/>
  <c r="AJ471" i="1" s="1"/>
  <c r="O472" i="1"/>
  <c r="AB472" i="1" s="1"/>
  <c r="W473" i="1"/>
  <c r="AJ473" i="1" s="1"/>
  <c r="O474" i="1"/>
  <c r="AB474" i="1" s="1"/>
  <c r="W475" i="1"/>
  <c r="AJ475" i="1" s="1"/>
  <c r="O476" i="1"/>
  <c r="AB476" i="1" s="1"/>
  <c r="W477" i="1"/>
  <c r="AJ477" i="1" s="1"/>
  <c r="O478" i="1"/>
  <c r="AB478" i="1" s="1"/>
  <c r="W479" i="1"/>
  <c r="AJ479" i="1" s="1"/>
  <c r="O480" i="1"/>
  <c r="AB480" i="1" s="1"/>
  <c r="W481" i="1"/>
  <c r="AJ481" i="1" s="1"/>
  <c r="O482" i="1"/>
  <c r="AB482" i="1" s="1"/>
  <c r="W483" i="1"/>
  <c r="AJ483" i="1" s="1"/>
  <c r="O484" i="1"/>
  <c r="AB484" i="1" s="1"/>
  <c r="W485" i="1"/>
  <c r="AJ485" i="1" s="1"/>
  <c r="O486" i="1"/>
  <c r="AB486" i="1" s="1"/>
  <c r="W487" i="1"/>
  <c r="AJ487" i="1" s="1"/>
  <c r="O488" i="1"/>
  <c r="AB488" i="1" s="1"/>
  <c r="W489" i="1"/>
  <c r="AJ489" i="1" s="1"/>
  <c r="O490" i="1"/>
  <c r="AB490" i="1" s="1"/>
  <c r="W491" i="1"/>
  <c r="AJ491" i="1" s="1"/>
  <c r="O492" i="1"/>
  <c r="AB492" i="1" s="1"/>
  <c r="W493" i="1"/>
  <c r="AJ493" i="1" s="1"/>
  <c r="O494" i="1"/>
  <c r="AB494" i="1" s="1"/>
  <c r="W495" i="1"/>
  <c r="AJ495" i="1" s="1"/>
  <c r="O496" i="1"/>
  <c r="AB496" i="1" s="1"/>
  <c r="W497" i="1"/>
  <c r="AJ497" i="1" s="1"/>
  <c r="O498" i="1"/>
  <c r="AB498" i="1" s="1"/>
  <c r="W499" i="1"/>
  <c r="AJ499" i="1" s="1"/>
  <c r="O500" i="1"/>
  <c r="AB500" i="1" s="1"/>
  <c r="W501" i="1"/>
  <c r="AJ501" i="1" s="1"/>
  <c r="O502" i="1"/>
  <c r="AB502" i="1" s="1"/>
  <c r="W503" i="1"/>
  <c r="AJ503" i="1" s="1"/>
  <c r="X292" i="1"/>
  <c r="AK292" i="1" s="1"/>
  <c r="Q333" i="1"/>
  <c r="AD333" i="1" s="1"/>
  <c r="P345" i="1"/>
  <c r="AC345" i="1" s="1"/>
  <c r="X349" i="1"/>
  <c r="AK349" i="1" s="1"/>
  <c r="P360" i="1"/>
  <c r="AC360" i="1" s="1"/>
  <c r="W367" i="1"/>
  <c r="AJ367" i="1" s="1"/>
  <c r="S374" i="1"/>
  <c r="AF374" i="1" s="1"/>
  <c r="O378" i="1"/>
  <c r="AB378" i="1" s="1"/>
  <c r="X381" i="1"/>
  <c r="AK381" i="1" s="1"/>
  <c r="Z391" i="1"/>
  <c r="AM391" i="1" s="1"/>
  <c r="P394" i="1"/>
  <c r="AC394" i="1" s="1"/>
  <c r="Q396" i="1"/>
  <c r="AD396" i="1" s="1"/>
  <c r="Q400" i="1"/>
  <c r="AD400" i="1" s="1"/>
  <c r="P401" i="1"/>
  <c r="AC401" i="1" s="1"/>
  <c r="R402" i="1"/>
  <c r="AE402" i="1" s="1"/>
  <c r="O403" i="1"/>
  <c r="AB403" i="1" s="1"/>
  <c r="Q404" i="1"/>
  <c r="AD404" i="1" s="1"/>
  <c r="P406" i="1"/>
  <c r="AC406" i="1" s="1"/>
  <c r="O408" i="1"/>
  <c r="AB408" i="1" s="1"/>
  <c r="X415" i="1"/>
  <c r="AK415" i="1" s="1"/>
  <c r="P416" i="1"/>
  <c r="AC416" i="1" s="1"/>
  <c r="X417" i="1"/>
  <c r="AK417" i="1" s="1"/>
  <c r="P418" i="1"/>
  <c r="AC418" i="1" s="1"/>
  <c r="X419" i="1"/>
  <c r="AK419" i="1" s="1"/>
  <c r="P420" i="1"/>
  <c r="AC420" i="1" s="1"/>
  <c r="X421" i="1"/>
  <c r="AK421" i="1" s="1"/>
  <c r="P422" i="1"/>
  <c r="AC422" i="1" s="1"/>
  <c r="X423" i="1"/>
  <c r="AK423" i="1" s="1"/>
  <c r="P424" i="1"/>
  <c r="AC424" i="1" s="1"/>
  <c r="X425" i="1"/>
  <c r="AK425" i="1" s="1"/>
  <c r="P426" i="1"/>
  <c r="AC426" i="1" s="1"/>
  <c r="X427" i="1"/>
  <c r="AK427" i="1" s="1"/>
  <c r="P428" i="1"/>
  <c r="AC428" i="1" s="1"/>
  <c r="X429" i="1"/>
  <c r="AK429" i="1" s="1"/>
  <c r="P430" i="1"/>
  <c r="AC430" i="1" s="1"/>
  <c r="X431" i="1"/>
  <c r="AK431" i="1" s="1"/>
  <c r="P432" i="1"/>
  <c r="AC432" i="1" s="1"/>
  <c r="X433" i="1"/>
  <c r="AK433" i="1" s="1"/>
  <c r="P434" i="1"/>
  <c r="AC434" i="1" s="1"/>
  <c r="X435" i="1"/>
  <c r="AK435" i="1" s="1"/>
  <c r="P436" i="1"/>
  <c r="AC436" i="1" s="1"/>
  <c r="X437" i="1"/>
  <c r="AK437" i="1" s="1"/>
  <c r="P438" i="1"/>
  <c r="AC438" i="1" s="1"/>
  <c r="X439" i="1"/>
  <c r="AK439" i="1" s="1"/>
  <c r="P440" i="1"/>
  <c r="AC440" i="1" s="1"/>
  <c r="X441" i="1"/>
  <c r="AK441" i="1" s="1"/>
  <c r="P442" i="1"/>
  <c r="AC442" i="1" s="1"/>
  <c r="X443" i="1"/>
  <c r="AK443" i="1" s="1"/>
  <c r="P444" i="1"/>
  <c r="AC444" i="1" s="1"/>
  <c r="X445" i="1"/>
  <c r="AK445" i="1" s="1"/>
  <c r="P446" i="1"/>
  <c r="AC446" i="1" s="1"/>
  <c r="X447" i="1"/>
  <c r="AK447" i="1" s="1"/>
  <c r="P448" i="1"/>
  <c r="AC448" i="1" s="1"/>
  <c r="X449" i="1"/>
  <c r="AK449" i="1" s="1"/>
  <c r="P450" i="1"/>
  <c r="AC450" i="1" s="1"/>
  <c r="X451" i="1"/>
  <c r="AK451" i="1" s="1"/>
  <c r="P452" i="1"/>
  <c r="AC452" i="1" s="1"/>
  <c r="X453" i="1"/>
  <c r="AK453" i="1" s="1"/>
  <c r="P454" i="1"/>
  <c r="AC454" i="1" s="1"/>
  <c r="X455" i="1"/>
  <c r="AK455" i="1" s="1"/>
  <c r="P456" i="1"/>
  <c r="AC456" i="1" s="1"/>
  <c r="X457" i="1"/>
  <c r="AK457" i="1" s="1"/>
  <c r="P458" i="1"/>
  <c r="AC458" i="1" s="1"/>
  <c r="X459" i="1"/>
  <c r="AK459" i="1" s="1"/>
  <c r="P460" i="1"/>
  <c r="AC460" i="1" s="1"/>
  <c r="X461" i="1"/>
  <c r="AK461" i="1" s="1"/>
  <c r="P462" i="1"/>
  <c r="AC462" i="1" s="1"/>
  <c r="X463" i="1"/>
  <c r="AK463" i="1" s="1"/>
  <c r="Q335" i="1"/>
  <c r="AD335" i="1" s="1"/>
  <c r="Q345" i="1"/>
  <c r="AD345" i="1" s="1"/>
  <c r="W353" i="1"/>
  <c r="AJ353" i="1" s="1"/>
  <c r="S360" i="1"/>
  <c r="AF360" i="1" s="1"/>
  <c r="O364" i="1"/>
  <c r="AB364" i="1" s="1"/>
  <c r="X367" i="1"/>
  <c r="AK367" i="1" s="1"/>
  <c r="P378" i="1"/>
  <c r="AC378" i="1" s="1"/>
  <c r="W385" i="1"/>
  <c r="AJ385" i="1" s="1"/>
  <c r="Q394" i="1"/>
  <c r="AD394" i="1" s="1"/>
  <c r="R396" i="1"/>
  <c r="AE396" i="1" s="1"/>
  <c r="R400" i="1"/>
  <c r="AE400" i="1" s="1"/>
  <c r="Q401" i="1"/>
  <c r="AD401" i="1" s="1"/>
  <c r="S402" i="1"/>
  <c r="AF402" i="1" s="1"/>
  <c r="P403" i="1"/>
  <c r="AC403" i="1" s="1"/>
  <c r="R404" i="1"/>
  <c r="AE404" i="1" s="1"/>
  <c r="O405" i="1"/>
  <c r="AB405" i="1" s="1"/>
  <c r="Q406" i="1"/>
  <c r="AD406" i="1" s="1"/>
  <c r="P408" i="1"/>
  <c r="AC408" i="1" s="1"/>
  <c r="O410" i="1"/>
  <c r="AB410" i="1" s="1"/>
  <c r="Y415" i="1"/>
  <c r="AL415" i="1" s="1"/>
  <c r="Q416" i="1"/>
  <c r="AD416" i="1" s="1"/>
  <c r="Y417" i="1"/>
  <c r="AL417" i="1" s="1"/>
  <c r="Q418" i="1"/>
  <c r="AD418" i="1" s="1"/>
  <c r="Y419" i="1"/>
  <c r="AL419" i="1" s="1"/>
  <c r="Q420" i="1"/>
  <c r="AD420" i="1" s="1"/>
  <c r="Y421" i="1"/>
  <c r="AL421" i="1" s="1"/>
  <c r="Q422" i="1"/>
  <c r="AD422" i="1" s="1"/>
  <c r="Y423" i="1"/>
  <c r="AL423" i="1" s="1"/>
  <c r="Q424" i="1"/>
  <c r="AD424" i="1" s="1"/>
  <c r="Y425" i="1"/>
  <c r="AL425" i="1" s="1"/>
  <c r="Q426" i="1"/>
  <c r="AD426" i="1" s="1"/>
  <c r="Y427" i="1"/>
  <c r="AL427" i="1" s="1"/>
  <c r="Q428" i="1"/>
  <c r="AD428" i="1" s="1"/>
  <c r="Y429" i="1"/>
  <c r="AL429" i="1" s="1"/>
  <c r="Q430" i="1"/>
  <c r="AD430" i="1" s="1"/>
  <c r="Y431" i="1"/>
  <c r="AL431" i="1" s="1"/>
  <c r="Q432" i="1"/>
  <c r="AD432" i="1" s="1"/>
  <c r="Y433" i="1"/>
  <c r="AL433" i="1" s="1"/>
  <c r="Q434" i="1"/>
  <c r="AD434" i="1" s="1"/>
  <c r="Y435" i="1"/>
  <c r="AL435" i="1" s="1"/>
  <c r="Q436" i="1"/>
  <c r="AD436" i="1" s="1"/>
  <c r="Y437" i="1"/>
  <c r="AL437" i="1" s="1"/>
  <c r="Q438" i="1"/>
  <c r="AD438" i="1" s="1"/>
  <c r="Y439" i="1"/>
  <c r="AL439" i="1" s="1"/>
  <c r="Q440" i="1"/>
  <c r="AD440" i="1" s="1"/>
  <c r="Y441" i="1"/>
  <c r="AL441" i="1" s="1"/>
  <c r="Q442" i="1"/>
  <c r="AD442" i="1" s="1"/>
  <c r="Y443" i="1"/>
  <c r="AL443" i="1" s="1"/>
  <c r="Q444" i="1"/>
  <c r="AD444" i="1" s="1"/>
  <c r="Y445" i="1"/>
  <c r="AL445" i="1" s="1"/>
  <c r="Q446" i="1"/>
  <c r="AD446" i="1" s="1"/>
  <c r="Y447" i="1"/>
  <c r="AL447" i="1" s="1"/>
  <c r="Q448" i="1"/>
  <c r="AD448" i="1" s="1"/>
  <c r="Y449" i="1"/>
  <c r="AL449" i="1" s="1"/>
  <c r="Q450" i="1"/>
  <c r="AD450" i="1" s="1"/>
  <c r="Y451" i="1"/>
  <c r="AL451" i="1" s="1"/>
  <c r="Q452" i="1"/>
  <c r="AD452" i="1" s="1"/>
  <c r="Y453" i="1"/>
  <c r="AL453" i="1" s="1"/>
  <c r="Q454" i="1"/>
  <c r="AD454" i="1" s="1"/>
  <c r="Y455" i="1"/>
  <c r="AL455" i="1" s="1"/>
  <c r="Q456" i="1"/>
  <c r="AD456" i="1" s="1"/>
  <c r="Y457" i="1"/>
  <c r="AL457" i="1" s="1"/>
  <c r="Q458" i="1"/>
  <c r="AD458" i="1" s="1"/>
  <c r="Y459" i="1"/>
  <c r="AL459" i="1" s="1"/>
  <c r="Q460" i="1"/>
  <c r="AD460" i="1" s="1"/>
  <c r="Y461" i="1"/>
  <c r="AL461" i="1" s="1"/>
  <c r="Q462" i="1"/>
  <c r="AD462" i="1" s="1"/>
  <c r="Y463" i="1"/>
  <c r="AL463" i="1" s="1"/>
  <c r="V318" i="1"/>
  <c r="AI318" i="1" s="1"/>
  <c r="Y335" i="1"/>
  <c r="AL335" i="1" s="1"/>
  <c r="T345" i="1"/>
  <c r="AG345" i="1" s="1"/>
  <c r="O350" i="1"/>
  <c r="AB350" i="1" s="1"/>
  <c r="X353" i="1"/>
  <c r="AK353" i="1" s="1"/>
  <c r="P364" i="1"/>
  <c r="AC364" i="1" s="1"/>
  <c r="W371" i="1"/>
  <c r="AJ371" i="1" s="1"/>
  <c r="S378" i="1"/>
  <c r="AF378" i="1" s="1"/>
  <c r="O382" i="1"/>
  <c r="AB382" i="1" s="1"/>
  <c r="X385" i="1"/>
  <c r="AK385" i="1" s="1"/>
  <c r="O392" i="1"/>
  <c r="AB392" i="1" s="1"/>
  <c r="R394" i="1"/>
  <c r="AE394" i="1" s="1"/>
  <c r="S396" i="1"/>
  <c r="AF396" i="1" s="1"/>
  <c r="O399" i="1"/>
  <c r="AB399" i="1" s="1"/>
  <c r="S400" i="1"/>
  <c r="AF400" i="1" s="1"/>
  <c r="W401" i="1"/>
  <c r="AJ401" i="1" s="1"/>
  <c r="T402" i="1"/>
  <c r="AG402" i="1" s="1"/>
  <c r="Q403" i="1"/>
  <c r="AD403" i="1" s="1"/>
  <c r="S404" i="1"/>
  <c r="AF404" i="1" s="1"/>
  <c r="P405" i="1"/>
  <c r="AC405" i="1" s="1"/>
  <c r="R406" i="1"/>
  <c r="AE406" i="1" s="1"/>
  <c r="O407" i="1"/>
  <c r="AB407" i="1" s="1"/>
  <c r="Q408" i="1"/>
  <c r="AD408" i="1" s="1"/>
  <c r="P410" i="1"/>
  <c r="AC410" i="1" s="1"/>
  <c r="O412" i="1"/>
  <c r="AB412" i="1" s="1"/>
  <c r="Z415" i="1"/>
  <c r="AM415" i="1" s="1"/>
  <c r="R416" i="1"/>
  <c r="AE416" i="1" s="1"/>
  <c r="Z417" i="1"/>
  <c r="AM417" i="1" s="1"/>
  <c r="R418" i="1"/>
  <c r="AE418" i="1" s="1"/>
  <c r="Z419" i="1"/>
  <c r="AM419" i="1" s="1"/>
  <c r="R420" i="1"/>
  <c r="AE420" i="1" s="1"/>
  <c r="Z421" i="1"/>
  <c r="AM421" i="1" s="1"/>
  <c r="R422" i="1"/>
  <c r="AE422" i="1" s="1"/>
  <c r="Z423" i="1"/>
  <c r="AM423" i="1" s="1"/>
  <c r="R424" i="1"/>
  <c r="AE424" i="1" s="1"/>
  <c r="Z425" i="1"/>
  <c r="AM425" i="1" s="1"/>
  <c r="R426" i="1"/>
  <c r="AE426" i="1" s="1"/>
  <c r="Z427" i="1"/>
  <c r="AM427" i="1" s="1"/>
  <c r="R428" i="1"/>
  <c r="AE428" i="1" s="1"/>
  <c r="Z429" i="1"/>
  <c r="AM429" i="1" s="1"/>
  <c r="R430" i="1"/>
  <c r="AE430" i="1" s="1"/>
  <c r="Z431" i="1"/>
  <c r="AM431" i="1" s="1"/>
  <c r="R432" i="1"/>
  <c r="AE432" i="1" s="1"/>
  <c r="Z433" i="1"/>
  <c r="AM433" i="1" s="1"/>
  <c r="R434" i="1"/>
  <c r="AE434" i="1" s="1"/>
  <c r="Z435" i="1"/>
  <c r="AM435" i="1" s="1"/>
  <c r="R436" i="1"/>
  <c r="AE436" i="1" s="1"/>
  <c r="Z437" i="1"/>
  <c r="AM437" i="1" s="1"/>
  <c r="R438" i="1"/>
  <c r="AE438" i="1" s="1"/>
  <c r="Z439" i="1"/>
  <c r="AM439" i="1" s="1"/>
  <c r="R440" i="1"/>
  <c r="AE440" i="1" s="1"/>
  <c r="Z441" i="1"/>
  <c r="AM441" i="1" s="1"/>
  <c r="R442" i="1"/>
  <c r="AE442" i="1" s="1"/>
  <c r="Z443" i="1"/>
  <c r="AM443" i="1" s="1"/>
  <c r="R444" i="1"/>
  <c r="AE444" i="1" s="1"/>
  <c r="Z445" i="1"/>
  <c r="AM445" i="1" s="1"/>
  <c r="R446" i="1"/>
  <c r="AE446" i="1" s="1"/>
  <c r="Z447" i="1"/>
  <c r="AM447" i="1" s="1"/>
  <c r="R448" i="1"/>
  <c r="AE448" i="1" s="1"/>
  <c r="Z449" i="1"/>
  <c r="AM449" i="1" s="1"/>
  <c r="R450" i="1"/>
  <c r="AE450" i="1" s="1"/>
  <c r="Z451" i="1"/>
  <c r="AM451" i="1" s="1"/>
  <c r="R452" i="1"/>
  <c r="AE452" i="1" s="1"/>
  <c r="Z453" i="1"/>
  <c r="AM453" i="1" s="1"/>
  <c r="R454" i="1"/>
  <c r="AE454" i="1" s="1"/>
  <c r="Z455" i="1"/>
  <c r="AM455" i="1" s="1"/>
  <c r="R456" i="1"/>
  <c r="AE456" i="1" s="1"/>
  <c r="Z457" i="1"/>
  <c r="AM457" i="1" s="1"/>
  <c r="R458" i="1"/>
  <c r="AE458" i="1" s="1"/>
  <c r="Z459" i="1"/>
  <c r="AM459" i="1" s="1"/>
  <c r="R460" i="1"/>
  <c r="AE460" i="1" s="1"/>
  <c r="Z461" i="1"/>
  <c r="AM461" i="1" s="1"/>
  <c r="R462" i="1"/>
  <c r="AE462" i="1" s="1"/>
  <c r="X318" i="1"/>
  <c r="AK318" i="1" s="1"/>
  <c r="P350" i="1"/>
  <c r="AC350" i="1" s="1"/>
  <c r="W357" i="1"/>
  <c r="AJ357" i="1" s="1"/>
  <c r="S364" i="1"/>
  <c r="AF364" i="1" s="1"/>
  <c r="O368" i="1"/>
  <c r="AB368" i="1" s="1"/>
  <c r="X371" i="1"/>
  <c r="AK371" i="1" s="1"/>
  <c r="P382" i="1"/>
  <c r="AC382" i="1" s="1"/>
  <c r="W389" i="1"/>
  <c r="AJ389" i="1" s="1"/>
  <c r="P392" i="1"/>
  <c r="AC392" i="1" s="1"/>
  <c r="S394" i="1"/>
  <c r="AF394" i="1" s="1"/>
  <c r="W396" i="1"/>
  <c r="AJ396" i="1" s="1"/>
  <c r="O398" i="1"/>
  <c r="AB398" i="1" s="1"/>
  <c r="P399" i="1"/>
  <c r="AC399" i="1" s="1"/>
  <c r="U400" i="1"/>
  <c r="AH400" i="1" s="1"/>
  <c r="X401" i="1"/>
  <c r="AK401" i="1" s="1"/>
  <c r="U402" i="1"/>
  <c r="AH402" i="1" s="1"/>
  <c r="W403" i="1"/>
  <c r="AJ403" i="1" s="1"/>
  <c r="T404" i="1"/>
  <c r="AG404" i="1" s="1"/>
  <c r="Q405" i="1"/>
  <c r="AD405" i="1" s="1"/>
  <c r="S406" i="1"/>
  <c r="AF406" i="1" s="1"/>
  <c r="P407" i="1"/>
  <c r="AC407" i="1" s="1"/>
  <c r="R408" i="1"/>
  <c r="AE408" i="1" s="1"/>
  <c r="O409" i="1"/>
  <c r="AB409" i="1" s="1"/>
  <c r="Q410" i="1"/>
  <c r="AD410" i="1" s="1"/>
  <c r="P412" i="1"/>
  <c r="AC412" i="1" s="1"/>
  <c r="O414" i="1"/>
  <c r="AB414" i="1" s="1"/>
  <c r="S416" i="1"/>
  <c r="AF416" i="1" s="1"/>
  <c r="S418" i="1"/>
  <c r="AF418" i="1" s="1"/>
  <c r="S420" i="1"/>
  <c r="AF420" i="1" s="1"/>
  <c r="S422" i="1"/>
  <c r="AF422" i="1" s="1"/>
  <c r="S424" i="1"/>
  <c r="AF424" i="1" s="1"/>
  <c r="S426" i="1"/>
  <c r="AF426" i="1" s="1"/>
  <c r="S428" i="1"/>
  <c r="AF428" i="1" s="1"/>
  <c r="S430" i="1"/>
  <c r="AF430" i="1" s="1"/>
  <c r="S432" i="1"/>
  <c r="AF432" i="1" s="1"/>
  <c r="S434" i="1"/>
  <c r="AF434" i="1" s="1"/>
  <c r="S436" i="1"/>
  <c r="AF436" i="1" s="1"/>
  <c r="S438" i="1"/>
  <c r="AF438" i="1" s="1"/>
  <c r="S440" i="1"/>
  <c r="AF440" i="1" s="1"/>
  <c r="S442" i="1"/>
  <c r="AF442" i="1" s="1"/>
  <c r="S444" i="1"/>
  <c r="AF444" i="1" s="1"/>
  <c r="S446" i="1"/>
  <c r="AF446" i="1" s="1"/>
  <c r="S448" i="1"/>
  <c r="AF448" i="1" s="1"/>
  <c r="S450" i="1"/>
  <c r="AF450" i="1" s="1"/>
  <c r="S452" i="1"/>
  <c r="AF452" i="1" s="1"/>
  <c r="S454" i="1"/>
  <c r="AF454" i="1" s="1"/>
  <c r="S456" i="1"/>
  <c r="AF456" i="1" s="1"/>
  <c r="S458" i="1"/>
  <c r="AF458" i="1" s="1"/>
  <c r="S460" i="1"/>
  <c r="AF460" i="1" s="1"/>
  <c r="S462" i="1"/>
  <c r="AF462" i="1" s="1"/>
  <c r="P319" i="1"/>
  <c r="AC319" i="1" s="1"/>
  <c r="S350" i="1"/>
  <c r="AF350" i="1" s="1"/>
  <c r="O354" i="1"/>
  <c r="AB354" i="1" s="1"/>
  <c r="X357" i="1"/>
  <c r="AK357" i="1" s="1"/>
  <c r="P368" i="1"/>
  <c r="AC368" i="1" s="1"/>
  <c r="W375" i="1"/>
  <c r="AJ375" i="1" s="1"/>
  <c r="S382" i="1"/>
  <c r="AF382" i="1" s="1"/>
  <c r="O386" i="1"/>
  <c r="AB386" i="1" s="1"/>
  <c r="X389" i="1"/>
  <c r="AK389" i="1" s="1"/>
  <c r="R392" i="1"/>
  <c r="AE392" i="1" s="1"/>
  <c r="P398" i="1"/>
  <c r="AC398" i="1" s="1"/>
  <c r="Q399" i="1"/>
  <c r="AD399" i="1" s="1"/>
  <c r="W400" i="1"/>
  <c r="AJ400" i="1" s="1"/>
  <c r="Y401" i="1"/>
  <c r="AL401" i="1" s="1"/>
  <c r="V402" i="1"/>
  <c r="AI402" i="1" s="1"/>
  <c r="X403" i="1"/>
  <c r="AK403" i="1" s="1"/>
  <c r="U404" i="1"/>
  <c r="AH404" i="1" s="1"/>
  <c r="W405" i="1"/>
  <c r="AJ405" i="1" s="1"/>
  <c r="T406" i="1"/>
  <c r="AG406" i="1" s="1"/>
  <c r="Q407" i="1"/>
  <c r="AD407" i="1" s="1"/>
  <c r="S408" i="1"/>
  <c r="AF408" i="1" s="1"/>
  <c r="P409" i="1"/>
  <c r="AC409" i="1" s="1"/>
  <c r="R410" i="1"/>
  <c r="AE410" i="1" s="1"/>
  <c r="O411" i="1"/>
  <c r="AB411" i="1" s="1"/>
  <c r="Q412" i="1"/>
  <c r="AD412" i="1" s="1"/>
  <c r="P414" i="1"/>
  <c r="AC414" i="1" s="1"/>
  <c r="T416" i="1"/>
  <c r="AG416" i="1" s="1"/>
  <c r="T418" i="1"/>
  <c r="AG418" i="1" s="1"/>
  <c r="T420" i="1"/>
  <c r="AG420" i="1" s="1"/>
  <c r="T422" i="1"/>
  <c r="AG422" i="1" s="1"/>
  <c r="T424" i="1"/>
  <c r="AG424" i="1" s="1"/>
  <c r="T426" i="1"/>
  <c r="AG426" i="1" s="1"/>
  <c r="T428" i="1"/>
  <c r="AG428" i="1" s="1"/>
  <c r="T430" i="1"/>
  <c r="AG430" i="1" s="1"/>
  <c r="T432" i="1"/>
  <c r="AG432" i="1" s="1"/>
  <c r="T434" i="1"/>
  <c r="AG434" i="1" s="1"/>
  <c r="T436" i="1"/>
  <c r="AG436" i="1" s="1"/>
  <c r="T438" i="1"/>
  <c r="AG438" i="1" s="1"/>
  <c r="T440" i="1"/>
  <c r="AG440" i="1" s="1"/>
  <c r="T442" i="1"/>
  <c r="AG442" i="1" s="1"/>
  <c r="T444" i="1"/>
  <c r="AG444" i="1" s="1"/>
  <c r="T446" i="1"/>
  <c r="AG446" i="1" s="1"/>
  <c r="T448" i="1"/>
  <c r="AG448" i="1" s="1"/>
  <c r="T450" i="1"/>
  <c r="AG450" i="1" s="1"/>
  <c r="T452" i="1"/>
  <c r="AG452" i="1" s="1"/>
  <c r="T454" i="1"/>
  <c r="AG454" i="1" s="1"/>
  <c r="T456" i="1"/>
  <c r="AG456" i="1" s="1"/>
  <c r="T458" i="1"/>
  <c r="AG458" i="1" s="1"/>
  <c r="Q338" i="1"/>
  <c r="AD338" i="1" s="1"/>
  <c r="Q346" i="1"/>
  <c r="AD346" i="1" s="1"/>
  <c r="P354" i="1"/>
  <c r="AC354" i="1" s="1"/>
  <c r="W361" i="1"/>
  <c r="AJ361" i="1" s="1"/>
  <c r="S368" i="1"/>
  <c r="AF368" i="1" s="1"/>
  <c r="O372" i="1"/>
  <c r="AB372" i="1" s="1"/>
  <c r="X375" i="1"/>
  <c r="AK375" i="1" s="1"/>
  <c r="P386" i="1"/>
  <c r="AC386" i="1" s="1"/>
  <c r="S392" i="1"/>
  <c r="AF392" i="1" s="1"/>
  <c r="Q398" i="1"/>
  <c r="AD398" i="1" s="1"/>
  <c r="W399" i="1"/>
  <c r="AJ399" i="1" s="1"/>
  <c r="X400" i="1"/>
  <c r="AK400" i="1" s="1"/>
  <c r="Z401" i="1"/>
  <c r="AM401" i="1" s="1"/>
  <c r="W402" i="1"/>
  <c r="AJ402" i="1" s="1"/>
  <c r="Y403" i="1"/>
  <c r="AL403" i="1" s="1"/>
  <c r="V404" i="1"/>
  <c r="AI404" i="1" s="1"/>
  <c r="X405" i="1"/>
  <c r="AK405" i="1" s="1"/>
  <c r="U406" i="1"/>
  <c r="AH406" i="1" s="1"/>
  <c r="W407" i="1"/>
  <c r="AJ407" i="1" s="1"/>
  <c r="T408" i="1"/>
  <c r="AG408" i="1" s="1"/>
  <c r="Q409" i="1"/>
  <c r="AD409" i="1" s="1"/>
  <c r="S410" i="1"/>
  <c r="AF410" i="1" s="1"/>
  <c r="P411" i="1"/>
  <c r="AC411" i="1" s="1"/>
  <c r="R412" i="1"/>
  <c r="AE412" i="1" s="1"/>
  <c r="O413" i="1"/>
  <c r="AB413" i="1" s="1"/>
  <c r="Q414" i="1"/>
  <c r="AD414" i="1" s="1"/>
  <c r="U416" i="1"/>
  <c r="AH416" i="1" s="1"/>
  <c r="U418" i="1"/>
  <c r="AH418" i="1" s="1"/>
  <c r="U420" i="1"/>
  <c r="AH420" i="1" s="1"/>
  <c r="U422" i="1"/>
  <c r="AH422" i="1" s="1"/>
  <c r="U424" i="1"/>
  <c r="AH424" i="1" s="1"/>
  <c r="U426" i="1"/>
  <c r="AH426" i="1" s="1"/>
  <c r="U428" i="1"/>
  <c r="AH428" i="1" s="1"/>
  <c r="U430" i="1"/>
  <c r="AH430" i="1" s="1"/>
  <c r="U432" i="1"/>
  <c r="AH432" i="1" s="1"/>
  <c r="U434" i="1"/>
  <c r="AH434" i="1" s="1"/>
  <c r="U436" i="1"/>
  <c r="AH436" i="1" s="1"/>
  <c r="U438" i="1"/>
  <c r="AH438" i="1" s="1"/>
  <c r="U440" i="1"/>
  <c r="AH440" i="1" s="1"/>
  <c r="U442" i="1"/>
  <c r="AH442" i="1" s="1"/>
  <c r="U444" i="1"/>
  <c r="AH444" i="1" s="1"/>
  <c r="U446" i="1"/>
  <c r="AH446" i="1" s="1"/>
  <c r="U448" i="1"/>
  <c r="AH448" i="1" s="1"/>
  <c r="U450" i="1"/>
  <c r="AH450" i="1" s="1"/>
  <c r="U452" i="1"/>
  <c r="AH452" i="1" s="1"/>
  <c r="U454" i="1"/>
  <c r="AH454" i="1" s="1"/>
  <c r="U456" i="1"/>
  <c r="AH456" i="1" s="1"/>
  <c r="U458" i="1"/>
  <c r="AH458" i="1" s="1"/>
  <c r="Y338" i="1"/>
  <c r="AL338" i="1" s="1"/>
  <c r="S354" i="1"/>
  <c r="AF354" i="1" s="1"/>
  <c r="O358" i="1"/>
  <c r="AB358" i="1" s="1"/>
  <c r="X361" i="1"/>
  <c r="AK361" i="1" s="1"/>
  <c r="P372" i="1"/>
  <c r="AC372" i="1" s="1"/>
  <c r="W379" i="1"/>
  <c r="AJ379" i="1" s="1"/>
  <c r="S386" i="1"/>
  <c r="AF386" i="1" s="1"/>
  <c r="O390" i="1"/>
  <c r="AB390" i="1" s="1"/>
  <c r="R398" i="1"/>
  <c r="AE398" i="1" s="1"/>
  <c r="X399" i="1"/>
  <c r="AK399" i="1" s="1"/>
  <c r="Y400" i="1"/>
  <c r="AL400" i="1" s="1"/>
  <c r="X402" i="1"/>
  <c r="AK402" i="1" s="1"/>
  <c r="Z403" i="1"/>
  <c r="AM403" i="1" s="1"/>
  <c r="W404" i="1"/>
  <c r="AJ404" i="1" s="1"/>
  <c r="Y405" i="1"/>
  <c r="AL405" i="1" s="1"/>
  <c r="V406" i="1"/>
  <c r="AI406" i="1" s="1"/>
  <c r="X407" i="1"/>
  <c r="AK407" i="1" s="1"/>
  <c r="U408" i="1"/>
  <c r="AH408" i="1" s="1"/>
  <c r="W409" i="1"/>
  <c r="AJ409" i="1" s="1"/>
  <c r="T410" i="1"/>
  <c r="AG410" i="1" s="1"/>
  <c r="Q411" i="1"/>
  <c r="AD411" i="1" s="1"/>
  <c r="S412" i="1"/>
  <c r="AF412" i="1" s="1"/>
  <c r="P413" i="1"/>
  <c r="AC413" i="1" s="1"/>
  <c r="R414" i="1"/>
  <c r="AE414" i="1" s="1"/>
  <c r="V416" i="1"/>
  <c r="AI416" i="1" s="1"/>
  <c r="V418" i="1"/>
  <c r="AI418" i="1" s="1"/>
  <c r="V420" i="1"/>
  <c r="AI420" i="1" s="1"/>
  <c r="V422" i="1"/>
  <c r="AI422" i="1" s="1"/>
  <c r="V424" i="1"/>
  <c r="AI424" i="1" s="1"/>
  <c r="V426" i="1"/>
  <c r="AI426" i="1" s="1"/>
  <c r="V428" i="1"/>
  <c r="AI428" i="1" s="1"/>
  <c r="V430" i="1"/>
  <c r="AI430" i="1" s="1"/>
  <c r="V432" i="1"/>
  <c r="AI432" i="1" s="1"/>
  <c r="V434" i="1"/>
  <c r="AI434" i="1" s="1"/>
  <c r="V436" i="1"/>
  <c r="AI436" i="1" s="1"/>
  <c r="V438" i="1"/>
  <c r="AI438" i="1" s="1"/>
  <c r="V440" i="1"/>
  <c r="AI440" i="1" s="1"/>
  <c r="V442" i="1"/>
  <c r="AI442" i="1" s="1"/>
  <c r="V444" i="1"/>
  <c r="AI444" i="1" s="1"/>
  <c r="V446" i="1"/>
  <c r="AI446" i="1" s="1"/>
  <c r="V448" i="1"/>
  <c r="AI448" i="1" s="1"/>
  <c r="V450" i="1"/>
  <c r="AI450" i="1" s="1"/>
  <c r="V452" i="1"/>
  <c r="AI452" i="1" s="1"/>
  <c r="V454" i="1"/>
  <c r="AI454" i="1" s="1"/>
  <c r="V456" i="1"/>
  <c r="AI456" i="1" s="1"/>
  <c r="V458" i="1"/>
  <c r="AI458" i="1" s="1"/>
  <c r="V460" i="1"/>
  <c r="AI460" i="1" s="1"/>
  <c r="V462" i="1"/>
  <c r="AI462" i="1" s="1"/>
  <c r="V464" i="1"/>
  <c r="AI464" i="1" s="1"/>
  <c r="V466" i="1"/>
  <c r="AI466" i="1" s="1"/>
  <c r="V468" i="1"/>
  <c r="AI468" i="1" s="1"/>
  <c r="V470" i="1"/>
  <c r="AI470" i="1" s="1"/>
  <c r="V472" i="1"/>
  <c r="AI472" i="1" s="1"/>
  <c r="V474" i="1"/>
  <c r="AI474" i="1" s="1"/>
  <c r="V476" i="1"/>
  <c r="AI476" i="1" s="1"/>
  <c r="V478" i="1"/>
  <c r="AI478" i="1" s="1"/>
  <c r="V480" i="1"/>
  <c r="AI480" i="1" s="1"/>
  <c r="V482" i="1"/>
  <c r="AI482" i="1" s="1"/>
  <c r="V484" i="1"/>
  <c r="AI484" i="1" s="1"/>
  <c r="V486" i="1"/>
  <c r="AI486" i="1" s="1"/>
  <c r="V488" i="1"/>
  <c r="AI488" i="1" s="1"/>
  <c r="V490" i="1"/>
  <c r="AI490" i="1" s="1"/>
  <c r="V492" i="1"/>
  <c r="AI492" i="1" s="1"/>
  <c r="V494" i="1"/>
  <c r="AI494" i="1" s="1"/>
  <c r="V496" i="1"/>
  <c r="AI496" i="1" s="1"/>
  <c r="V498" i="1"/>
  <c r="AI498" i="1" s="1"/>
  <c r="V500" i="1"/>
  <c r="AI500" i="1" s="1"/>
  <c r="V502" i="1"/>
  <c r="AI502" i="1" s="1"/>
  <c r="X213" i="1"/>
  <c r="AK213" i="1" s="1"/>
  <c r="Y322" i="1"/>
  <c r="AL322" i="1" s="1"/>
  <c r="Y340" i="1"/>
  <c r="AL340" i="1" s="1"/>
  <c r="P358" i="1"/>
  <c r="AC358" i="1" s="1"/>
  <c r="W365" i="1"/>
  <c r="AJ365" i="1" s="1"/>
  <c r="S372" i="1"/>
  <c r="AF372" i="1" s="1"/>
  <c r="O376" i="1"/>
  <c r="AB376" i="1" s="1"/>
  <c r="X379" i="1"/>
  <c r="AK379" i="1" s="1"/>
  <c r="P390" i="1"/>
  <c r="AC390" i="1" s="1"/>
  <c r="S398" i="1"/>
  <c r="AF398" i="1" s="1"/>
  <c r="Y399" i="1"/>
  <c r="AL399" i="1" s="1"/>
  <c r="Y402" i="1"/>
  <c r="AL402" i="1" s="1"/>
  <c r="X404" i="1"/>
  <c r="AK404" i="1" s="1"/>
  <c r="Z405" i="1"/>
  <c r="AM405" i="1" s="1"/>
  <c r="W406" i="1"/>
  <c r="AJ406" i="1" s="1"/>
  <c r="Y407" i="1"/>
  <c r="AL407" i="1" s="1"/>
  <c r="V408" i="1"/>
  <c r="AI408" i="1" s="1"/>
  <c r="X409" i="1"/>
  <c r="AK409" i="1" s="1"/>
  <c r="U410" i="1"/>
  <c r="AH410" i="1" s="1"/>
  <c r="W411" i="1"/>
  <c r="AJ411" i="1" s="1"/>
  <c r="T412" i="1"/>
  <c r="AG412" i="1" s="1"/>
  <c r="Q413" i="1"/>
  <c r="AD413" i="1" s="1"/>
  <c r="S414" i="1"/>
  <c r="AF414" i="1" s="1"/>
  <c r="O415" i="1"/>
  <c r="AB415" i="1" s="1"/>
  <c r="W416" i="1"/>
  <c r="AJ416" i="1" s="1"/>
  <c r="O417" i="1"/>
  <c r="AB417" i="1" s="1"/>
  <c r="W418" i="1"/>
  <c r="AJ418" i="1" s="1"/>
  <c r="O419" i="1"/>
  <c r="AB419" i="1" s="1"/>
  <c r="W420" i="1"/>
  <c r="AJ420" i="1" s="1"/>
  <c r="O421" i="1"/>
  <c r="AB421" i="1" s="1"/>
  <c r="W422" i="1"/>
  <c r="AJ422" i="1" s="1"/>
  <c r="O423" i="1"/>
  <c r="AB423" i="1" s="1"/>
  <c r="W424" i="1"/>
  <c r="AJ424" i="1" s="1"/>
  <c r="O425" i="1"/>
  <c r="AB425" i="1" s="1"/>
  <c r="W426" i="1"/>
  <c r="AJ426" i="1" s="1"/>
  <c r="O427" i="1"/>
  <c r="AB427" i="1" s="1"/>
  <c r="W428" i="1"/>
  <c r="AJ428" i="1" s="1"/>
  <c r="O429" i="1"/>
  <c r="AB429" i="1" s="1"/>
  <c r="W430" i="1"/>
  <c r="AJ430" i="1" s="1"/>
  <c r="O431" i="1"/>
  <c r="AB431" i="1" s="1"/>
  <c r="W432" i="1"/>
  <c r="AJ432" i="1" s="1"/>
  <c r="O433" i="1"/>
  <c r="AB433" i="1" s="1"/>
  <c r="W434" i="1"/>
  <c r="AJ434" i="1" s="1"/>
  <c r="O435" i="1"/>
  <c r="AB435" i="1" s="1"/>
  <c r="W436" i="1"/>
  <c r="AJ436" i="1" s="1"/>
  <c r="O437" i="1"/>
  <c r="AB437" i="1" s="1"/>
  <c r="W438" i="1"/>
  <c r="AJ438" i="1" s="1"/>
  <c r="O439" i="1"/>
  <c r="AB439" i="1" s="1"/>
  <c r="W440" i="1"/>
  <c r="AJ440" i="1" s="1"/>
  <c r="O441" i="1"/>
  <c r="AB441" i="1" s="1"/>
  <c r="W442" i="1"/>
  <c r="AJ442" i="1" s="1"/>
  <c r="O443" i="1"/>
  <c r="AB443" i="1" s="1"/>
  <c r="W444" i="1"/>
  <c r="AJ444" i="1" s="1"/>
  <c r="O445" i="1"/>
  <c r="AB445" i="1" s="1"/>
  <c r="W446" i="1"/>
  <c r="AJ446" i="1" s="1"/>
  <c r="O447" i="1"/>
  <c r="AB447" i="1" s="1"/>
  <c r="W448" i="1"/>
  <c r="AJ448" i="1" s="1"/>
  <c r="O449" i="1"/>
  <c r="AB449" i="1" s="1"/>
  <c r="W450" i="1"/>
  <c r="AJ450" i="1" s="1"/>
  <c r="O451" i="1"/>
  <c r="AB451" i="1" s="1"/>
  <c r="W452" i="1"/>
  <c r="AJ452" i="1" s="1"/>
  <c r="O453" i="1"/>
  <c r="AB453" i="1" s="1"/>
  <c r="W454" i="1"/>
  <c r="AJ454" i="1" s="1"/>
  <c r="O455" i="1"/>
  <c r="AB455" i="1" s="1"/>
  <c r="W456" i="1"/>
  <c r="AJ456" i="1" s="1"/>
  <c r="O457" i="1"/>
  <c r="AB457" i="1" s="1"/>
  <c r="W458" i="1"/>
  <c r="AJ458" i="1" s="1"/>
  <c r="O459" i="1"/>
  <c r="AB459" i="1" s="1"/>
  <c r="W460" i="1"/>
  <c r="AJ460" i="1" s="1"/>
  <c r="O461" i="1"/>
  <c r="AB461" i="1" s="1"/>
  <c r="W462" i="1"/>
  <c r="AJ462" i="1" s="1"/>
  <c r="O463" i="1"/>
  <c r="AB463" i="1" s="1"/>
  <c r="W464" i="1"/>
  <c r="AJ464" i="1" s="1"/>
  <c r="O465" i="1"/>
  <c r="AB465" i="1" s="1"/>
  <c r="W466" i="1"/>
  <c r="AJ466" i="1" s="1"/>
  <c r="O467" i="1"/>
  <c r="AB467" i="1" s="1"/>
  <c r="W468" i="1"/>
  <c r="AJ468" i="1" s="1"/>
  <c r="O469" i="1"/>
  <c r="AB469" i="1" s="1"/>
  <c r="W470" i="1"/>
  <c r="AJ470" i="1" s="1"/>
  <c r="O471" i="1"/>
  <c r="AB471" i="1" s="1"/>
  <c r="W472" i="1"/>
  <c r="AJ472" i="1" s="1"/>
  <c r="O473" i="1"/>
  <c r="AB473" i="1" s="1"/>
  <c r="W474" i="1"/>
  <c r="AJ474" i="1" s="1"/>
  <c r="O475" i="1"/>
  <c r="AB475" i="1" s="1"/>
  <c r="W476" i="1"/>
  <c r="AJ476" i="1" s="1"/>
  <c r="O477" i="1"/>
  <c r="AB477" i="1" s="1"/>
  <c r="W478" i="1"/>
  <c r="AJ478" i="1" s="1"/>
  <c r="O479" i="1"/>
  <c r="AB479" i="1" s="1"/>
  <c r="W480" i="1"/>
  <c r="AJ480" i="1" s="1"/>
  <c r="O481" i="1"/>
  <c r="AB481" i="1" s="1"/>
  <c r="Z216" i="1"/>
  <c r="AM216" i="1" s="1"/>
  <c r="X304" i="1"/>
  <c r="AK304" i="1" s="1"/>
  <c r="Q325" i="1"/>
  <c r="AD325" i="1" s="1"/>
  <c r="P347" i="1"/>
  <c r="AC347" i="1" s="1"/>
  <c r="W351" i="1"/>
  <c r="AJ351" i="1" s="1"/>
  <c r="S358" i="1"/>
  <c r="AF358" i="1" s="1"/>
  <c r="O362" i="1"/>
  <c r="AB362" i="1" s="1"/>
  <c r="X365" i="1"/>
  <c r="AK365" i="1" s="1"/>
  <c r="P376" i="1"/>
  <c r="AC376" i="1" s="1"/>
  <c r="W383" i="1"/>
  <c r="AJ383" i="1" s="1"/>
  <c r="R390" i="1"/>
  <c r="AE390" i="1" s="1"/>
  <c r="U398" i="1"/>
  <c r="AH398" i="1" s="1"/>
  <c r="Z399" i="1"/>
  <c r="AM399" i="1" s="1"/>
  <c r="Y404" i="1"/>
  <c r="AL404" i="1" s="1"/>
  <c r="X406" i="1"/>
  <c r="AK406" i="1" s="1"/>
  <c r="Z407" i="1"/>
  <c r="AM407" i="1" s="1"/>
  <c r="W408" i="1"/>
  <c r="AJ408" i="1" s="1"/>
  <c r="Y409" i="1"/>
  <c r="AL409" i="1" s="1"/>
  <c r="V410" i="1"/>
  <c r="AI410" i="1" s="1"/>
  <c r="X411" i="1"/>
  <c r="AK411" i="1" s="1"/>
  <c r="U412" i="1"/>
  <c r="AH412" i="1" s="1"/>
  <c r="W413" i="1"/>
  <c r="AJ413" i="1" s="1"/>
  <c r="T414" i="1"/>
  <c r="AG414" i="1" s="1"/>
  <c r="P415" i="1"/>
  <c r="AC415" i="1" s="1"/>
  <c r="X416" i="1"/>
  <c r="AK416" i="1" s="1"/>
  <c r="P417" i="1"/>
  <c r="AC417" i="1" s="1"/>
  <c r="X418" i="1"/>
  <c r="AK418" i="1" s="1"/>
  <c r="P419" i="1"/>
  <c r="AC419" i="1" s="1"/>
  <c r="X420" i="1"/>
  <c r="AK420" i="1" s="1"/>
  <c r="P421" i="1"/>
  <c r="AC421" i="1" s="1"/>
  <c r="X422" i="1"/>
  <c r="AK422" i="1" s="1"/>
  <c r="P423" i="1"/>
  <c r="AC423" i="1" s="1"/>
  <c r="X424" i="1"/>
  <c r="AK424" i="1" s="1"/>
  <c r="P425" i="1"/>
  <c r="AC425" i="1" s="1"/>
  <c r="X426" i="1"/>
  <c r="AK426" i="1" s="1"/>
  <c r="P427" i="1"/>
  <c r="AC427" i="1" s="1"/>
  <c r="X428" i="1"/>
  <c r="AK428" i="1" s="1"/>
  <c r="P429" i="1"/>
  <c r="AC429" i="1" s="1"/>
  <c r="X430" i="1"/>
  <c r="AK430" i="1" s="1"/>
  <c r="P431" i="1"/>
  <c r="AC431" i="1" s="1"/>
  <c r="X432" i="1"/>
  <c r="AK432" i="1" s="1"/>
  <c r="P433" i="1"/>
  <c r="AC433" i="1" s="1"/>
  <c r="X434" i="1"/>
  <c r="AK434" i="1" s="1"/>
  <c r="P435" i="1"/>
  <c r="AC435" i="1" s="1"/>
  <c r="X436" i="1"/>
  <c r="AK436" i="1" s="1"/>
  <c r="P437" i="1"/>
  <c r="AC437" i="1" s="1"/>
  <c r="X438" i="1"/>
  <c r="AK438" i="1" s="1"/>
  <c r="P439" i="1"/>
  <c r="AC439" i="1" s="1"/>
  <c r="X440" i="1"/>
  <c r="AK440" i="1" s="1"/>
  <c r="P441" i="1"/>
  <c r="AC441" i="1" s="1"/>
  <c r="X442" i="1"/>
  <c r="AK442" i="1" s="1"/>
  <c r="P443" i="1"/>
  <c r="AC443" i="1" s="1"/>
  <c r="X444" i="1"/>
  <c r="AK444" i="1" s="1"/>
  <c r="P445" i="1"/>
  <c r="AC445" i="1" s="1"/>
  <c r="X446" i="1"/>
  <c r="AK446" i="1" s="1"/>
  <c r="P447" i="1"/>
  <c r="AC447" i="1" s="1"/>
  <c r="X448" i="1"/>
  <c r="AK448" i="1" s="1"/>
  <c r="P449" i="1"/>
  <c r="AC449" i="1" s="1"/>
  <c r="X450" i="1"/>
  <c r="AK450" i="1" s="1"/>
  <c r="P451" i="1"/>
  <c r="AC451" i="1" s="1"/>
  <c r="X452" i="1"/>
  <c r="AK452" i="1" s="1"/>
  <c r="P453" i="1"/>
  <c r="AC453" i="1" s="1"/>
  <c r="X454" i="1"/>
  <c r="AK454" i="1" s="1"/>
  <c r="P455" i="1"/>
  <c r="AC455" i="1" s="1"/>
  <c r="X456" i="1"/>
  <c r="AK456" i="1" s="1"/>
  <c r="P457" i="1"/>
  <c r="AC457" i="1" s="1"/>
  <c r="Q341" i="1"/>
  <c r="AD341" i="1" s="1"/>
  <c r="X351" i="1"/>
  <c r="AK351" i="1" s="1"/>
  <c r="P362" i="1"/>
  <c r="AC362" i="1" s="1"/>
  <c r="W369" i="1"/>
  <c r="AJ369" i="1" s="1"/>
  <c r="S376" i="1"/>
  <c r="AF376" i="1" s="1"/>
  <c r="O380" i="1"/>
  <c r="AB380" i="1" s="1"/>
  <c r="X383" i="1"/>
  <c r="AK383" i="1" s="1"/>
  <c r="S390" i="1"/>
  <c r="AF390" i="1" s="1"/>
  <c r="W395" i="1"/>
  <c r="AJ395" i="1" s="1"/>
  <c r="W398" i="1"/>
  <c r="AJ398" i="1" s="1"/>
  <c r="Y406" i="1"/>
  <c r="AL406" i="1" s="1"/>
  <c r="X408" i="1"/>
  <c r="AK408" i="1" s="1"/>
  <c r="Z409" i="1"/>
  <c r="AM409" i="1" s="1"/>
  <c r="W410" i="1"/>
  <c r="AJ410" i="1" s="1"/>
  <c r="Y411" i="1"/>
  <c r="AL411" i="1" s="1"/>
  <c r="V412" i="1"/>
  <c r="AI412" i="1" s="1"/>
  <c r="X413" i="1"/>
  <c r="AK413" i="1" s="1"/>
  <c r="U414" i="1"/>
  <c r="AH414" i="1" s="1"/>
  <c r="Q415" i="1"/>
  <c r="AD415" i="1" s="1"/>
  <c r="Y416" i="1"/>
  <c r="AL416" i="1" s="1"/>
  <c r="Q417" i="1"/>
  <c r="AD417" i="1" s="1"/>
  <c r="Y418" i="1"/>
  <c r="AL418" i="1" s="1"/>
  <c r="Q419" i="1"/>
  <c r="AD419" i="1" s="1"/>
  <c r="Y420" i="1"/>
  <c r="AL420" i="1" s="1"/>
  <c r="Q421" i="1"/>
  <c r="AD421" i="1" s="1"/>
  <c r="Y422" i="1"/>
  <c r="AL422" i="1" s="1"/>
  <c r="Q423" i="1"/>
  <c r="AD423" i="1" s="1"/>
  <c r="Y424" i="1"/>
  <c r="AL424" i="1" s="1"/>
  <c r="Q425" i="1"/>
  <c r="AD425" i="1" s="1"/>
  <c r="Y426" i="1"/>
  <c r="AL426" i="1" s="1"/>
  <c r="Q427" i="1"/>
  <c r="AD427" i="1" s="1"/>
  <c r="Y428" i="1"/>
  <c r="AL428" i="1" s="1"/>
  <c r="Q429" i="1"/>
  <c r="AD429" i="1" s="1"/>
  <c r="Y430" i="1"/>
  <c r="AL430" i="1" s="1"/>
  <c r="Q431" i="1"/>
  <c r="AD431" i="1" s="1"/>
  <c r="Y432" i="1"/>
  <c r="AL432" i="1" s="1"/>
  <c r="Q433" i="1"/>
  <c r="AD433" i="1" s="1"/>
  <c r="Y434" i="1"/>
  <c r="AL434" i="1" s="1"/>
  <c r="Q435" i="1"/>
  <c r="AD435" i="1" s="1"/>
  <c r="Y436" i="1"/>
  <c r="AL436" i="1" s="1"/>
  <c r="Q437" i="1"/>
  <c r="AD437" i="1" s="1"/>
  <c r="Y438" i="1"/>
  <c r="AL438" i="1" s="1"/>
  <c r="Q439" i="1"/>
  <c r="AD439" i="1" s="1"/>
  <c r="Y440" i="1"/>
  <c r="AL440" i="1" s="1"/>
  <c r="Q441" i="1"/>
  <c r="AD441" i="1" s="1"/>
  <c r="Y442" i="1"/>
  <c r="AL442" i="1" s="1"/>
  <c r="Q443" i="1"/>
  <c r="AD443" i="1" s="1"/>
  <c r="Y444" i="1"/>
  <c r="AL444" i="1" s="1"/>
  <c r="Q445" i="1"/>
  <c r="AD445" i="1" s="1"/>
  <c r="Y446" i="1"/>
  <c r="AL446" i="1" s="1"/>
  <c r="Q447" i="1"/>
  <c r="AD447" i="1" s="1"/>
  <c r="Y448" i="1"/>
  <c r="AL448" i="1" s="1"/>
  <c r="Q449" i="1"/>
  <c r="AD449" i="1" s="1"/>
  <c r="Y450" i="1"/>
  <c r="AL450" i="1" s="1"/>
  <c r="Q451" i="1"/>
  <c r="AD451" i="1" s="1"/>
  <c r="Y452" i="1"/>
  <c r="AL452" i="1" s="1"/>
  <c r="Q453" i="1"/>
  <c r="AD453" i="1" s="1"/>
  <c r="Y454" i="1"/>
  <c r="AL454" i="1" s="1"/>
  <c r="Q455" i="1"/>
  <c r="AD455" i="1" s="1"/>
  <c r="Y456" i="1"/>
  <c r="AL456" i="1" s="1"/>
  <c r="Q457" i="1"/>
  <c r="AD457" i="1" s="1"/>
  <c r="Y458" i="1"/>
  <c r="AL458" i="1" s="1"/>
  <c r="Q459" i="1"/>
  <c r="AD459" i="1" s="1"/>
  <c r="Y460" i="1"/>
  <c r="AL460" i="1" s="1"/>
  <c r="Q461" i="1"/>
  <c r="AD461" i="1" s="1"/>
  <c r="Y462" i="1"/>
  <c r="AL462" i="1" s="1"/>
  <c r="Q463" i="1"/>
  <c r="AD463" i="1" s="1"/>
  <c r="Y464" i="1"/>
  <c r="AL464" i="1" s="1"/>
  <c r="Q465" i="1"/>
  <c r="AD465" i="1" s="1"/>
  <c r="Y466" i="1"/>
  <c r="AL466" i="1" s="1"/>
  <c r="Q467" i="1"/>
  <c r="AD467" i="1" s="1"/>
  <c r="Y468" i="1"/>
  <c r="AL468" i="1" s="1"/>
  <c r="Q469" i="1"/>
  <c r="AD469" i="1" s="1"/>
  <c r="Y470" i="1"/>
  <c r="AL470" i="1" s="1"/>
  <c r="Q471" i="1"/>
  <c r="AD471" i="1" s="1"/>
  <c r="Y472" i="1"/>
  <c r="AL472" i="1" s="1"/>
  <c r="Q473" i="1"/>
  <c r="AD473" i="1" s="1"/>
  <c r="Y474" i="1"/>
  <c r="AL474" i="1" s="1"/>
  <c r="Q475" i="1"/>
  <c r="AD475" i="1" s="1"/>
  <c r="Y476" i="1"/>
  <c r="AL476" i="1" s="1"/>
  <c r="Q477" i="1"/>
  <c r="AD477" i="1" s="1"/>
  <c r="Y478" i="1"/>
  <c r="AL478" i="1" s="1"/>
  <c r="Q479" i="1"/>
  <c r="AD479" i="1" s="1"/>
  <c r="Y480" i="1"/>
  <c r="AL480" i="1" s="1"/>
  <c r="Q481" i="1"/>
  <c r="AD481" i="1" s="1"/>
  <c r="Y257" i="1"/>
  <c r="AL257" i="1" s="1"/>
  <c r="V326" i="1"/>
  <c r="AI326" i="1" s="1"/>
  <c r="O343" i="1"/>
  <c r="AB343" i="1" s="1"/>
  <c r="W355" i="1"/>
  <c r="AJ355" i="1" s="1"/>
  <c r="S362" i="1"/>
  <c r="AF362" i="1" s="1"/>
  <c r="O366" i="1"/>
  <c r="AB366" i="1" s="1"/>
  <c r="X369" i="1"/>
  <c r="AK369" i="1" s="1"/>
  <c r="P380" i="1"/>
  <c r="AC380" i="1" s="1"/>
  <c r="W387" i="1"/>
  <c r="AJ387" i="1" s="1"/>
  <c r="W393" i="1"/>
  <c r="AJ393" i="1" s="1"/>
  <c r="X395" i="1"/>
  <c r="AK395" i="1" s="1"/>
  <c r="O397" i="1"/>
  <c r="AB397" i="1" s="1"/>
  <c r="X398" i="1"/>
  <c r="AK398" i="1" s="1"/>
  <c r="Y408" i="1"/>
  <c r="AL408" i="1" s="1"/>
  <c r="X410" i="1"/>
  <c r="AK410" i="1" s="1"/>
  <c r="Z411" i="1"/>
  <c r="AM411" i="1" s="1"/>
  <c r="W412" i="1"/>
  <c r="AJ412" i="1" s="1"/>
  <c r="Y413" i="1"/>
  <c r="AL413" i="1" s="1"/>
  <c r="V414" i="1"/>
  <c r="AI414" i="1" s="1"/>
  <c r="R415" i="1"/>
  <c r="AE415" i="1" s="1"/>
  <c r="Z416" i="1"/>
  <c r="AM416" i="1" s="1"/>
  <c r="R417" i="1"/>
  <c r="AE417" i="1" s="1"/>
  <c r="Z418" i="1"/>
  <c r="AM418" i="1" s="1"/>
  <c r="R419" i="1"/>
  <c r="AE419" i="1" s="1"/>
  <c r="Z420" i="1"/>
  <c r="AM420" i="1" s="1"/>
  <c r="R421" i="1"/>
  <c r="AE421" i="1" s="1"/>
  <c r="Z422" i="1"/>
  <c r="AM422" i="1" s="1"/>
  <c r="R423" i="1"/>
  <c r="AE423" i="1" s="1"/>
  <c r="Z424" i="1"/>
  <c r="AM424" i="1" s="1"/>
  <c r="R425" i="1"/>
  <c r="AE425" i="1" s="1"/>
  <c r="Z426" i="1"/>
  <c r="AM426" i="1" s="1"/>
  <c r="R427" i="1"/>
  <c r="AE427" i="1" s="1"/>
  <c r="Z428" i="1"/>
  <c r="AM428" i="1" s="1"/>
  <c r="R429" i="1"/>
  <c r="AE429" i="1" s="1"/>
  <c r="Z430" i="1"/>
  <c r="AM430" i="1" s="1"/>
  <c r="R431" i="1"/>
  <c r="AE431" i="1" s="1"/>
  <c r="Z432" i="1"/>
  <c r="AM432" i="1" s="1"/>
  <c r="R433" i="1"/>
  <c r="AE433" i="1" s="1"/>
  <c r="Z434" i="1"/>
  <c r="AM434" i="1" s="1"/>
  <c r="R435" i="1"/>
  <c r="AE435" i="1" s="1"/>
  <c r="Z436" i="1"/>
  <c r="AM436" i="1" s="1"/>
  <c r="R437" i="1"/>
  <c r="AE437" i="1" s="1"/>
  <c r="Z438" i="1"/>
  <c r="AM438" i="1" s="1"/>
  <c r="R439" i="1"/>
  <c r="AE439" i="1" s="1"/>
  <c r="Z440" i="1"/>
  <c r="AM440" i="1" s="1"/>
  <c r="R441" i="1"/>
  <c r="AE441" i="1" s="1"/>
  <c r="Z442" i="1"/>
  <c r="AM442" i="1" s="1"/>
  <c r="R443" i="1"/>
  <c r="AE443" i="1" s="1"/>
  <c r="Z444" i="1"/>
  <c r="AM444" i="1" s="1"/>
  <c r="R445" i="1"/>
  <c r="AE445" i="1" s="1"/>
  <c r="Z446" i="1"/>
  <c r="AM446" i="1" s="1"/>
  <c r="R447" i="1"/>
  <c r="AE447" i="1" s="1"/>
  <c r="Z448" i="1"/>
  <c r="AM448" i="1" s="1"/>
  <c r="R449" i="1"/>
  <c r="AE449" i="1" s="1"/>
  <c r="Z450" i="1"/>
  <c r="AM450" i="1" s="1"/>
  <c r="R451" i="1"/>
  <c r="AE451" i="1" s="1"/>
  <c r="Z452" i="1"/>
  <c r="AM452" i="1" s="1"/>
  <c r="R453" i="1"/>
  <c r="AE453" i="1" s="1"/>
  <c r="Z454" i="1"/>
  <c r="AM454" i="1" s="1"/>
  <c r="R455" i="1"/>
  <c r="AE455" i="1" s="1"/>
  <c r="Z456" i="1"/>
  <c r="AM456" i="1" s="1"/>
  <c r="R457" i="1"/>
  <c r="AE457" i="1" s="1"/>
  <c r="Z458" i="1"/>
  <c r="AM458" i="1" s="1"/>
  <c r="R459" i="1"/>
  <c r="AE459" i="1" s="1"/>
  <c r="Z460" i="1"/>
  <c r="AM460" i="1" s="1"/>
  <c r="R461" i="1"/>
  <c r="AE461" i="1" s="1"/>
  <c r="Z462" i="1"/>
  <c r="AM462" i="1" s="1"/>
  <c r="R463" i="1"/>
  <c r="AE463" i="1" s="1"/>
  <c r="Z464" i="1"/>
  <c r="AM464" i="1" s="1"/>
  <c r="R465" i="1"/>
  <c r="AE465" i="1" s="1"/>
  <c r="Z466" i="1"/>
  <c r="AM466" i="1" s="1"/>
  <c r="R467" i="1"/>
  <c r="AE467" i="1" s="1"/>
  <c r="Z468" i="1"/>
  <c r="AM468" i="1" s="1"/>
  <c r="R469" i="1"/>
  <c r="AE469" i="1" s="1"/>
  <c r="Z470" i="1"/>
  <c r="AM470" i="1" s="1"/>
  <c r="R471" i="1"/>
  <c r="AE471" i="1" s="1"/>
  <c r="Z472" i="1"/>
  <c r="AM472" i="1" s="1"/>
  <c r="R473" i="1"/>
  <c r="AE473" i="1" s="1"/>
  <c r="Z474" i="1"/>
  <c r="AM474" i="1" s="1"/>
  <c r="R475" i="1"/>
  <c r="AE475" i="1" s="1"/>
  <c r="Z476" i="1"/>
  <c r="AM476" i="1" s="1"/>
  <c r="R477" i="1"/>
  <c r="AE477" i="1" s="1"/>
  <c r="Z478" i="1"/>
  <c r="AM478" i="1" s="1"/>
  <c r="R479" i="1"/>
  <c r="AE479" i="1" s="1"/>
  <c r="Z480" i="1"/>
  <c r="AM480" i="1" s="1"/>
  <c r="R481" i="1"/>
  <c r="AE481" i="1" s="1"/>
  <c r="Z482" i="1"/>
  <c r="AM482" i="1" s="1"/>
  <c r="R483" i="1"/>
  <c r="AE483" i="1" s="1"/>
  <c r="Z484" i="1"/>
  <c r="AM484" i="1" s="1"/>
  <c r="R485" i="1"/>
  <c r="AE485" i="1" s="1"/>
  <c r="Z486" i="1"/>
  <c r="AM486" i="1" s="1"/>
  <c r="R487" i="1"/>
  <c r="AE487" i="1" s="1"/>
  <c r="Z488" i="1"/>
  <c r="AM488" i="1" s="1"/>
  <c r="X308" i="1"/>
  <c r="AK308" i="1" s="1"/>
  <c r="P343" i="1"/>
  <c r="AC343" i="1" s="1"/>
  <c r="O352" i="1"/>
  <c r="AB352" i="1" s="1"/>
  <c r="X355" i="1"/>
  <c r="AK355" i="1" s="1"/>
  <c r="P366" i="1"/>
  <c r="AC366" i="1" s="1"/>
  <c r="W373" i="1"/>
  <c r="AJ373" i="1" s="1"/>
  <c r="S380" i="1"/>
  <c r="AF380" i="1" s="1"/>
  <c r="O384" i="1"/>
  <c r="AB384" i="1" s="1"/>
  <c r="X387" i="1"/>
  <c r="AK387" i="1" s="1"/>
  <c r="X393" i="1"/>
  <c r="AK393" i="1" s="1"/>
  <c r="Y395" i="1"/>
  <c r="AL395" i="1" s="1"/>
  <c r="W397" i="1"/>
  <c r="AJ397" i="1" s="1"/>
  <c r="Y398" i="1"/>
  <c r="AL398" i="1" s="1"/>
  <c r="Y410" i="1"/>
  <c r="AL410" i="1" s="1"/>
  <c r="X412" i="1"/>
  <c r="AK412" i="1" s="1"/>
  <c r="Z413" i="1"/>
  <c r="AM413" i="1" s="1"/>
  <c r="W414" i="1"/>
  <c r="AJ414" i="1" s="1"/>
  <c r="S415" i="1"/>
  <c r="AF415" i="1" s="1"/>
  <c r="S417" i="1"/>
  <c r="AF417" i="1" s="1"/>
  <c r="S419" i="1"/>
  <c r="AF419" i="1" s="1"/>
  <c r="S421" i="1"/>
  <c r="AF421" i="1" s="1"/>
  <c r="S423" i="1"/>
  <c r="AF423" i="1" s="1"/>
  <c r="S425" i="1"/>
  <c r="AF425" i="1" s="1"/>
  <c r="S427" i="1"/>
  <c r="AF427" i="1" s="1"/>
  <c r="S429" i="1"/>
  <c r="AF429" i="1" s="1"/>
  <c r="S431" i="1"/>
  <c r="AF431" i="1" s="1"/>
  <c r="S433" i="1"/>
  <c r="AF433" i="1" s="1"/>
  <c r="S435" i="1"/>
  <c r="AF435" i="1" s="1"/>
  <c r="S437" i="1"/>
  <c r="AF437" i="1" s="1"/>
  <c r="S439" i="1"/>
  <c r="AF439" i="1" s="1"/>
  <c r="S441" i="1"/>
  <c r="AF441" i="1" s="1"/>
  <c r="S443" i="1"/>
  <c r="AF443" i="1" s="1"/>
  <c r="S445" i="1"/>
  <c r="AF445" i="1" s="1"/>
  <c r="S447" i="1"/>
  <c r="AF447" i="1" s="1"/>
  <c r="S449" i="1"/>
  <c r="AF449" i="1" s="1"/>
  <c r="S451" i="1"/>
  <c r="AF451" i="1" s="1"/>
  <c r="S453" i="1"/>
  <c r="AF453" i="1" s="1"/>
  <c r="S455" i="1"/>
  <c r="AF455" i="1" s="1"/>
  <c r="S457" i="1"/>
  <c r="AF457" i="1" s="1"/>
  <c r="S459" i="1"/>
  <c r="AF459" i="1" s="1"/>
  <c r="S461" i="1"/>
  <c r="AF461" i="1" s="1"/>
  <c r="S463" i="1"/>
  <c r="AF463" i="1" s="1"/>
  <c r="S465" i="1"/>
  <c r="AF465" i="1" s="1"/>
  <c r="S467" i="1"/>
  <c r="AF467" i="1" s="1"/>
  <c r="S469" i="1"/>
  <c r="AF469" i="1" s="1"/>
  <c r="S471" i="1"/>
  <c r="AF471" i="1" s="1"/>
  <c r="S473" i="1"/>
  <c r="AF473" i="1" s="1"/>
  <c r="S475" i="1"/>
  <c r="AF475" i="1" s="1"/>
  <c r="S477" i="1"/>
  <c r="AF477" i="1" s="1"/>
  <c r="S479" i="1"/>
  <c r="AF479" i="1" s="1"/>
  <c r="S481" i="1"/>
  <c r="AF481" i="1" s="1"/>
  <c r="S483" i="1"/>
  <c r="AF483" i="1" s="1"/>
  <c r="S485" i="1"/>
  <c r="AF485" i="1" s="1"/>
  <c r="S487" i="1"/>
  <c r="AF487" i="1" s="1"/>
  <c r="S489" i="1"/>
  <c r="AF489" i="1" s="1"/>
  <c r="P311" i="1"/>
  <c r="AC311" i="1" s="1"/>
  <c r="P329" i="1"/>
  <c r="AC329" i="1" s="1"/>
  <c r="U343" i="1"/>
  <c r="AH343" i="1" s="1"/>
  <c r="P352" i="1"/>
  <c r="AC352" i="1" s="1"/>
  <c r="W359" i="1"/>
  <c r="AJ359" i="1" s="1"/>
  <c r="S366" i="1"/>
  <c r="AF366" i="1" s="1"/>
  <c r="O370" i="1"/>
  <c r="AB370" i="1" s="1"/>
  <c r="X373" i="1"/>
  <c r="AK373" i="1" s="1"/>
  <c r="P384" i="1"/>
  <c r="AC384" i="1" s="1"/>
  <c r="Y393" i="1"/>
  <c r="AL393" i="1" s="1"/>
  <c r="Z395" i="1"/>
  <c r="AM395" i="1" s="1"/>
  <c r="X397" i="1"/>
  <c r="AK397" i="1" s="1"/>
  <c r="Y412" i="1"/>
  <c r="AL412" i="1" s="1"/>
  <c r="X414" i="1"/>
  <c r="AK414" i="1" s="1"/>
  <c r="T415" i="1"/>
  <c r="AG415" i="1" s="1"/>
  <c r="T417" i="1"/>
  <c r="AG417" i="1" s="1"/>
  <c r="T419" i="1"/>
  <c r="AG419" i="1" s="1"/>
  <c r="T421" i="1"/>
  <c r="AG421" i="1" s="1"/>
  <c r="T423" i="1"/>
  <c r="AG423" i="1" s="1"/>
  <c r="T425" i="1"/>
  <c r="AG425" i="1" s="1"/>
  <c r="T427" i="1"/>
  <c r="AG427" i="1" s="1"/>
  <c r="T429" i="1"/>
  <c r="AG429" i="1" s="1"/>
  <c r="T431" i="1"/>
  <c r="AG431" i="1" s="1"/>
  <c r="T433" i="1"/>
  <c r="AG433" i="1" s="1"/>
  <c r="T435" i="1"/>
  <c r="AG435" i="1" s="1"/>
  <c r="T437" i="1"/>
  <c r="AG437" i="1" s="1"/>
  <c r="T439" i="1"/>
  <c r="AG439" i="1" s="1"/>
  <c r="T441" i="1"/>
  <c r="AG441" i="1" s="1"/>
  <c r="T443" i="1"/>
  <c r="AG443" i="1" s="1"/>
  <c r="T445" i="1"/>
  <c r="AG445" i="1" s="1"/>
  <c r="T447" i="1"/>
  <c r="AG447" i="1" s="1"/>
  <c r="T449" i="1"/>
  <c r="AG449" i="1" s="1"/>
  <c r="T451" i="1"/>
  <c r="AG451" i="1" s="1"/>
  <c r="T453" i="1"/>
  <c r="AG453" i="1" s="1"/>
  <c r="T455" i="1"/>
  <c r="AG455" i="1" s="1"/>
  <c r="W377" i="1"/>
  <c r="AJ377" i="1" s="1"/>
  <c r="Y414" i="1"/>
  <c r="AL414" i="1" s="1"/>
  <c r="U425" i="1"/>
  <c r="AH425" i="1" s="1"/>
  <c r="U441" i="1"/>
  <c r="AH441" i="1" s="1"/>
  <c r="U461" i="1"/>
  <c r="AH461" i="1" s="1"/>
  <c r="P463" i="1"/>
  <c r="AC463" i="1" s="1"/>
  <c r="U464" i="1"/>
  <c r="AH464" i="1" s="1"/>
  <c r="Y465" i="1"/>
  <c r="AL465" i="1" s="1"/>
  <c r="Q476" i="1"/>
  <c r="AD476" i="1" s="1"/>
  <c r="T477" i="1"/>
  <c r="AG477" i="1" s="1"/>
  <c r="S478" i="1"/>
  <c r="AF478" i="1" s="1"/>
  <c r="V479" i="1"/>
  <c r="AI479" i="1" s="1"/>
  <c r="U480" i="1"/>
  <c r="AH480" i="1" s="1"/>
  <c r="Y481" i="1"/>
  <c r="AL481" i="1" s="1"/>
  <c r="W482" i="1"/>
  <c r="AJ482" i="1" s="1"/>
  <c r="U483" i="1"/>
  <c r="AH483" i="1" s="1"/>
  <c r="R484" i="1"/>
  <c r="AE484" i="1" s="1"/>
  <c r="O485" i="1"/>
  <c r="AB485" i="1" s="1"/>
  <c r="Y489" i="1"/>
  <c r="AL489" i="1" s="1"/>
  <c r="S490" i="1"/>
  <c r="AF490" i="1" s="1"/>
  <c r="Z492" i="1"/>
  <c r="AM492" i="1" s="1"/>
  <c r="T493" i="1"/>
  <c r="AG493" i="1" s="1"/>
  <c r="U496" i="1"/>
  <c r="AH496" i="1" s="1"/>
  <c r="P497" i="1"/>
  <c r="AC497" i="1" s="1"/>
  <c r="V499" i="1"/>
  <c r="AI499" i="1" s="1"/>
  <c r="Q500" i="1"/>
  <c r="AD500" i="1" s="1"/>
  <c r="X502" i="1"/>
  <c r="AK502" i="1" s="1"/>
  <c r="R503" i="1"/>
  <c r="AE503" i="1" s="1"/>
  <c r="T505" i="1"/>
  <c r="AG505" i="1" s="1"/>
  <c r="T507" i="1"/>
  <c r="AG507" i="1" s="1"/>
  <c r="T509" i="1"/>
  <c r="AG509" i="1" s="1"/>
  <c r="T511" i="1"/>
  <c r="AG511" i="1" s="1"/>
  <c r="T513" i="1"/>
  <c r="AG513" i="1" s="1"/>
  <c r="T515" i="1"/>
  <c r="AG515" i="1" s="1"/>
  <c r="T517" i="1"/>
  <c r="AG517" i="1" s="1"/>
  <c r="T519" i="1"/>
  <c r="AG519" i="1" s="1"/>
  <c r="T521" i="1"/>
  <c r="AG521" i="1" s="1"/>
  <c r="T523" i="1"/>
  <c r="AG523" i="1" s="1"/>
  <c r="T525" i="1"/>
  <c r="AG525" i="1" s="1"/>
  <c r="T527" i="1"/>
  <c r="AG527" i="1" s="1"/>
  <c r="T529" i="1"/>
  <c r="AG529" i="1" s="1"/>
  <c r="T531" i="1"/>
  <c r="AG531" i="1" s="1"/>
  <c r="T533" i="1"/>
  <c r="AG533" i="1" s="1"/>
  <c r="T535" i="1"/>
  <c r="AG535" i="1" s="1"/>
  <c r="T537" i="1"/>
  <c r="AG537" i="1" s="1"/>
  <c r="T539" i="1"/>
  <c r="AG539" i="1" s="1"/>
  <c r="T541" i="1"/>
  <c r="AG541" i="1" s="1"/>
  <c r="T543" i="1"/>
  <c r="AG543" i="1" s="1"/>
  <c r="T545" i="1"/>
  <c r="AG545" i="1" s="1"/>
  <c r="T547" i="1"/>
  <c r="AG547" i="1" s="1"/>
  <c r="T549" i="1"/>
  <c r="AG549" i="1" s="1"/>
  <c r="T551" i="1"/>
  <c r="AG551" i="1" s="1"/>
  <c r="T553" i="1"/>
  <c r="AG553" i="1" s="1"/>
  <c r="T555" i="1"/>
  <c r="AG555" i="1" s="1"/>
  <c r="T557" i="1"/>
  <c r="AG557" i="1" s="1"/>
  <c r="T559" i="1"/>
  <c r="AG559" i="1" s="1"/>
  <c r="T561" i="1"/>
  <c r="AG561" i="1" s="1"/>
  <c r="T563" i="1"/>
  <c r="AG563" i="1" s="1"/>
  <c r="T565" i="1"/>
  <c r="AG565" i="1" s="1"/>
  <c r="T567" i="1"/>
  <c r="AG567" i="1" s="1"/>
  <c r="T569" i="1"/>
  <c r="AG569" i="1" s="1"/>
  <c r="T571" i="1"/>
  <c r="AG571" i="1" s="1"/>
  <c r="T573" i="1"/>
  <c r="AG573" i="1" s="1"/>
  <c r="T575" i="1"/>
  <c r="AG575" i="1" s="1"/>
  <c r="T577" i="1"/>
  <c r="AG577" i="1" s="1"/>
  <c r="T579" i="1"/>
  <c r="AG579" i="1" s="1"/>
  <c r="T581" i="1"/>
  <c r="AG581" i="1" s="1"/>
  <c r="T583" i="1"/>
  <c r="AG583" i="1" s="1"/>
  <c r="T585" i="1"/>
  <c r="AG585" i="1" s="1"/>
  <c r="T587" i="1"/>
  <c r="AG587" i="1" s="1"/>
  <c r="T589" i="1"/>
  <c r="AG589" i="1" s="1"/>
  <c r="X377" i="1"/>
  <c r="AK377" i="1" s="1"/>
  <c r="V425" i="1"/>
  <c r="AI425" i="1" s="1"/>
  <c r="V441" i="1"/>
  <c r="AI441" i="1" s="1"/>
  <c r="T457" i="1"/>
  <c r="AG457" i="1" s="1"/>
  <c r="V461" i="1"/>
  <c r="AI461" i="1" s="1"/>
  <c r="T463" i="1"/>
  <c r="AG463" i="1" s="1"/>
  <c r="X464" i="1"/>
  <c r="AK464" i="1" s="1"/>
  <c r="Z465" i="1"/>
  <c r="AM465" i="1" s="1"/>
  <c r="P474" i="1"/>
  <c r="AC474" i="1" s="1"/>
  <c r="P475" i="1"/>
  <c r="AC475" i="1" s="1"/>
  <c r="R476" i="1"/>
  <c r="AE476" i="1" s="1"/>
  <c r="U477" i="1"/>
  <c r="AH477" i="1" s="1"/>
  <c r="T478" i="1"/>
  <c r="AG478" i="1" s="1"/>
  <c r="X479" i="1"/>
  <c r="AK479" i="1" s="1"/>
  <c r="X480" i="1"/>
  <c r="AK480" i="1" s="1"/>
  <c r="Z481" i="1"/>
  <c r="AM481" i="1" s="1"/>
  <c r="X482" i="1"/>
  <c r="AK482" i="1" s="1"/>
  <c r="V483" i="1"/>
  <c r="AI483" i="1" s="1"/>
  <c r="S484" i="1"/>
  <c r="AF484" i="1" s="1"/>
  <c r="P485" i="1"/>
  <c r="AC485" i="1" s="1"/>
  <c r="Z489" i="1"/>
  <c r="AM489" i="1" s="1"/>
  <c r="T490" i="1"/>
  <c r="AG490" i="1" s="1"/>
  <c r="O491" i="1"/>
  <c r="AB491" i="1" s="1"/>
  <c r="U493" i="1"/>
  <c r="AH493" i="1" s="1"/>
  <c r="P494" i="1"/>
  <c r="AC494" i="1" s="1"/>
  <c r="W496" i="1"/>
  <c r="AJ496" i="1" s="1"/>
  <c r="Q497" i="1"/>
  <c r="AD497" i="1" s="1"/>
  <c r="X499" i="1"/>
  <c r="AK499" i="1" s="1"/>
  <c r="R500" i="1"/>
  <c r="AE500" i="1" s="1"/>
  <c r="Y502" i="1"/>
  <c r="AL502" i="1" s="1"/>
  <c r="S503" i="1"/>
  <c r="AF503" i="1" s="1"/>
  <c r="U505" i="1"/>
  <c r="AH505" i="1" s="1"/>
  <c r="U507" i="1"/>
  <c r="AH507" i="1" s="1"/>
  <c r="U509" i="1"/>
  <c r="AH509" i="1" s="1"/>
  <c r="U511" i="1"/>
  <c r="AH511" i="1" s="1"/>
  <c r="U513" i="1"/>
  <c r="AH513" i="1" s="1"/>
  <c r="U515" i="1"/>
  <c r="AH515" i="1" s="1"/>
  <c r="U517" i="1"/>
  <c r="AH517" i="1" s="1"/>
  <c r="U519" i="1"/>
  <c r="AH519" i="1" s="1"/>
  <c r="U521" i="1"/>
  <c r="AH521" i="1" s="1"/>
  <c r="U523" i="1"/>
  <c r="AH523" i="1" s="1"/>
  <c r="U525" i="1"/>
  <c r="AH525" i="1" s="1"/>
  <c r="U527" i="1"/>
  <c r="AH527" i="1" s="1"/>
  <c r="U529" i="1"/>
  <c r="AH529" i="1" s="1"/>
  <c r="U531" i="1"/>
  <c r="AH531" i="1" s="1"/>
  <c r="U533" i="1"/>
  <c r="AH533" i="1" s="1"/>
  <c r="U535" i="1"/>
  <c r="AH535" i="1" s="1"/>
  <c r="S352" i="1"/>
  <c r="AF352" i="1" s="1"/>
  <c r="U415" i="1"/>
  <c r="AH415" i="1" s="1"/>
  <c r="U431" i="1"/>
  <c r="AH431" i="1" s="1"/>
  <c r="U447" i="1"/>
  <c r="AH447" i="1" s="1"/>
  <c r="U457" i="1"/>
  <c r="AH457" i="1" s="1"/>
  <c r="U463" i="1"/>
  <c r="AH463" i="1" s="1"/>
  <c r="Q474" i="1"/>
  <c r="AD474" i="1" s="1"/>
  <c r="T475" i="1"/>
  <c r="AG475" i="1" s="1"/>
  <c r="S476" i="1"/>
  <c r="AF476" i="1" s="1"/>
  <c r="V477" i="1"/>
  <c r="AI477" i="1" s="1"/>
  <c r="U478" i="1"/>
  <c r="AH478" i="1" s="1"/>
  <c r="Y479" i="1"/>
  <c r="AL479" i="1" s="1"/>
  <c r="Y482" i="1"/>
  <c r="AL482" i="1" s="1"/>
  <c r="X483" i="1"/>
  <c r="AK483" i="1" s="1"/>
  <c r="T484" i="1"/>
  <c r="AG484" i="1" s="1"/>
  <c r="Q485" i="1"/>
  <c r="AD485" i="1" s="1"/>
  <c r="P486" i="1"/>
  <c r="AC486" i="1" s="1"/>
  <c r="U490" i="1"/>
  <c r="AH490" i="1" s="1"/>
  <c r="P491" i="1"/>
  <c r="AC491" i="1" s="1"/>
  <c r="V493" i="1"/>
  <c r="AI493" i="1" s="1"/>
  <c r="Q494" i="1"/>
  <c r="AD494" i="1" s="1"/>
  <c r="X496" i="1"/>
  <c r="AK496" i="1" s="1"/>
  <c r="R497" i="1"/>
  <c r="AE497" i="1" s="1"/>
  <c r="Y499" i="1"/>
  <c r="AL499" i="1" s="1"/>
  <c r="S500" i="1"/>
  <c r="AF500" i="1" s="1"/>
  <c r="Z502" i="1"/>
  <c r="AM502" i="1" s="1"/>
  <c r="T503" i="1"/>
  <c r="AG503" i="1" s="1"/>
  <c r="V505" i="1"/>
  <c r="AI505" i="1" s="1"/>
  <c r="V507" i="1"/>
  <c r="AI507" i="1" s="1"/>
  <c r="V509" i="1"/>
  <c r="AI509" i="1" s="1"/>
  <c r="V511" i="1"/>
  <c r="AI511" i="1" s="1"/>
  <c r="V513" i="1"/>
  <c r="AI513" i="1" s="1"/>
  <c r="V515" i="1"/>
  <c r="AI515" i="1" s="1"/>
  <c r="V517" i="1"/>
  <c r="AI517" i="1" s="1"/>
  <c r="V519" i="1"/>
  <c r="AI519" i="1" s="1"/>
  <c r="V521" i="1"/>
  <c r="AI521" i="1" s="1"/>
  <c r="V523" i="1"/>
  <c r="AI523" i="1" s="1"/>
  <c r="V525" i="1"/>
  <c r="AI525" i="1" s="1"/>
  <c r="V527" i="1"/>
  <c r="AI527" i="1" s="1"/>
  <c r="V529" i="1"/>
  <c r="AI529" i="1" s="1"/>
  <c r="V531" i="1"/>
  <c r="AI531" i="1" s="1"/>
  <c r="V533" i="1"/>
  <c r="AI533" i="1" s="1"/>
  <c r="V535" i="1"/>
  <c r="AI535" i="1" s="1"/>
  <c r="O400" i="1"/>
  <c r="AB400" i="1" s="1"/>
  <c r="V415" i="1"/>
  <c r="AI415" i="1" s="1"/>
  <c r="V431" i="1"/>
  <c r="AI431" i="1" s="1"/>
  <c r="V447" i="1"/>
  <c r="AI447" i="1" s="1"/>
  <c r="V457" i="1"/>
  <c r="AI457" i="1" s="1"/>
  <c r="V463" i="1"/>
  <c r="AI463" i="1" s="1"/>
  <c r="P472" i="1"/>
  <c r="AC472" i="1" s="1"/>
  <c r="P473" i="1"/>
  <c r="AC473" i="1" s="1"/>
  <c r="R474" i="1"/>
  <c r="AE474" i="1" s="1"/>
  <c r="U475" i="1"/>
  <c r="AH475" i="1" s="1"/>
  <c r="T476" i="1"/>
  <c r="AG476" i="1" s="1"/>
  <c r="X477" i="1"/>
  <c r="AK477" i="1" s="1"/>
  <c r="X478" i="1"/>
  <c r="AK478" i="1" s="1"/>
  <c r="Z479" i="1"/>
  <c r="AM479" i="1" s="1"/>
  <c r="Y483" i="1"/>
  <c r="AL483" i="1" s="1"/>
  <c r="U484" i="1"/>
  <c r="AH484" i="1" s="1"/>
  <c r="T485" i="1"/>
  <c r="AG485" i="1" s="1"/>
  <c r="Q486" i="1"/>
  <c r="AD486" i="1" s="1"/>
  <c r="W490" i="1"/>
  <c r="AJ490" i="1" s="1"/>
  <c r="Q491" i="1"/>
  <c r="AD491" i="1" s="1"/>
  <c r="X493" i="1"/>
  <c r="AK493" i="1" s="1"/>
  <c r="R494" i="1"/>
  <c r="AE494" i="1" s="1"/>
  <c r="Y496" i="1"/>
  <c r="AL496" i="1" s="1"/>
  <c r="S497" i="1"/>
  <c r="AF497" i="1" s="1"/>
  <c r="Z499" i="1"/>
  <c r="AM499" i="1" s="1"/>
  <c r="T500" i="1"/>
  <c r="AG500" i="1" s="1"/>
  <c r="O501" i="1"/>
  <c r="AB501" i="1" s="1"/>
  <c r="U503" i="1"/>
  <c r="AH503" i="1" s="1"/>
  <c r="O504" i="1"/>
  <c r="AB504" i="1" s="1"/>
  <c r="W505" i="1"/>
  <c r="AJ505" i="1" s="1"/>
  <c r="O506" i="1"/>
  <c r="AB506" i="1" s="1"/>
  <c r="W507" i="1"/>
  <c r="AJ507" i="1" s="1"/>
  <c r="O508" i="1"/>
  <c r="AB508" i="1" s="1"/>
  <c r="W509" i="1"/>
  <c r="AJ509" i="1" s="1"/>
  <c r="O510" i="1"/>
  <c r="AB510" i="1" s="1"/>
  <c r="W511" i="1"/>
  <c r="AJ511" i="1" s="1"/>
  <c r="O512" i="1"/>
  <c r="AB512" i="1" s="1"/>
  <c r="W513" i="1"/>
  <c r="AJ513" i="1" s="1"/>
  <c r="O514" i="1"/>
  <c r="AB514" i="1" s="1"/>
  <c r="W515" i="1"/>
  <c r="AJ515" i="1" s="1"/>
  <c r="O516" i="1"/>
  <c r="AB516" i="1" s="1"/>
  <c r="W517" i="1"/>
  <c r="AJ517" i="1" s="1"/>
  <c r="O518" i="1"/>
  <c r="AB518" i="1" s="1"/>
  <c r="W519" i="1"/>
  <c r="AJ519" i="1" s="1"/>
  <c r="O520" i="1"/>
  <c r="AB520" i="1" s="1"/>
  <c r="W521" i="1"/>
  <c r="AJ521" i="1" s="1"/>
  <c r="O522" i="1"/>
  <c r="AB522" i="1" s="1"/>
  <c r="W523" i="1"/>
  <c r="AJ523" i="1" s="1"/>
  <c r="O524" i="1"/>
  <c r="AB524" i="1" s="1"/>
  <c r="W525" i="1"/>
  <c r="AJ525" i="1" s="1"/>
  <c r="O526" i="1"/>
  <c r="AB526" i="1" s="1"/>
  <c r="W527" i="1"/>
  <c r="AJ527" i="1" s="1"/>
  <c r="O528" i="1"/>
  <c r="AB528" i="1" s="1"/>
  <c r="W529" i="1"/>
  <c r="AJ529" i="1" s="1"/>
  <c r="O530" i="1"/>
  <c r="AB530" i="1" s="1"/>
  <c r="W531" i="1"/>
  <c r="AJ531" i="1" s="1"/>
  <c r="O532" i="1"/>
  <c r="AB532" i="1" s="1"/>
  <c r="W533" i="1"/>
  <c r="AJ533" i="1" s="1"/>
  <c r="O534" i="1"/>
  <c r="AB534" i="1" s="1"/>
  <c r="W535" i="1"/>
  <c r="AJ535" i="1" s="1"/>
  <c r="O536" i="1"/>
  <c r="AB536" i="1" s="1"/>
  <c r="O356" i="1"/>
  <c r="AB356" i="1" s="1"/>
  <c r="S384" i="1"/>
  <c r="AF384" i="1" s="1"/>
  <c r="U421" i="1"/>
  <c r="AH421" i="1" s="1"/>
  <c r="U437" i="1"/>
  <c r="AH437" i="1" s="1"/>
  <c r="U453" i="1"/>
  <c r="AH453" i="1" s="1"/>
  <c r="Z463" i="1"/>
  <c r="AM463" i="1" s="1"/>
  <c r="Q472" i="1"/>
  <c r="AD472" i="1" s="1"/>
  <c r="T473" i="1"/>
  <c r="AG473" i="1" s="1"/>
  <c r="S474" i="1"/>
  <c r="AF474" i="1" s="1"/>
  <c r="V475" i="1"/>
  <c r="AI475" i="1" s="1"/>
  <c r="U476" i="1"/>
  <c r="AH476" i="1" s="1"/>
  <c r="Y477" i="1"/>
  <c r="AL477" i="1" s="1"/>
  <c r="Z483" i="1"/>
  <c r="AM483" i="1" s="1"/>
  <c r="W484" i="1"/>
  <c r="AJ484" i="1" s="1"/>
  <c r="U485" i="1"/>
  <c r="AH485" i="1" s="1"/>
  <c r="R486" i="1"/>
  <c r="AE486" i="1" s="1"/>
  <c r="O487" i="1"/>
  <c r="AB487" i="1" s="1"/>
  <c r="X490" i="1"/>
  <c r="AK490" i="1" s="1"/>
  <c r="R491" i="1"/>
  <c r="AE491" i="1" s="1"/>
  <c r="Y493" i="1"/>
  <c r="AL493" i="1" s="1"/>
  <c r="S494" i="1"/>
  <c r="AF494" i="1" s="1"/>
  <c r="Z496" i="1"/>
  <c r="AM496" i="1" s="1"/>
  <c r="T497" i="1"/>
  <c r="AG497" i="1" s="1"/>
  <c r="U500" i="1"/>
  <c r="AH500" i="1" s="1"/>
  <c r="P501" i="1"/>
  <c r="AC501" i="1" s="1"/>
  <c r="V503" i="1"/>
  <c r="AI503" i="1" s="1"/>
  <c r="P504" i="1"/>
  <c r="AC504" i="1" s="1"/>
  <c r="X505" i="1"/>
  <c r="AK505" i="1" s="1"/>
  <c r="P506" i="1"/>
  <c r="AC506" i="1" s="1"/>
  <c r="X507" i="1"/>
  <c r="AK507" i="1" s="1"/>
  <c r="P508" i="1"/>
  <c r="AC508" i="1" s="1"/>
  <c r="X509" i="1"/>
  <c r="AK509" i="1" s="1"/>
  <c r="P510" i="1"/>
  <c r="AC510" i="1" s="1"/>
  <c r="X511" i="1"/>
  <c r="AK511" i="1" s="1"/>
  <c r="P512" i="1"/>
  <c r="AC512" i="1" s="1"/>
  <c r="X513" i="1"/>
  <c r="AK513" i="1" s="1"/>
  <c r="P514" i="1"/>
  <c r="AC514" i="1" s="1"/>
  <c r="X515" i="1"/>
  <c r="AK515" i="1" s="1"/>
  <c r="P516" i="1"/>
  <c r="AC516" i="1" s="1"/>
  <c r="X517" i="1"/>
  <c r="AK517" i="1" s="1"/>
  <c r="P518" i="1"/>
  <c r="AC518" i="1" s="1"/>
  <c r="X519" i="1"/>
  <c r="AK519" i="1" s="1"/>
  <c r="P520" i="1"/>
  <c r="AC520" i="1" s="1"/>
  <c r="X521" i="1"/>
  <c r="AK521" i="1" s="1"/>
  <c r="P522" i="1"/>
  <c r="AC522" i="1" s="1"/>
  <c r="X523" i="1"/>
  <c r="AK523" i="1" s="1"/>
  <c r="P524" i="1"/>
  <c r="AC524" i="1" s="1"/>
  <c r="X525" i="1"/>
  <c r="AK525" i="1" s="1"/>
  <c r="P526" i="1"/>
  <c r="AC526" i="1" s="1"/>
  <c r="X527" i="1"/>
  <c r="AK527" i="1" s="1"/>
  <c r="P528" i="1"/>
  <c r="AC528" i="1" s="1"/>
  <c r="X529" i="1"/>
  <c r="AK529" i="1" s="1"/>
  <c r="P530" i="1"/>
  <c r="AC530" i="1" s="1"/>
  <c r="X531" i="1"/>
  <c r="AK531" i="1" s="1"/>
  <c r="P532" i="1"/>
  <c r="AC532" i="1" s="1"/>
  <c r="X533" i="1"/>
  <c r="AK533" i="1" s="1"/>
  <c r="P534" i="1"/>
  <c r="AC534" i="1" s="1"/>
  <c r="P356" i="1"/>
  <c r="AC356" i="1" s="1"/>
  <c r="V421" i="1"/>
  <c r="AI421" i="1" s="1"/>
  <c r="V437" i="1"/>
  <c r="AI437" i="1" s="1"/>
  <c r="V453" i="1"/>
  <c r="AI453" i="1" s="1"/>
  <c r="P470" i="1"/>
  <c r="AC470" i="1" s="1"/>
  <c r="P471" i="1"/>
  <c r="AC471" i="1" s="1"/>
  <c r="R472" i="1"/>
  <c r="AE472" i="1" s="1"/>
  <c r="U473" i="1"/>
  <c r="AH473" i="1" s="1"/>
  <c r="T474" i="1"/>
  <c r="AG474" i="1" s="1"/>
  <c r="X475" i="1"/>
  <c r="AK475" i="1" s="1"/>
  <c r="X476" i="1"/>
  <c r="AK476" i="1" s="1"/>
  <c r="Z477" i="1"/>
  <c r="AM477" i="1" s="1"/>
  <c r="X484" i="1"/>
  <c r="AK484" i="1" s="1"/>
  <c r="V485" i="1"/>
  <c r="AI485" i="1" s="1"/>
  <c r="S486" i="1"/>
  <c r="AF486" i="1" s="1"/>
  <c r="P487" i="1"/>
  <c r="AC487" i="1" s="1"/>
  <c r="Y490" i="1"/>
  <c r="AL490" i="1" s="1"/>
  <c r="S491" i="1"/>
  <c r="AF491" i="1" s="1"/>
  <c r="Z493" i="1"/>
  <c r="AM493" i="1" s="1"/>
  <c r="T494" i="1"/>
  <c r="AG494" i="1" s="1"/>
  <c r="O495" i="1"/>
  <c r="AB495" i="1" s="1"/>
  <c r="U497" i="1"/>
  <c r="AH497" i="1" s="1"/>
  <c r="P498" i="1"/>
  <c r="AC498" i="1" s="1"/>
  <c r="W500" i="1"/>
  <c r="AJ500" i="1" s="1"/>
  <c r="Q501" i="1"/>
  <c r="AD501" i="1" s="1"/>
  <c r="X503" i="1"/>
  <c r="AK503" i="1" s="1"/>
  <c r="Q504" i="1"/>
  <c r="AD504" i="1" s="1"/>
  <c r="Y505" i="1"/>
  <c r="AL505" i="1" s="1"/>
  <c r="Q506" i="1"/>
  <c r="AD506" i="1" s="1"/>
  <c r="Y507" i="1"/>
  <c r="AL507" i="1" s="1"/>
  <c r="Q508" i="1"/>
  <c r="AD508" i="1" s="1"/>
  <c r="Y509" i="1"/>
  <c r="AL509" i="1" s="1"/>
  <c r="Q510" i="1"/>
  <c r="AD510" i="1" s="1"/>
  <c r="Y511" i="1"/>
  <c r="AL511" i="1" s="1"/>
  <c r="Q512" i="1"/>
  <c r="AD512" i="1" s="1"/>
  <c r="Y513" i="1"/>
  <c r="AL513" i="1" s="1"/>
  <c r="Q514" i="1"/>
  <c r="AD514" i="1" s="1"/>
  <c r="Y515" i="1"/>
  <c r="AL515" i="1" s="1"/>
  <c r="Q516" i="1"/>
  <c r="AD516" i="1" s="1"/>
  <c r="Y517" i="1"/>
  <c r="AL517" i="1" s="1"/>
  <c r="Q518" i="1"/>
  <c r="AD518" i="1" s="1"/>
  <c r="Y519" i="1"/>
  <c r="AL519" i="1" s="1"/>
  <c r="Q520" i="1"/>
  <c r="AD520" i="1" s="1"/>
  <c r="Y521" i="1"/>
  <c r="AL521" i="1" s="1"/>
  <c r="Q522" i="1"/>
  <c r="AD522" i="1" s="1"/>
  <c r="Y523" i="1"/>
  <c r="AL523" i="1" s="1"/>
  <c r="Q524" i="1"/>
  <c r="AD524" i="1" s="1"/>
  <c r="Y525" i="1"/>
  <c r="AL525" i="1" s="1"/>
  <c r="Q526" i="1"/>
  <c r="AD526" i="1" s="1"/>
  <c r="Y527" i="1"/>
  <c r="AL527" i="1" s="1"/>
  <c r="Q528" i="1"/>
  <c r="AD528" i="1" s="1"/>
  <c r="Y529" i="1"/>
  <c r="AL529" i="1" s="1"/>
  <c r="Q530" i="1"/>
  <c r="AD530" i="1" s="1"/>
  <c r="Y531" i="1"/>
  <c r="AL531" i="1" s="1"/>
  <c r="Q532" i="1"/>
  <c r="AD532" i="1" s="1"/>
  <c r="Y533" i="1"/>
  <c r="AL533" i="1" s="1"/>
  <c r="Q534" i="1"/>
  <c r="AD534" i="1" s="1"/>
  <c r="Y535" i="1"/>
  <c r="AL535" i="1" s="1"/>
  <c r="X359" i="1"/>
  <c r="AK359" i="1" s="1"/>
  <c r="O388" i="1"/>
  <c r="AB388" i="1" s="1"/>
  <c r="O402" i="1"/>
  <c r="AB402" i="1" s="1"/>
  <c r="U427" i="1"/>
  <c r="AH427" i="1" s="1"/>
  <c r="U443" i="1"/>
  <c r="AH443" i="1" s="1"/>
  <c r="T460" i="1"/>
  <c r="AG460" i="1" s="1"/>
  <c r="Q470" i="1"/>
  <c r="AD470" i="1" s="1"/>
  <c r="T471" i="1"/>
  <c r="AG471" i="1" s="1"/>
  <c r="S472" i="1"/>
  <c r="AF472" i="1" s="1"/>
  <c r="V473" i="1"/>
  <c r="AI473" i="1" s="1"/>
  <c r="U474" i="1"/>
  <c r="AH474" i="1" s="1"/>
  <c r="Y475" i="1"/>
  <c r="AL475" i="1" s="1"/>
  <c r="Y484" i="1"/>
  <c r="AL484" i="1" s="1"/>
  <c r="X485" i="1"/>
  <c r="AK485" i="1" s="1"/>
  <c r="T486" i="1"/>
  <c r="AG486" i="1" s="1"/>
  <c r="Q487" i="1"/>
  <c r="AD487" i="1" s="1"/>
  <c r="P488" i="1"/>
  <c r="AC488" i="1" s="1"/>
  <c r="Z490" i="1"/>
  <c r="AM490" i="1" s="1"/>
  <c r="T491" i="1"/>
  <c r="AG491" i="1" s="1"/>
  <c r="U494" i="1"/>
  <c r="AH494" i="1" s="1"/>
  <c r="P495" i="1"/>
  <c r="AC495" i="1" s="1"/>
  <c r="V497" i="1"/>
  <c r="AI497" i="1" s="1"/>
  <c r="Q498" i="1"/>
  <c r="AD498" i="1" s="1"/>
  <c r="X500" i="1"/>
  <c r="AK500" i="1" s="1"/>
  <c r="R501" i="1"/>
  <c r="AE501" i="1" s="1"/>
  <c r="Y503" i="1"/>
  <c r="AL503" i="1" s="1"/>
  <c r="R504" i="1"/>
  <c r="AE504" i="1" s="1"/>
  <c r="Z505" i="1"/>
  <c r="AM505" i="1" s="1"/>
  <c r="R506" i="1"/>
  <c r="AE506" i="1" s="1"/>
  <c r="Z507" i="1"/>
  <c r="AM507" i="1" s="1"/>
  <c r="R508" i="1"/>
  <c r="AE508" i="1" s="1"/>
  <c r="Z509" i="1"/>
  <c r="AM509" i="1" s="1"/>
  <c r="R510" i="1"/>
  <c r="AE510" i="1" s="1"/>
  <c r="Z511" i="1"/>
  <c r="AM511" i="1" s="1"/>
  <c r="R512" i="1"/>
  <c r="AE512" i="1" s="1"/>
  <c r="Z513" i="1"/>
  <c r="AM513" i="1" s="1"/>
  <c r="R514" i="1"/>
  <c r="AE514" i="1" s="1"/>
  <c r="Z515" i="1"/>
  <c r="AM515" i="1" s="1"/>
  <c r="R516" i="1"/>
  <c r="AE516" i="1" s="1"/>
  <c r="Z517" i="1"/>
  <c r="AM517" i="1" s="1"/>
  <c r="R518" i="1"/>
  <c r="AE518" i="1" s="1"/>
  <c r="Z519" i="1"/>
  <c r="AM519" i="1" s="1"/>
  <c r="R520" i="1"/>
  <c r="AE520" i="1" s="1"/>
  <c r="Z521" i="1"/>
  <c r="AM521" i="1" s="1"/>
  <c r="R522" i="1"/>
  <c r="AE522" i="1" s="1"/>
  <c r="Z523" i="1"/>
  <c r="AM523" i="1" s="1"/>
  <c r="R524" i="1"/>
  <c r="AE524" i="1" s="1"/>
  <c r="Z525" i="1"/>
  <c r="AM525" i="1" s="1"/>
  <c r="R526" i="1"/>
  <c r="AE526" i="1" s="1"/>
  <c r="Z527" i="1"/>
  <c r="AM527" i="1" s="1"/>
  <c r="R528" i="1"/>
  <c r="AE528" i="1" s="1"/>
  <c r="Z529" i="1"/>
  <c r="AM529" i="1" s="1"/>
  <c r="R530" i="1"/>
  <c r="AE530" i="1" s="1"/>
  <c r="Z531" i="1"/>
  <c r="AM531" i="1" s="1"/>
  <c r="R532" i="1"/>
  <c r="AE532" i="1" s="1"/>
  <c r="Z533" i="1"/>
  <c r="AM533" i="1" s="1"/>
  <c r="R534" i="1"/>
  <c r="AE534" i="1" s="1"/>
  <c r="Z535" i="1"/>
  <c r="AM535" i="1" s="1"/>
  <c r="R536" i="1"/>
  <c r="AE536" i="1" s="1"/>
  <c r="Z537" i="1"/>
  <c r="AM537" i="1" s="1"/>
  <c r="P388" i="1"/>
  <c r="AC388" i="1" s="1"/>
  <c r="P402" i="1"/>
  <c r="AC402" i="1" s="1"/>
  <c r="V427" i="1"/>
  <c r="AI427" i="1" s="1"/>
  <c r="V443" i="1"/>
  <c r="AI443" i="1" s="1"/>
  <c r="U460" i="1"/>
  <c r="AH460" i="1" s="1"/>
  <c r="P468" i="1"/>
  <c r="AC468" i="1" s="1"/>
  <c r="P469" i="1"/>
  <c r="AC469" i="1" s="1"/>
  <c r="R470" i="1"/>
  <c r="AE470" i="1" s="1"/>
  <c r="U471" i="1"/>
  <c r="AH471" i="1" s="1"/>
  <c r="T472" i="1"/>
  <c r="AG472" i="1" s="1"/>
  <c r="X473" i="1"/>
  <c r="AK473" i="1" s="1"/>
  <c r="X474" i="1"/>
  <c r="AK474" i="1" s="1"/>
  <c r="Z475" i="1"/>
  <c r="AM475" i="1" s="1"/>
  <c r="Y485" i="1"/>
  <c r="AL485" i="1" s="1"/>
  <c r="U486" i="1"/>
  <c r="AH486" i="1" s="1"/>
  <c r="T487" i="1"/>
  <c r="AG487" i="1" s="1"/>
  <c r="Q488" i="1"/>
  <c r="AD488" i="1" s="1"/>
  <c r="U491" i="1"/>
  <c r="AH491" i="1" s="1"/>
  <c r="P492" i="1"/>
  <c r="AC492" i="1" s="1"/>
  <c r="W494" i="1"/>
  <c r="AJ494" i="1" s="1"/>
  <c r="Q495" i="1"/>
  <c r="AD495" i="1" s="1"/>
  <c r="X497" i="1"/>
  <c r="AK497" i="1" s="1"/>
  <c r="R498" i="1"/>
  <c r="AE498" i="1" s="1"/>
  <c r="Y500" i="1"/>
  <c r="AL500" i="1" s="1"/>
  <c r="S501" i="1"/>
  <c r="AF501" i="1" s="1"/>
  <c r="Z503" i="1"/>
  <c r="AM503" i="1" s="1"/>
  <c r="S504" i="1"/>
  <c r="AF504" i="1" s="1"/>
  <c r="S506" i="1"/>
  <c r="AF506" i="1" s="1"/>
  <c r="S508" i="1"/>
  <c r="AF508" i="1" s="1"/>
  <c r="S510" i="1"/>
  <c r="AF510" i="1" s="1"/>
  <c r="S512" i="1"/>
  <c r="AF512" i="1" s="1"/>
  <c r="S514" i="1"/>
  <c r="AF514" i="1" s="1"/>
  <c r="S516" i="1"/>
  <c r="AF516" i="1" s="1"/>
  <c r="S518" i="1"/>
  <c r="AF518" i="1" s="1"/>
  <c r="S520" i="1"/>
  <c r="AF520" i="1" s="1"/>
  <c r="S522" i="1"/>
  <c r="AF522" i="1" s="1"/>
  <c r="S524" i="1"/>
  <c r="AF524" i="1" s="1"/>
  <c r="S526" i="1"/>
  <c r="AF526" i="1" s="1"/>
  <c r="S528" i="1"/>
  <c r="AF528" i="1" s="1"/>
  <c r="S530" i="1"/>
  <c r="AF530" i="1" s="1"/>
  <c r="S532" i="1"/>
  <c r="AF532" i="1" s="1"/>
  <c r="S534" i="1"/>
  <c r="AF534" i="1" s="1"/>
  <c r="S536" i="1"/>
  <c r="AF536" i="1" s="1"/>
  <c r="S538" i="1"/>
  <c r="AF538" i="1" s="1"/>
  <c r="S540" i="1"/>
  <c r="AF540" i="1" s="1"/>
  <c r="S542" i="1"/>
  <c r="AF542" i="1" s="1"/>
  <c r="S544" i="1"/>
  <c r="AF544" i="1" s="1"/>
  <c r="S546" i="1"/>
  <c r="AF546" i="1" s="1"/>
  <c r="S548" i="1"/>
  <c r="AF548" i="1" s="1"/>
  <c r="S550" i="1"/>
  <c r="AF550" i="1" s="1"/>
  <c r="S552" i="1"/>
  <c r="AF552" i="1" s="1"/>
  <c r="S554" i="1"/>
  <c r="AF554" i="1" s="1"/>
  <c r="S556" i="1"/>
  <c r="AF556" i="1" s="1"/>
  <c r="S558" i="1"/>
  <c r="AF558" i="1" s="1"/>
  <c r="S560" i="1"/>
  <c r="AF560" i="1" s="1"/>
  <c r="S562" i="1"/>
  <c r="AF562" i="1" s="1"/>
  <c r="S564" i="1"/>
  <c r="AF564" i="1" s="1"/>
  <c r="S566" i="1"/>
  <c r="AF566" i="1" s="1"/>
  <c r="S568" i="1"/>
  <c r="AF568" i="1" s="1"/>
  <c r="S570" i="1"/>
  <c r="AF570" i="1" s="1"/>
  <c r="S572" i="1"/>
  <c r="AF572" i="1" s="1"/>
  <c r="S574" i="1"/>
  <c r="AF574" i="1" s="1"/>
  <c r="S576" i="1"/>
  <c r="AF576" i="1" s="1"/>
  <c r="S578" i="1"/>
  <c r="AF578" i="1" s="1"/>
  <c r="Y275" i="1"/>
  <c r="AL275" i="1" s="1"/>
  <c r="U417" i="1"/>
  <c r="AH417" i="1" s="1"/>
  <c r="U433" i="1"/>
  <c r="AH433" i="1" s="1"/>
  <c r="U449" i="1"/>
  <c r="AH449" i="1" s="1"/>
  <c r="X458" i="1"/>
  <c r="AK458" i="1" s="1"/>
  <c r="X460" i="1"/>
  <c r="AK460" i="1" s="1"/>
  <c r="T462" i="1"/>
  <c r="AG462" i="1" s="1"/>
  <c r="Q468" i="1"/>
  <c r="AD468" i="1" s="1"/>
  <c r="T469" i="1"/>
  <c r="AG469" i="1" s="1"/>
  <c r="S470" i="1"/>
  <c r="AF470" i="1" s="1"/>
  <c r="V471" i="1"/>
  <c r="AI471" i="1" s="1"/>
  <c r="U472" i="1"/>
  <c r="AH472" i="1" s="1"/>
  <c r="Y473" i="1"/>
  <c r="AL473" i="1" s="1"/>
  <c r="Z485" i="1"/>
  <c r="AM485" i="1" s="1"/>
  <c r="W486" i="1"/>
  <c r="AJ486" i="1" s="1"/>
  <c r="U487" i="1"/>
  <c r="AH487" i="1" s="1"/>
  <c r="R488" i="1"/>
  <c r="AE488" i="1" s="1"/>
  <c r="O489" i="1"/>
  <c r="AB489" i="1" s="1"/>
  <c r="V491" i="1"/>
  <c r="AI491" i="1" s="1"/>
  <c r="Q492" i="1"/>
  <c r="AD492" i="1" s="1"/>
  <c r="X494" i="1"/>
  <c r="AK494" i="1" s="1"/>
  <c r="R495" i="1"/>
  <c r="AE495" i="1" s="1"/>
  <c r="Y497" i="1"/>
  <c r="AL497" i="1" s="1"/>
  <c r="S498" i="1"/>
  <c r="AF498" i="1" s="1"/>
  <c r="Z500" i="1"/>
  <c r="AM500" i="1" s="1"/>
  <c r="T501" i="1"/>
  <c r="AG501" i="1" s="1"/>
  <c r="T504" i="1"/>
  <c r="AG504" i="1" s="1"/>
  <c r="T506" i="1"/>
  <c r="AG506" i="1" s="1"/>
  <c r="T508" i="1"/>
  <c r="AG508" i="1" s="1"/>
  <c r="T510" i="1"/>
  <c r="AG510" i="1" s="1"/>
  <c r="T512" i="1"/>
  <c r="AG512" i="1" s="1"/>
  <c r="T514" i="1"/>
  <c r="AG514" i="1" s="1"/>
  <c r="T516" i="1"/>
  <c r="AG516" i="1" s="1"/>
  <c r="T518" i="1"/>
  <c r="AG518" i="1" s="1"/>
  <c r="T520" i="1"/>
  <c r="AG520" i="1" s="1"/>
  <c r="T522" i="1"/>
  <c r="AG522" i="1" s="1"/>
  <c r="T524" i="1"/>
  <c r="AG524" i="1" s="1"/>
  <c r="T526" i="1"/>
  <c r="AG526" i="1" s="1"/>
  <c r="T528" i="1"/>
  <c r="AG528" i="1" s="1"/>
  <c r="T530" i="1"/>
  <c r="AG530" i="1" s="1"/>
  <c r="T532" i="1"/>
  <c r="AG532" i="1" s="1"/>
  <c r="T534" i="1"/>
  <c r="AG534" i="1" s="1"/>
  <c r="T536" i="1"/>
  <c r="AG536" i="1" s="1"/>
  <c r="T538" i="1"/>
  <c r="AG538" i="1" s="1"/>
  <c r="T540" i="1"/>
  <c r="AG540" i="1" s="1"/>
  <c r="T542" i="1"/>
  <c r="AG542" i="1" s="1"/>
  <c r="T544" i="1"/>
  <c r="AG544" i="1" s="1"/>
  <c r="T546" i="1"/>
  <c r="AG546" i="1" s="1"/>
  <c r="T548" i="1"/>
  <c r="AG548" i="1" s="1"/>
  <c r="T550" i="1"/>
  <c r="AG550" i="1" s="1"/>
  <c r="T552" i="1"/>
  <c r="AG552" i="1" s="1"/>
  <c r="T554" i="1"/>
  <c r="AG554" i="1" s="1"/>
  <c r="T556" i="1"/>
  <c r="AG556" i="1" s="1"/>
  <c r="T558" i="1"/>
  <c r="AG558" i="1" s="1"/>
  <c r="T560" i="1"/>
  <c r="AG560" i="1" s="1"/>
  <c r="T562" i="1"/>
  <c r="AG562" i="1" s="1"/>
  <c r="T564" i="1"/>
  <c r="AG564" i="1" s="1"/>
  <c r="T566" i="1"/>
  <c r="AG566" i="1" s="1"/>
  <c r="S278" i="1"/>
  <c r="AF278" i="1" s="1"/>
  <c r="W363" i="1"/>
  <c r="AJ363" i="1" s="1"/>
  <c r="W391" i="1"/>
  <c r="AJ391" i="1" s="1"/>
  <c r="V417" i="1"/>
  <c r="AI417" i="1" s="1"/>
  <c r="V433" i="1"/>
  <c r="AI433" i="1" s="1"/>
  <c r="V449" i="1"/>
  <c r="AI449" i="1" s="1"/>
  <c r="U462" i="1"/>
  <c r="AH462" i="1" s="1"/>
  <c r="P466" i="1"/>
  <c r="AC466" i="1" s="1"/>
  <c r="P467" i="1"/>
  <c r="AC467" i="1" s="1"/>
  <c r="R468" i="1"/>
  <c r="AE468" i="1" s="1"/>
  <c r="U469" i="1"/>
  <c r="AH469" i="1" s="1"/>
  <c r="T470" i="1"/>
  <c r="AG470" i="1" s="1"/>
  <c r="X471" i="1"/>
  <c r="AK471" i="1" s="1"/>
  <c r="X472" i="1"/>
  <c r="AK472" i="1" s="1"/>
  <c r="Z473" i="1"/>
  <c r="AM473" i="1" s="1"/>
  <c r="X486" i="1"/>
  <c r="AK486" i="1" s="1"/>
  <c r="V487" i="1"/>
  <c r="AI487" i="1" s="1"/>
  <c r="S488" i="1"/>
  <c r="AF488" i="1" s="1"/>
  <c r="P489" i="1"/>
  <c r="AC489" i="1" s="1"/>
  <c r="X491" i="1"/>
  <c r="AK491" i="1" s="1"/>
  <c r="R492" i="1"/>
  <c r="AE492" i="1" s="1"/>
  <c r="Y494" i="1"/>
  <c r="AL494" i="1" s="1"/>
  <c r="S495" i="1"/>
  <c r="AF495" i="1" s="1"/>
  <c r="Z497" i="1"/>
  <c r="AM497" i="1" s="1"/>
  <c r="T498" i="1"/>
  <c r="AG498" i="1" s="1"/>
  <c r="O499" i="1"/>
  <c r="AB499" i="1" s="1"/>
  <c r="U501" i="1"/>
  <c r="AH501" i="1" s="1"/>
  <c r="P502" i="1"/>
  <c r="AC502" i="1" s="1"/>
  <c r="U504" i="1"/>
  <c r="AH504" i="1" s="1"/>
  <c r="U506" i="1"/>
  <c r="AH506" i="1" s="1"/>
  <c r="U508" i="1"/>
  <c r="AH508" i="1" s="1"/>
  <c r="U510" i="1"/>
  <c r="AH510" i="1" s="1"/>
  <c r="U512" i="1"/>
  <c r="AH512" i="1" s="1"/>
  <c r="U514" i="1"/>
  <c r="AH514" i="1" s="1"/>
  <c r="U516" i="1"/>
  <c r="AH516" i="1" s="1"/>
  <c r="U518" i="1"/>
  <c r="AH518" i="1" s="1"/>
  <c r="U520" i="1"/>
  <c r="AH520" i="1" s="1"/>
  <c r="U522" i="1"/>
  <c r="AH522" i="1" s="1"/>
  <c r="U524" i="1"/>
  <c r="AH524" i="1" s="1"/>
  <c r="U526" i="1"/>
  <c r="AH526" i="1" s="1"/>
  <c r="U528" i="1"/>
  <c r="AH528" i="1" s="1"/>
  <c r="U530" i="1"/>
  <c r="AH530" i="1" s="1"/>
  <c r="U532" i="1"/>
  <c r="AH532" i="1" s="1"/>
  <c r="U534" i="1"/>
  <c r="AH534" i="1" s="1"/>
  <c r="U536" i="1"/>
  <c r="AH536" i="1" s="1"/>
  <c r="U538" i="1"/>
  <c r="AH538" i="1" s="1"/>
  <c r="U540" i="1"/>
  <c r="AH540" i="1" s="1"/>
  <c r="U542" i="1"/>
  <c r="AH542" i="1" s="1"/>
  <c r="U544" i="1"/>
  <c r="AH544" i="1" s="1"/>
  <c r="U546" i="1"/>
  <c r="AH546" i="1" s="1"/>
  <c r="U548" i="1"/>
  <c r="AH548" i="1" s="1"/>
  <c r="U550" i="1"/>
  <c r="AH550" i="1" s="1"/>
  <c r="U552" i="1"/>
  <c r="AH552" i="1" s="1"/>
  <c r="U554" i="1"/>
  <c r="AH554" i="1" s="1"/>
  <c r="U556" i="1"/>
  <c r="AH556" i="1" s="1"/>
  <c r="U558" i="1"/>
  <c r="AH558" i="1" s="1"/>
  <c r="U560" i="1"/>
  <c r="AH560" i="1" s="1"/>
  <c r="U562" i="1"/>
  <c r="AH562" i="1" s="1"/>
  <c r="U564" i="1"/>
  <c r="AH564" i="1" s="1"/>
  <c r="Q311" i="1"/>
  <c r="AD311" i="1" s="1"/>
  <c r="Z393" i="1"/>
  <c r="AM393" i="1" s="1"/>
  <c r="U423" i="1"/>
  <c r="AH423" i="1" s="1"/>
  <c r="U439" i="1"/>
  <c r="AH439" i="1" s="1"/>
  <c r="U455" i="1"/>
  <c r="AH455" i="1" s="1"/>
  <c r="X462" i="1"/>
  <c r="AK462" i="1" s="1"/>
  <c r="Q466" i="1"/>
  <c r="AD466" i="1" s="1"/>
  <c r="T467" i="1"/>
  <c r="AG467" i="1" s="1"/>
  <c r="S468" i="1"/>
  <c r="AF468" i="1" s="1"/>
  <c r="V469" i="1"/>
  <c r="AI469" i="1" s="1"/>
  <c r="U470" i="1"/>
  <c r="AH470" i="1" s="1"/>
  <c r="Y471" i="1"/>
  <c r="AL471" i="1" s="1"/>
  <c r="P482" i="1"/>
  <c r="AC482" i="1" s="1"/>
  <c r="Y486" i="1"/>
  <c r="AL486" i="1" s="1"/>
  <c r="X487" i="1"/>
  <c r="AK487" i="1" s="1"/>
  <c r="T488" i="1"/>
  <c r="AG488" i="1" s="1"/>
  <c r="Q489" i="1"/>
  <c r="AD489" i="1" s="1"/>
  <c r="Y491" i="1"/>
  <c r="AL491" i="1" s="1"/>
  <c r="S492" i="1"/>
  <c r="AF492" i="1" s="1"/>
  <c r="Z494" i="1"/>
  <c r="AM494" i="1" s="1"/>
  <c r="T495" i="1"/>
  <c r="AG495" i="1" s="1"/>
  <c r="U498" i="1"/>
  <c r="AH498" i="1" s="1"/>
  <c r="P499" i="1"/>
  <c r="AC499" i="1" s="1"/>
  <c r="V501" i="1"/>
  <c r="AI501" i="1" s="1"/>
  <c r="Q502" i="1"/>
  <c r="AD502" i="1" s="1"/>
  <c r="V504" i="1"/>
  <c r="AI504" i="1" s="1"/>
  <c r="V506" i="1"/>
  <c r="AI506" i="1" s="1"/>
  <c r="V508" i="1"/>
  <c r="AI508" i="1" s="1"/>
  <c r="V510" i="1"/>
  <c r="AI510" i="1" s="1"/>
  <c r="V512" i="1"/>
  <c r="AI512" i="1" s="1"/>
  <c r="V514" i="1"/>
  <c r="AI514" i="1" s="1"/>
  <c r="V516" i="1"/>
  <c r="AI516" i="1" s="1"/>
  <c r="V518" i="1"/>
  <c r="AI518" i="1" s="1"/>
  <c r="V520" i="1"/>
  <c r="AI520" i="1" s="1"/>
  <c r="V522" i="1"/>
  <c r="AI522" i="1" s="1"/>
  <c r="V524" i="1"/>
  <c r="AI524" i="1" s="1"/>
  <c r="V526" i="1"/>
  <c r="AI526" i="1" s="1"/>
  <c r="V528" i="1"/>
  <c r="AI528" i="1" s="1"/>
  <c r="V530" i="1"/>
  <c r="AI530" i="1" s="1"/>
  <c r="V532" i="1"/>
  <c r="AI532" i="1" s="1"/>
  <c r="V534" i="1"/>
  <c r="AI534" i="1" s="1"/>
  <c r="V536" i="1"/>
  <c r="AI536" i="1" s="1"/>
  <c r="V538" i="1"/>
  <c r="AI538" i="1" s="1"/>
  <c r="V540" i="1"/>
  <c r="AI540" i="1" s="1"/>
  <c r="V542" i="1"/>
  <c r="AI542" i="1" s="1"/>
  <c r="V544" i="1"/>
  <c r="AI544" i="1" s="1"/>
  <c r="V546" i="1"/>
  <c r="AI546" i="1" s="1"/>
  <c r="V548" i="1"/>
  <c r="AI548" i="1" s="1"/>
  <c r="V550" i="1"/>
  <c r="AI550" i="1" s="1"/>
  <c r="V552" i="1"/>
  <c r="AI552" i="1" s="1"/>
  <c r="V554" i="1"/>
  <c r="AI554" i="1" s="1"/>
  <c r="V556" i="1"/>
  <c r="AI556" i="1" s="1"/>
  <c r="V558" i="1"/>
  <c r="AI558" i="1" s="1"/>
  <c r="V560" i="1"/>
  <c r="AI560" i="1" s="1"/>
  <c r="V562" i="1"/>
  <c r="AI562" i="1" s="1"/>
  <c r="V564" i="1"/>
  <c r="AI564" i="1" s="1"/>
  <c r="V566" i="1"/>
  <c r="AI566" i="1" s="1"/>
  <c r="V568" i="1"/>
  <c r="AI568" i="1" s="1"/>
  <c r="V570" i="1"/>
  <c r="AI570" i="1" s="1"/>
  <c r="V572" i="1"/>
  <c r="AI572" i="1" s="1"/>
  <c r="V574" i="1"/>
  <c r="AI574" i="1" s="1"/>
  <c r="V576" i="1"/>
  <c r="AI576" i="1" s="1"/>
  <c r="O404" i="1"/>
  <c r="AB404" i="1" s="1"/>
  <c r="V423" i="1"/>
  <c r="AI423" i="1" s="1"/>
  <c r="V439" i="1"/>
  <c r="AI439" i="1" s="1"/>
  <c r="V455" i="1"/>
  <c r="AI455" i="1" s="1"/>
  <c r="P464" i="1"/>
  <c r="AC464" i="1" s="1"/>
  <c r="P465" i="1"/>
  <c r="AC465" i="1" s="1"/>
  <c r="R466" i="1"/>
  <c r="AE466" i="1" s="1"/>
  <c r="U467" i="1"/>
  <c r="AH467" i="1" s="1"/>
  <c r="T468" i="1"/>
  <c r="AG468" i="1" s="1"/>
  <c r="X469" i="1"/>
  <c r="AK469" i="1" s="1"/>
  <c r="X470" i="1"/>
  <c r="AK470" i="1" s="1"/>
  <c r="Z471" i="1"/>
  <c r="AM471" i="1" s="1"/>
  <c r="P480" i="1"/>
  <c r="AC480" i="1" s="1"/>
  <c r="P481" i="1"/>
  <c r="AC481" i="1" s="1"/>
  <c r="Q482" i="1"/>
  <c r="AD482" i="1" s="1"/>
  <c r="Y487" i="1"/>
  <c r="AL487" i="1" s="1"/>
  <c r="U488" i="1"/>
  <c r="AH488" i="1" s="1"/>
  <c r="R489" i="1"/>
  <c r="AE489" i="1" s="1"/>
  <c r="Z491" i="1"/>
  <c r="AM491" i="1" s="1"/>
  <c r="T492" i="1"/>
  <c r="AG492" i="1" s="1"/>
  <c r="O493" i="1"/>
  <c r="AB493" i="1" s="1"/>
  <c r="U495" i="1"/>
  <c r="AH495" i="1" s="1"/>
  <c r="P496" i="1"/>
  <c r="AC496" i="1" s="1"/>
  <c r="W498" i="1"/>
  <c r="AJ498" i="1" s="1"/>
  <c r="Q499" i="1"/>
  <c r="AD499" i="1" s="1"/>
  <c r="X501" i="1"/>
  <c r="AK501" i="1" s="1"/>
  <c r="R502" i="1"/>
  <c r="AE502" i="1" s="1"/>
  <c r="W504" i="1"/>
  <c r="AJ504" i="1" s="1"/>
  <c r="O505" i="1"/>
  <c r="AB505" i="1" s="1"/>
  <c r="W506" i="1"/>
  <c r="AJ506" i="1" s="1"/>
  <c r="O507" i="1"/>
  <c r="AB507" i="1" s="1"/>
  <c r="W508" i="1"/>
  <c r="AJ508" i="1" s="1"/>
  <c r="O509" i="1"/>
  <c r="AB509" i="1" s="1"/>
  <c r="W510" i="1"/>
  <c r="AJ510" i="1" s="1"/>
  <c r="O511" i="1"/>
  <c r="AB511" i="1" s="1"/>
  <c r="W512" i="1"/>
  <c r="AJ512" i="1" s="1"/>
  <c r="O513" i="1"/>
  <c r="AB513" i="1" s="1"/>
  <c r="W514" i="1"/>
  <c r="AJ514" i="1" s="1"/>
  <c r="O515" i="1"/>
  <c r="AB515" i="1" s="1"/>
  <c r="W516" i="1"/>
  <c r="AJ516" i="1" s="1"/>
  <c r="O517" i="1"/>
  <c r="AB517" i="1" s="1"/>
  <c r="W518" i="1"/>
  <c r="AJ518" i="1" s="1"/>
  <c r="O519" i="1"/>
  <c r="AB519" i="1" s="1"/>
  <c r="W520" i="1"/>
  <c r="AJ520" i="1" s="1"/>
  <c r="O521" i="1"/>
  <c r="AB521" i="1" s="1"/>
  <c r="W522" i="1"/>
  <c r="AJ522" i="1" s="1"/>
  <c r="O523" i="1"/>
  <c r="AB523" i="1" s="1"/>
  <c r="W524" i="1"/>
  <c r="AJ524" i="1" s="1"/>
  <c r="O525" i="1"/>
  <c r="AB525" i="1" s="1"/>
  <c r="W526" i="1"/>
  <c r="AJ526" i="1" s="1"/>
  <c r="O527" i="1"/>
  <c r="AB527" i="1" s="1"/>
  <c r="W528" i="1"/>
  <c r="AJ528" i="1" s="1"/>
  <c r="O529" i="1"/>
  <c r="AB529" i="1" s="1"/>
  <c r="W530" i="1"/>
  <c r="AJ530" i="1" s="1"/>
  <c r="O531" i="1"/>
  <c r="AB531" i="1" s="1"/>
  <c r="W532" i="1"/>
  <c r="AJ532" i="1" s="1"/>
  <c r="O533" i="1"/>
  <c r="AB533" i="1" s="1"/>
  <c r="P370" i="1"/>
  <c r="AC370" i="1" s="1"/>
  <c r="U429" i="1"/>
  <c r="AH429" i="1" s="1"/>
  <c r="U445" i="1"/>
  <c r="AH445" i="1" s="1"/>
  <c r="P459" i="1"/>
  <c r="AC459" i="1" s="1"/>
  <c r="Q464" i="1"/>
  <c r="AD464" i="1" s="1"/>
  <c r="T465" i="1"/>
  <c r="AG465" i="1" s="1"/>
  <c r="S466" i="1"/>
  <c r="AF466" i="1" s="1"/>
  <c r="V467" i="1"/>
  <c r="AI467" i="1" s="1"/>
  <c r="U468" i="1"/>
  <c r="AH468" i="1" s="1"/>
  <c r="Y469" i="1"/>
  <c r="AL469" i="1" s="1"/>
  <c r="Q480" i="1"/>
  <c r="AD480" i="1" s="1"/>
  <c r="T481" i="1"/>
  <c r="AG481" i="1" s="1"/>
  <c r="R482" i="1"/>
  <c r="AE482" i="1" s="1"/>
  <c r="O483" i="1"/>
  <c r="AB483" i="1" s="1"/>
  <c r="Z487" i="1"/>
  <c r="AM487" i="1" s="1"/>
  <c r="W488" i="1"/>
  <c r="AJ488" i="1" s="1"/>
  <c r="T489" i="1"/>
  <c r="AG489" i="1" s="1"/>
  <c r="U492" i="1"/>
  <c r="AH492" i="1" s="1"/>
  <c r="P493" i="1"/>
  <c r="AC493" i="1" s="1"/>
  <c r="V495" i="1"/>
  <c r="AI495" i="1" s="1"/>
  <c r="Q496" i="1"/>
  <c r="AD496" i="1" s="1"/>
  <c r="X498" i="1"/>
  <c r="AK498" i="1" s="1"/>
  <c r="R499" i="1"/>
  <c r="AE499" i="1" s="1"/>
  <c r="Y501" i="1"/>
  <c r="AL501" i="1" s="1"/>
  <c r="S502" i="1"/>
  <c r="AF502" i="1" s="1"/>
  <c r="X504" i="1"/>
  <c r="AK504" i="1" s="1"/>
  <c r="P505" i="1"/>
  <c r="AC505" i="1" s="1"/>
  <c r="X506" i="1"/>
  <c r="AK506" i="1" s="1"/>
  <c r="P507" i="1"/>
  <c r="AC507" i="1" s="1"/>
  <c r="X508" i="1"/>
  <c r="AK508" i="1" s="1"/>
  <c r="P509" i="1"/>
  <c r="AC509" i="1" s="1"/>
  <c r="X510" i="1"/>
  <c r="AK510" i="1" s="1"/>
  <c r="P511" i="1"/>
  <c r="AC511" i="1" s="1"/>
  <c r="X512" i="1"/>
  <c r="AK512" i="1" s="1"/>
  <c r="P513" i="1"/>
  <c r="AC513" i="1" s="1"/>
  <c r="X514" i="1"/>
  <c r="AK514" i="1" s="1"/>
  <c r="P515" i="1"/>
  <c r="AC515" i="1" s="1"/>
  <c r="X516" i="1"/>
  <c r="AK516" i="1" s="1"/>
  <c r="P517" i="1"/>
  <c r="AC517" i="1" s="1"/>
  <c r="X518" i="1"/>
  <c r="AK518" i="1" s="1"/>
  <c r="P519" i="1"/>
  <c r="AC519" i="1" s="1"/>
  <c r="X520" i="1"/>
  <c r="AK520" i="1" s="1"/>
  <c r="P521" i="1"/>
  <c r="AC521" i="1" s="1"/>
  <c r="X522" i="1"/>
  <c r="AK522" i="1" s="1"/>
  <c r="P523" i="1"/>
  <c r="AC523" i="1" s="1"/>
  <c r="X524" i="1"/>
  <c r="AK524" i="1" s="1"/>
  <c r="P525" i="1"/>
  <c r="AC525" i="1" s="1"/>
  <c r="X526" i="1"/>
  <c r="AK526" i="1" s="1"/>
  <c r="P527" i="1"/>
  <c r="AC527" i="1" s="1"/>
  <c r="X528" i="1"/>
  <c r="AK528" i="1" s="1"/>
  <c r="P529" i="1"/>
  <c r="AC529" i="1" s="1"/>
  <c r="X530" i="1"/>
  <c r="AK530" i="1" s="1"/>
  <c r="P531" i="1"/>
  <c r="AC531" i="1" s="1"/>
  <c r="X532" i="1"/>
  <c r="AK532" i="1" s="1"/>
  <c r="P533" i="1"/>
  <c r="AC533" i="1" s="1"/>
  <c r="X534" i="1"/>
  <c r="AK534" i="1" s="1"/>
  <c r="P535" i="1"/>
  <c r="AC535" i="1" s="1"/>
  <c r="X536" i="1"/>
  <c r="AK536" i="1" s="1"/>
  <c r="P537" i="1"/>
  <c r="AC537" i="1" s="1"/>
  <c r="X538" i="1"/>
  <c r="AK538" i="1" s="1"/>
  <c r="P539" i="1"/>
  <c r="AC539" i="1" s="1"/>
  <c r="X540" i="1"/>
  <c r="AK540" i="1" s="1"/>
  <c r="P541" i="1"/>
  <c r="AC541" i="1" s="1"/>
  <c r="X542" i="1"/>
  <c r="AK542" i="1" s="1"/>
  <c r="P543" i="1"/>
  <c r="AC543" i="1" s="1"/>
  <c r="X544" i="1"/>
  <c r="AK544" i="1" s="1"/>
  <c r="P545" i="1"/>
  <c r="AC545" i="1" s="1"/>
  <c r="X546" i="1"/>
  <c r="AK546" i="1" s="1"/>
  <c r="P547" i="1"/>
  <c r="AC547" i="1" s="1"/>
  <c r="X548" i="1"/>
  <c r="AK548" i="1" s="1"/>
  <c r="P549" i="1"/>
  <c r="AC549" i="1" s="1"/>
  <c r="X550" i="1"/>
  <c r="AK550" i="1" s="1"/>
  <c r="P551" i="1"/>
  <c r="AC551" i="1" s="1"/>
  <c r="X552" i="1"/>
  <c r="AK552" i="1" s="1"/>
  <c r="P553" i="1"/>
  <c r="AC553" i="1" s="1"/>
  <c r="X554" i="1"/>
  <c r="AK554" i="1" s="1"/>
  <c r="P555" i="1"/>
  <c r="AC555" i="1" s="1"/>
  <c r="X556" i="1"/>
  <c r="AK556" i="1" s="1"/>
  <c r="P557" i="1"/>
  <c r="AC557" i="1" s="1"/>
  <c r="X332" i="1"/>
  <c r="AK332" i="1" s="1"/>
  <c r="S370" i="1"/>
  <c r="AF370" i="1" s="1"/>
  <c r="O396" i="1"/>
  <c r="AB396" i="1" s="1"/>
  <c r="V429" i="1"/>
  <c r="AI429" i="1" s="1"/>
  <c r="V445" i="1"/>
  <c r="AI445" i="1" s="1"/>
  <c r="T459" i="1"/>
  <c r="AG459" i="1" s="1"/>
  <c r="R464" i="1"/>
  <c r="AE464" i="1" s="1"/>
  <c r="U465" i="1"/>
  <c r="AH465" i="1" s="1"/>
  <c r="T466" i="1"/>
  <c r="AG466" i="1" s="1"/>
  <c r="X467" i="1"/>
  <c r="AK467" i="1" s="1"/>
  <c r="X468" i="1"/>
  <c r="AK468" i="1" s="1"/>
  <c r="Z469" i="1"/>
  <c r="AM469" i="1" s="1"/>
  <c r="P478" i="1"/>
  <c r="AC478" i="1" s="1"/>
  <c r="P479" i="1"/>
  <c r="AC479" i="1" s="1"/>
  <c r="R480" i="1"/>
  <c r="AE480" i="1" s="1"/>
  <c r="U481" i="1"/>
  <c r="AH481" i="1" s="1"/>
  <c r="S482" i="1"/>
  <c r="AF482" i="1" s="1"/>
  <c r="P483" i="1"/>
  <c r="AC483" i="1" s="1"/>
  <c r="X488" i="1"/>
  <c r="AK488" i="1" s="1"/>
  <c r="U489" i="1"/>
  <c r="AH489" i="1" s="1"/>
  <c r="P490" i="1"/>
  <c r="AC490" i="1" s="1"/>
  <c r="W492" i="1"/>
  <c r="AJ492" i="1" s="1"/>
  <c r="Q493" i="1"/>
  <c r="AD493" i="1" s="1"/>
  <c r="X495" i="1"/>
  <c r="AK495" i="1" s="1"/>
  <c r="R496" i="1"/>
  <c r="AE496" i="1" s="1"/>
  <c r="Y498" i="1"/>
  <c r="AL498" i="1" s="1"/>
  <c r="S499" i="1"/>
  <c r="AF499" i="1" s="1"/>
  <c r="Z501" i="1"/>
  <c r="AM501" i="1" s="1"/>
  <c r="T502" i="1"/>
  <c r="AG502" i="1" s="1"/>
  <c r="O503" i="1"/>
  <c r="AB503" i="1" s="1"/>
  <c r="Y504" i="1"/>
  <c r="AL504" i="1" s="1"/>
  <c r="Q505" i="1"/>
  <c r="AD505" i="1" s="1"/>
  <c r="Y506" i="1"/>
  <c r="AL506" i="1" s="1"/>
  <c r="Q507" i="1"/>
  <c r="AD507" i="1" s="1"/>
  <c r="Y508" i="1"/>
  <c r="AL508" i="1" s="1"/>
  <c r="Q509" i="1"/>
  <c r="AD509" i="1" s="1"/>
  <c r="Y510" i="1"/>
  <c r="AL510" i="1" s="1"/>
  <c r="Q511" i="1"/>
  <c r="AD511" i="1" s="1"/>
  <c r="Y512" i="1"/>
  <c r="AL512" i="1" s="1"/>
  <c r="Q513" i="1"/>
  <c r="AD513" i="1" s="1"/>
  <c r="Y514" i="1"/>
  <c r="AL514" i="1" s="1"/>
  <c r="Q515" i="1"/>
  <c r="AD515" i="1" s="1"/>
  <c r="Y516" i="1"/>
  <c r="AL516" i="1" s="1"/>
  <c r="Q517" i="1"/>
  <c r="AD517" i="1" s="1"/>
  <c r="Y518" i="1"/>
  <c r="AL518" i="1" s="1"/>
  <c r="Q519" i="1"/>
  <c r="AD519" i="1" s="1"/>
  <c r="Y520" i="1"/>
  <c r="AL520" i="1" s="1"/>
  <c r="Q521" i="1"/>
  <c r="AD521" i="1" s="1"/>
  <c r="Y522" i="1"/>
  <c r="AL522" i="1" s="1"/>
  <c r="Q523" i="1"/>
  <c r="AD523" i="1" s="1"/>
  <c r="Y524" i="1"/>
  <c r="AL524" i="1" s="1"/>
  <c r="Q525" i="1"/>
  <c r="AD525" i="1" s="1"/>
  <c r="Y526" i="1"/>
  <c r="AL526" i="1" s="1"/>
  <c r="Q527" i="1"/>
  <c r="AD527" i="1" s="1"/>
  <c r="Y528" i="1"/>
  <c r="AL528" i="1" s="1"/>
  <c r="Q529" i="1"/>
  <c r="AD529" i="1" s="1"/>
  <c r="Y530" i="1"/>
  <c r="AL530" i="1" s="1"/>
  <c r="Q531" i="1"/>
  <c r="AD531" i="1" s="1"/>
  <c r="Y532" i="1"/>
  <c r="AL532" i="1" s="1"/>
  <c r="Q533" i="1"/>
  <c r="AD533" i="1" s="1"/>
  <c r="R509" i="1"/>
  <c r="AE509" i="1" s="1"/>
  <c r="Z514" i="1"/>
  <c r="AM514" i="1" s="1"/>
  <c r="R525" i="1"/>
  <c r="AE525" i="1" s="1"/>
  <c r="Z530" i="1"/>
  <c r="AM530" i="1" s="1"/>
  <c r="Z534" i="1"/>
  <c r="AM534" i="1" s="1"/>
  <c r="Y536" i="1"/>
  <c r="AL536" i="1" s="1"/>
  <c r="Y537" i="1"/>
  <c r="AL537" i="1" s="1"/>
  <c r="Q545" i="1"/>
  <c r="AD545" i="1" s="1"/>
  <c r="P546" i="1"/>
  <c r="AC546" i="1" s="1"/>
  <c r="S547" i="1"/>
  <c r="AF547" i="1" s="1"/>
  <c r="R548" i="1"/>
  <c r="AE548" i="1" s="1"/>
  <c r="V549" i="1"/>
  <c r="AI549" i="1" s="1"/>
  <c r="Y550" i="1"/>
  <c r="AL550" i="1" s="1"/>
  <c r="X551" i="1"/>
  <c r="AK551" i="1" s="1"/>
  <c r="Z553" i="1"/>
  <c r="AM553" i="1" s="1"/>
  <c r="Z565" i="1"/>
  <c r="AM565" i="1" s="1"/>
  <c r="Y566" i="1"/>
  <c r="AL566" i="1" s="1"/>
  <c r="V567" i="1"/>
  <c r="AI567" i="1" s="1"/>
  <c r="Q568" i="1"/>
  <c r="AD568" i="1" s="1"/>
  <c r="X571" i="1"/>
  <c r="AK571" i="1" s="1"/>
  <c r="T572" i="1"/>
  <c r="AG572" i="1" s="1"/>
  <c r="P573" i="1"/>
  <c r="AC573" i="1" s="1"/>
  <c r="Z575" i="1"/>
  <c r="AM575" i="1" s="1"/>
  <c r="W576" i="1"/>
  <c r="AJ576" i="1" s="1"/>
  <c r="Q577" i="1"/>
  <c r="AD577" i="1" s="1"/>
  <c r="W579" i="1"/>
  <c r="AJ579" i="1" s="1"/>
  <c r="P580" i="1"/>
  <c r="AC580" i="1" s="1"/>
  <c r="Z581" i="1"/>
  <c r="AM581" i="1" s="1"/>
  <c r="S582" i="1"/>
  <c r="AF582" i="1" s="1"/>
  <c r="V584" i="1"/>
  <c r="AI584" i="1" s="1"/>
  <c r="O585" i="1"/>
  <c r="AB585" i="1" s="1"/>
  <c r="Y586" i="1"/>
  <c r="AL586" i="1" s="1"/>
  <c r="R587" i="1"/>
  <c r="AE587" i="1" s="1"/>
  <c r="V589" i="1"/>
  <c r="AI589" i="1" s="1"/>
  <c r="O590" i="1"/>
  <c r="AB590" i="1" s="1"/>
  <c r="X591" i="1"/>
  <c r="AK591" i="1" s="1"/>
  <c r="P592" i="1"/>
  <c r="AC592" i="1" s="1"/>
  <c r="X593" i="1"/>
  <c r="AK593" i="1" s="1"/>
  <c r="P594" i="1"/>
  <c r="AC594" i="1" s="1"/>
  <c r="X595" i="1"/>
  <c r="AK595" i="1" s="1"/>
  <c r="P596" i="1"/>
  <c r="AC596" i="1" s="1"/>
  <c r="X597" i="1"/>
  <c r="AK597" i="1" s="1"/>
  <c r="P598" i="1"/>
  <c r="AC598" i="1" s="1"/>
  <c r="X599" i="1"/>
  <c r="AK599" i="1" s="1"/>
  <c r="P600" i="1"/>
  <c r="AC600" i="1" s="1"/>
  <c r="X601" i="1"/>
  <c r="AK601" i="1" s="1"/>
  <c r="P602" i="1"/>
  <c r="AC602" i="1" s="1"/>
  <c r="X603" i="1"/>
  <c r="AK603" i="1" s="1"/>
  <c r="P604" i="1"/>
  <c r="AC604" i="1" s="1"/>
  <c r="X605" i="1"/>
  <c r="AK605" i="1" s="1"/>
  <c r="P606" i="1"/>
  <c r="AC606" i="1" s="1"/>
  <c r="X607" i="1"/>
  <c r="AK607" i="1" s="1"/>
  <c r="P608" i="1"/>
  <c r="AC608" i="1" s="1"/>
  <c r="X609" i="1"/>
  <c r="AK609" i="1" s="1"/>
  <c r="P610" i="1"/>
  <c r="AC610" i="1" s="1"/>
  <c r="X611" i="1"/>
  <c r="AK611" i="1" s="1"/>
  <c r="P612" i="1"/>
  <c r="AC612" i="1" s="1"/>
  <c r="X613" i="1"/>
  <c r="AK613" i="1" s="1"/>
  <c r="P614" i="1"/>
  <c r="AC614" i="1" s="1"/>
  <c r="X615" i="1"/>
  <c r="AK615" i="1" s="1"/>
  <c r="P616" i="1"/>
  <c r="AC616" i="1" s="1"/>
  <c r="X617" i="1"/>
  <c r="AK617" i="1" s="1"/>
  <c r="P618" i="1"/>
  <c r="AC618" i="1" s="1"/>
  <c r="X619" i="1"/>
  <c r="AK619" i="1" s="1"/>
  <c r="P620" i="1"/>
  <c r="AC620" i="1" s="1"/>
  <c r="X621" i="1"/>
  <c r="AK621" i="1" s="1"/>
  <c r="P622" i="1"/>
  <c r="AC622" i="1" s="1"/>
  <c r="X623" i="1"/>
  <c r="AK623" i="1" s="1"/>
  <c r="P624" i="1"/>
  <c r="AC624" i="1" s="1"/>
  <c r="X625" i="1"/>
  <c r="AK625" i="1" s="1"/>
  <c r="P626" i="1"/>
  <c r="AC626" i="1" s="1"/>
  <c r="X627" i="1"/>
  <c r="AK627" i="1" s="1"/>
  <c r="P628" i="1"/>
  <c r="AC628" i="1" s="1"/>
  <c r="X629" i="1"/>
  <c r="AK629" i="1" s="1"/>
  <c r="P630" i="1"/>
  <c r="AC630" i="1" s="1"/>
  <c r="X631" i="1"/>
  <c r="AK631" i="1" s="1"/>
  <c r="P632" i="1"/>
  <c r="AC632" i="1" s="1"/>
  <c r="X633" i="1"/>
  <c r="AK633" i="1" s="1"/>
  <c r="P634" i="1"/>
  <c r="AC634" i="1" s="1"/>
  <c r="X635" i="1"/>
  <c r="AK635" i="1" s="1"/>
  <c r="P636" i="1"/>
  <c r="AC636" i="1" s="1"/>
  <c r="X637" i="1"/>
  <c r="AK637" i="1" s="1"/>
  <c r="P638" i="1"/>
  <c r="AC638" i="1" s="1"/>
  <c r="X639" i="1"/>
  <c r="AK639" i="1" s="1"/>
  <c r="P640" i="1"/>
  <c r="AC640" i="1" s="1"/>
  <c r="X641" i="1"/>
  <c r="AK641" i="1" s="1"/>
  <c r="P642" i="1"/>
  <c r="AC642" i="1" s="1"/>
  <c r="X643" i="1"/>
  <c r="AK643" i="1" s="1"/>
  <c r="P644" i="1"/>
  <c r="AC644" i="1" s="1"/>
  <c r="X645" i="1"/>
  <c r="AK645" i="1" s="1"/>
  <c r="P646" i="1"/>
  <c r="AC646" i="1" s="1"/>
  <c r="X647" i="1"/>
  <c r="AK647" i="1" s="1"/>
  <c r="P648" i="1"/>
  <c r="AC648" i="1" s="1"/>
  <c r="X649" i="1"/>
  <c r="AK649" i="1" s="1"/>
  <c r="P650" i="1"/>
  <c r="AC650" i="1" s="1"/>
  <c r="X651" i="1"/>
  <c r="AK651" i="1" s="1"/>
  <c r="P652" i="1"/>
  <c r="AC652" i="1" s="1"/>
  <c r="X653" i="1"/>
  <c r="AK653" i="1" s="1"/>
  <c r="P654" i="1"/>
  <c r="AC654" i="1" s="1"/>
  <c r="X655" i="1"/>
  <c r="AK655" i="1" s="1"/>
  <c r="P656" i="1"/>
  <c r="AC656" i="1" s="1"/>
  <c r="X657" i="1"/>
  <c r="AK657" i="1" s="1"/>
  <c r="P658" i="1"/>
  <c r="AC658" i="1" s="1"/>
  <c r="X659" i="1"/>
  <c r="AK659" i="1" s="1"/>
  <c r="P660" i="1"/>
  <c r="AC660" i="1" s="1"/>
  <c r="X661" i="1"/>
  <c r="AK661" i="1" s="1"/>
  <c r="P662" i="1"/>
  <c r="AC662" i="1" s="1"/>
  <c r="P477" i="1"/>
  <c r="AC477" i="1" s="1"/>
  <c r="S509" i="1"/>
  <c r="AF509" i="1" s="1"/>
  <c r="S525" i="1"/>
  <c r="AF525" i="1" s="1"/>
  <c r="Z536" i="1"/>
  <c r="AM536" i="1" s="1"/>
  <c r="O543" i="1"/>
  <c r="AB543" i="1" s="1"/>
  <c r="O544" i="1"/>
  <c r="AB544" i="1" s="1"/>
  <c r="R545" i="1"/>
  <c r="AE545" i="1" s="1"/>
  <c r="Q546" i="1"/>
  <c r="AD546" i="1" s="1"/>
  <c r="U547" i="1"/>
  <c r="AH547" i="1" s="1"/>
  <c r="W548" i="1"/>
  <c r="AJ548" i="1" s="1"/>
  <c r="W549" i="1"/>
  <c r="AJ549" i="1" s="1"/>
  <c r="Z550" i="1"/>
  <c r="AM550" i="1" s="1"/>
  <c r="Y551" i="1"/>
  <c r="AL551" i="1" s="1"/>
  <c r="Z566" i="1"/>
  <c r="AM566" i="1" s="1"/>
  <c r="W567" i="1"/>
  <c r="AJ567" i="1" s="1"/>
  <c r="R568" i="1"/>
  <c r="AE568" i="1" s="1"/>
  <c r="O569" i="1"/>
  <c r="AB569" i="1" s="1"/>
  <c r="Y571" i="1"/>
  <c r="AL571" i="1" s="1"/>
  <c r="U572" i="1"/>
  <c r="AH572" i="1" s="1"/>
  <c r="Q573" i="1"/>
  <c r="AD573" i="1" s="1"/>
  <c r="X576" i="1"/>
  <c r="AK576" i="1" s="1"/>
  <c r="R577" i="1"/>
  <c r="AE577" i="1" s="1"/>
  <c r="X579" i="1"/>
  <c r="AK579" i="1" s="1"/>
  <c r="Q580" i="1"/>
  <c r="AD580" i="1" s="1"/>
  <c r="T582" i="1"/>
  <c r="AG582" i="1" s="1"/>
  <c r="W584" i="1"/>
  <c r="AJ584" i="1" s="1"/>
  <c r="P585" i="1"/>
  <c r="AC585" i="1" s="1"/>
  <c r="Z586" i="1"/>
  <c r="AM586" i="1" s="1"/>
  <c r="S587" i="1"/>
  <c r="AF587" i="1" s="1"/>
  <c r="W589" i="1"/>
  <c r="AJ589" i="1" s="1"/>
  <c r="P590" i="1"/>
  <c r="AC590" i="1" s="1"/>
  <c r="Y591" i="1"/>
  <c r="AL591" i="1" s="1"/>
  <c r="Q592" i="1"/>
  <c r="AD592" i="1" s="1"/>
  <c r="Y593" i="1"/>
  <c r="AL593" i="1" s="1"/>
  <c r="Q594" i="1"/>
  <c r="AD594" i="1" s="1"/>
  <c r="Y595" i="1"/>
  <c r="AL595" i="1" s="1"/>
  <c r="Q596" i="1"/>
  <c r="AD596" i="1" s="1"/>
  <c r="Y597" i="1"/>
  <c r="AL597" i="1" s="1"/>
  <c r="Q598" i="1"/>
  <c r="AD598" i="1" s="1"/>
  <c r="Y599" i="1"/>
  <c r="AL599" i="1" s="1"/>
  <c r="Q600" i="1"/>
  <c r="AD600" i="1" s="1"/>
  <c r="Y601" i="1"/>
  <c r="AL601" i="1" s="1"/>
  <c r="Q602" i="1"/>
  <c r="AD602" i="1" s="1"/>
  <c r="Y603" i="1"/>
  <c r="AL603" i="1" s="1"/>
  <c r="Q604" i="1"/>
  <c r="AD604" i="1" s="1"/>
  <c r="Y605" i="1"/>
  <c r="AL605" i="1" s="1"/>
  <c r="Q606" i="1"/>
  <c r="AD606" i="1" s="1"/>
  <c r="Y607" i="1"/>
  <c r="AL607" i="1" s="1"/>
  <c r="Q608" i="1"/>
  <c r="AD608" i="1" s="1"/>
  <c r="Y609" i="1"/>
  <c r="AL609" i="1" s="1"/>
  <c r="Q610" i="1"/>
  <c r="AD610" i="1" s="1"/>
  <c r="Y611" i="1"/>
  <c r="AL611" i="1" s="1"/>
  <c r="Q612" i="1"/>
  <c r="AD612" i="1" s="1"/>
  <c r="Y613" i="1"/>
  <c r="AL613" i="1" s="1"/>
  <c r="Q614" i="1"/>
  <c r="AD614" i="1" s="1"/>
  <c r="Y615" i="1"/>
  <c r="AL615" i="1" s="1"/>
  <c r="Q616" i="1"/>
  <c r="AD616" i="1" s="1"/>
  <c r="Y617" i="1"/>
  <c r="AL617" i="1" s="1"/>
  <c r="Q618" i="1"/>
  <c r="AD618" i="1" s="1"/>
  <c r="U419" i="1"/>
  <c r="AH419" i="1" s="1"/>
  <c r="U459" i="1"/>
  <c r="AH459" i="1" s="1"/>
  <c r="Q478" i="1"/>
  <c r="AD478" i="1" s="1"/>
  <c r="X492" i="1"/>
  <c r="AK492" i="1" s="1"/>
  <c r="Z498" i="1"/>
  <c r="AM498" i="1" s="1"/>
  <c r="Z504" i="1"/>
  <c r="AM504" i="1" s="1"/>
  <c r="R515" i="1"/>
  <c r="AE515" i="1" s="1"/>
  <c r="Z520" i="1"/>
  <c r="AM520" i="1" s="1"/>
  <c r="R531" i="1"/>
  <c r="AE531" i="1" s="1"/>
  <c r="Q543" i="1"/>
  <c r="AD543" i="1" s="1"/>
  <c r="P544" i="1"/>
  <c r="AC544" i="1" s="1"/>
  <c r="S545" i="1"/>
  <c r="AF545" i="1" s="1"/>
  <c r="R546" i="1"/>
  <c r="AE546" i="1" s="1"/>
  <c r="V547" i="1"/>
  <c r="AI547" i="1" s="1"/>
  <c r="Y548" i="1"/>
  <c r="AL548" i="1" s="1"/>
  <c r="X549" i="1"/>
  <c r="AK549" i="1" s="1"/>
  <c r="Z551" i="1"/>
  <c r="AM551" i="1" s="1"/>
  <c r="O559" i="1"/>
  <c r="AB559" i="1" s="1"/>
  <c r="X567" i="1"/>
  <c r="AK567" i="1" s="1"/>
  <c r="T568" i="1"/>
  <c r="AG568" i="1" s="1"/>
  <c r="P569" i="1"/>
  <c r="AC569" i="1" s="1"/>
  <c r="Z571" i="1"/>
  <c r="AM571" i="1" s="1"/>
  <c r="W572" i="1"/>
  <c r="AJ572" i="1" s="1"/>
  <c r="R573" i="1"/>
  <c r="AE573" i="1" s="1"/>
  <c r="Y576" i="1"/>
  <c r="AL576" i="1" s="1"/>
  <c r="S577" i="1"/>
  <c r="AF577" i="1" s="1"/>
  <c r="Y579" i="1"/>
  <c r="AL579" i="1" s="1"/>
  <c r="R580" i="1"/>
  <c r="AE580" i="1" s="1"/>
  <c r="U582" i="1"/>
  <c r="AH582" i="1" s="1"/>
  <c r="X584" i="1"/>
  <c r="AK584" i="1" s="1"/>
  <c r="Q585" i="1"/>
  <c r="AD585" i="1" s="1"/>
  <c r="U587" i="1"/>
  <c r="AH587" i="1" s="1"/>
  <c r="X589" i="1"/>
  <c r="AK589" i="1" s="1"/>
  <c r="Q590" i="1"/>
  <c r="AD590" i="1" s="1"/>
  <c r="Z591" i="1"/>
  <c r="AM591" i="1" s="1"/>
  <c r="R592" i="1"/>
  <c r="AE592" i="1" s="1"/>
  <c r="Z593" i="1"/>
  <c r="AM593" i="1" s="1"/>
  <c r="R594" i="1"/>
  <c r="AE594" i="1" s="1"/>
  <c r="Z595" i="1"/>
  <c r="AM595" i="1" s="1"/>
  <c r="R596" i="1"/>
  <c r="AE596" i="1" s="1"/>
  <c r="Z597" i="1"/>
  <c r="AM597" i="1" s="1"/>
  <c r="R598" i="1"/>
  <c r="AE598" i="1" s="1"/>
  <c r="Z599" i="1"/>
  <c r="AM599" i="1" s="1"/>
  <c r="R600" i="1"/>
  <c r="AE600" i="1" s="1"/>
  <c r="Z601" i="1"/>
  <c r="AM601" i="1" s="1"/>
  <c r="R602" i="1"/>
  <c r="AE602" i="1" s="1"/>
  <c r="Z603" i="1"/>
  <c r="AM603" i="1" s="1"/>
  <c r="R604" i="1"/>
  <c r="AE604" i="1" s="1"/>
  <c r="Z605" i="1"/>
  <c r="AM605" i="1" s="1"/>
  <c r="R606" i="1"/>
  <c r="AE606" i="1" s="1"/>
  <c r="Z607" i="1"/>
  <c r="AM607" i="1" s="1"/>
  <c r="R608" i="1"/>
  <c r="AE608" i="1" s="1"/>
  <c r="Z609" i="1"/>
  <c r="AM609" i="1" s="1"/>
  <c r="R610" i="1"/>
  <c r="AE610" i="1" s="1"/>
  <c r="Z611" i="1"/>
  <c r="AM611" i="1" s="1"/>
  <c r="R612" i="1"/>
  <c r="AE612" i="1" s="1"/>
  <c r="Z613" i="1"/>
  <c r="AM613" i="1" s="1"/>
  <c r="R614" i="1"/>
  <c r="AE614" i="1" s="1"/>
  <c r="Z615" i="1"/>
  <c r="AM615" i="1" s="1"/>
  <c r="V419" i="1"/>
  <c r="AI419" i="1" s="1"/>
  <c r="V459" i="1"/>
  <c r="AI459" i="1" s="1"/>
  <c r="R478" i="1"/>
  <c r="AE478" i="1" s="1"/>
  <c r="Y492" i="1"/>
  <c r="AL492" i="1" s="1"/>
  <c r="S515" i="1"/>
  <c r="AF515" i="1" s="1"/>
  <c r="S531" i="1"/>
  <c r="AF531" i="1" s="1"/>
  <c r="O535" i="1"/>
  <c r="AB535" i="1" s="1"/>
  <c r="O541" i="1"/>
  <c r="AB541" i="1" s="1"/>
  <c r="O542" i="1"/>
  <c r="AB542" i="1" s="1"/>
  <c r="R543" i="1"/>
  <c r="AE543" i="1" s="1"/>
  <c r="Q544" i="1"/>
  <c r="AD544" i="1" s="1"/>
  <c r="U545" i="1"/>
  <c r="AH545" i="1" s="1"/>
  <c r="W546" i="1"/>
  <c r="AJ546" i="1" s="1"/>
  <c r="W547" i="1"/>
  <c r="AJ547" i="1" s="1"/>
  <c r="Z548" i="1"/>
  <c r="AM548" i="1" s="1"/>
  <c r="Y549" i="1"/>
  <c r="AL549" i="1" s="1"/>
  <c r="O557" i="1"/>
  <c r="AB557" i="1" s="1"/>
  <c r="O558" i="1"/>
  <c r="AB558" i="1" s="1"/>
  <c r="P559" i="1"/>
  <c r="AC559" i="1" s="1"/>
  <c r="O561" i="1"/>
  <c r="AB561" i="1" s="1"/>
  <c r="Y567" i="1"/>
  <c r="AL567" i="1" s="1"/>
  <c r="U568" i="1"/>
  <c r="AH568" i="1" s="1"/>
  <c r="Q569" i="1"/>
  <c r="AD569" i="1" s="1"/>
  <c r="X572" i="1"/>
  <c r="AK572" i="1" s="1"/>
  <c r="S573" i="1"/>
  <c r="AF573" i="1" s="1"/>
  <c r="O574" i="1"/>
  <c r="AB574" i="1" s="1"/>
  <c r="Z576" i="1"/>
  <c r="AM576" i="1" s="1"/>
  <c r="U577" i="1"/>
  <c r="AH577" i="1" s="1"/>
  <c r="O578" i="1"/>
  <c r="AB578" i="1" s="1"/>
  <c r="Z579" i="1"/>
  <c r="AM579" i="1" s="1"/>
  <c r="S580" i="1"/>
  <c r="AF580" i="1" s="1"/>
  <c r="V582" i="1"/>
  <c r="AI582" i="1" s="1"/>
  <c r="O583" i="1"/>
  <c r="AB583" i="1" s="1"/>
  <c r="Y584" i="1"/>
  <c r="AL584" i="1" s="1"/>
  <c r="R585" i="1"/>
  <c r="AE585" i="1" s="1"/>
  <c r="V587" i="1"/>
  <c r="AI587" i="1" s="1"/>
  <c r="O588" i="1"/>
  <c r="AB588" i="1" s="1"/>
  <c r="Y589" i="1"/>
  <c r="AL589" i="1" s="1"/>
  <c r="R590" i="1"/>
  <c r="AE590" i="1" s="1"/>
  <c r="S592" i="1"/>
  <c r="AF592" i="1" s="1"/>
  <c r="S594" i="1"/>
  <c r="AF594" i="1" s="1"/>
  <c r="S596" i="1"/>
  <c r="AF596" i="1" s="1"/>
  <c r="S598" i="1"/>
  <c r="AF598" i="1" s="1"/>
  <c r="S600" i="1"/>
  <c r="AF600" i="1" s="1"/>
  <c r="S602" i="1"/>
  <c r="AF602" i="1" s="1"/>
  <c r="S604" i="1"/>
  <c r="AF604" i="1" s="1"/>
  <c r="S606" i="1"/>
  <c r="AF606" i="1" s="1"/>
  <c r="S608" i="1"/>
  <c r="AF608" i="1" s="1"/>
  <c r="S610" i="1"/>
  <c r="AF610" i="1" s="1"/>
  <c r="S612" i="1"/>
  <c r="AF612" i="1" s="1"/>
  <c r="S614" i="1"/>
  <c r="AF614" i="1" s="1"/>
  <c r="S616" i="1"/>
  <c r="AF616" i="1" s="1"/>
  <c r="S618" i="1"/>
  <c r="AF618" i="1" s="1"/>
  <c r="P461" i="1"/>
  <c r="AC461" i="1" s="1"/>
  <c r="T479" i="1"/>
  <c r="AG479" i="1" s="1"/>
  <c r="R493" i="1"/>
  <c r="AE493" i="1" s="1"/>
  <c r="T499" i="1"/>
  <c r="AG499" i="1" s="1"/>
  <c r="R505" i="1"/>
  <c r="AE505" i="1" s="1"/>
  <c r="Z510" i="1"/>
  <c r="AM510" i="1" s="1"/>
  <c r="R521" i="1"/>
  <c r="AE521" i="1" s="1"/>
  <c r="Z526" i="1"/>
  <c r="AM526" i="1" s="1"/>
  <c r="Q535" i="1"/>
  <c r="AD535" i="1" s="1"/>
  <c r="Q541" i="1"/>
  <c r="AD541" i="1" s="1"/>
  <c r="P542" i="1"/>
  <c r="AC542" i="1" s="1"/>
  <c r="S543" i="1"/>
  <c r="AF543" i="1" s="1"/>
  <c r="R544" i="1"/>
  <c r="AE544" i="1" s="1"/>
  <c r="V545" i="1"/>
  <c r="AI545" i="1" s="1"/>
  <c r="Y546" i="1"/>
  <c r="AL546" i="1" s="1"/>
  <c r="X547" i="1"/>
  <c r="AK547" i="1" s="1"/>
  <c r="Z549" i="1"/>
  <c r="AM549" i="1" s="1"/>
  <c r="Q557" i="1"/>
  <c r="AD557" i="1" s="1"/>
  <c r="P558" i="1"/>
  <c r="AC558" i="1" s="1"/>
  <c r="Q559" i="1"/>
  <c r="AD559" i="1" s="1"/>
  <c r="O560" i="1"/>
  <c r="AB560" i="1" s="1"/>
  <c r="P561" i="1"/>
  <c r="AC561" i="1" s="1"/>
  <c r="O563" i="1"/>
  <c r="AB563" i="1" s="1"/>
  <c r="Z567" i="1"/>
  <c r="AM567" i="1" s="1"/>
  <c r="W568" i="1"/>
  <c r="AJ568" i="1" s="1"/>
  <c r="R569" i="1"/>
  <c r="AE569" i="1" s="1"/>
  <c r="Y572" i="1"/>
  <c r="AL572" i="1" s="1"/>
  <c r="U573" i="1"/>
  <c r="AH573" i="1" s="1"/>
  <c r="P574" i="1"/>
  <c r="AC574" i="1" s="1"/>
  <c r="V577" i="1"/>
  <c r="AI577" i="1" s="1"/>
  <c r="P578" i="1"/>
  <c r="AC578" i="1" s="1"/>
  <c r="T580" i="1"/>
  <c r="AG580" i="1" s="1"/>
  <c r="W582" i="1"/>
  <c r="AJ582" i="1" s="1"/>
  <c r="P583" i="1"/>
  <c r="AC583" i="1" s="1"/>
  <c r="Z584" i="1"/>
  <c r="AM584" i="1" s="1"/>
  <c r="S585" i="1"/>
  <c r="AF585" i="1" s="1"/>
  <c r="W587" i="1"/>
  <c r="AJ587" i="1" s="1"/>
  <c r="P588" i="1"/>
  <c r="AC588" i="1" s="1"/>
  <c r="Z589" i="1"/>
  <c r="AM589" i="1" s="1"/>
  <c r="S590" i="1"/>
  <c r="AF590" i="1" s="1"/>
  <c r="T592" i="1"/>
  <c r="AG592" i="1" s="1"/>
  <c r="T594" i="1"/>
  <c r="AG594" i="1" s="1"/>
  <c r="T596" i="1"/>
  <c r="AG596" i="1" s="1"/>
  <c r="T598" i="1"/>
  <c r="AG598" i="1" s="1"/>
  <c r="T600" i="1"/>
  <c r="AG600" i="1" s="1"/>
  <c r="T602" i="1"/>
  <c r="AG602" i="1" s="1"/>
  <c r="T604" i="1"/>
  <c r="AG604" i="1" s="1"/>
  <c r="T606" i="1"/>
  <c r="AG606" i="1" s="1"/>
  <c r="T608" i="1"/>
  <c r="AG608" i="1" s="1"/>
  <c r="T610" i="1"/>
  <c r="AG610" i="1" s="1"/>
  <c r="T612" i="1"/>
  <c r="AG612" i="1" s="1"/>
  <c r="T614" i="1"/>
  <c r="AG614" i="1" s="1"/>
  <c r="T616" i="1"/>
  <c r="AG616" i="1" s="1"/>
  <c r="T461" i="1"/>
  <c r="AG461" i="1" s="1"/>
  <c r="U479" i="1"/>
  <c r="AH479" i="1" s="1"/>
  <c r="S493" i="1"/>
  <c r="AF493" i="1" s="1"/>
  <c r="U499" i="1"/>
  <c r="AH499" i="1" s="1"/>
  <c r="S505" i="1"/>
  <c r="AF505" i="1" s="1"/>
  <c r="S521" i="1"/>
  <c r="AF521" i="1" s="1"/>
  <c r="R535" i="1"/>
  <c r="AE535" i="1" s="1"/>
  <c r="O539" i="1"/>
  <c r="AB539" i="1" s="1"/>
  <c r="O540" i="1"/>
  <c r="AB540" i="1" s="1"/>
  <c r="R541" i="1"/>
  <c r="AE541" i="1" s="1"/>
  <c r="Q542" i="1"/>
  <c r="AD542" i="1" s="1"/>
  <c r="U543" i="1"/>
  <c r="AH543" i="1" s="1"/>
  <c r="W544" i="1"/>
  <c r="AJ544" i="1" s="1"/>
  <c r="W545" i="1"/>
  <c r="AJ545" i="1" s="1"/>
  <c r="Z546" i="1"/>
  <c r="AM546" i="1" s="1"/>
  <c r="Y547" i="1"/>
  <c r="AL547" i="1" s="1"/>
  <c r="O555" i="1"/>
  <c r="AB555" i="1" s="1"/>
  <c r="O556" i="1"/>
  <c r="AB556" i="1" s="1"/>
  <c r="R557" i="1"/>
  <c r="AE557" i="1" s="1"/>
  <c r="Q558" i="1"/>
  <c r="AD558" i="1" s="1"/>
  <c r="R559" i="1"/>
  <c r="AE559" i="1" s="1"/>
  <c r="P560" i="1"/>
  <c r="AC560" i="1" s="1"/>
  <c r="Q561" i="1"/>
  <c r="AD561" i="1" s="1"/>
  <c r="O562" i="1"/>
  <c r="AB562" i="1" s="1"/>
  <c r="P563" i="1"/>
  <c r="AC563" i="1" s="1"/>
  <c r="X568" i="1"/>
  <c r="AK568" i="1" s="1"/>
  <c r="S569" i="1"/>
  <c r="AF569" i="1" s="1"/>
  <c r="O570" i="1"/>
  <c r="AB570" i="1" s="1"/>
  <c r="Z572" i="1"/>
  <c r="AM572" i="1" s="1"/>
  <c r="V573" i="1"/>
  <c r="AI573" i="1" s="1"/>
  <c r="Q574" i="1"/>
  <c r="AD574" i="1" s="1"/>
  <c r="W577" i="1"/>
  <c r="AJ577" i="1" s="1"/>
  <c r="Q578" i="1"/>
  <c r="AD578" i="1" s="1"/>
  <c r="U580" i="1"/>
  <c r="AH580" i="1" s="1"/>
  <c r="X582" i="1"/>
  <c r="AK582" i="1" s="1"/>
  <c r="Q583" i="1"/>
  <c r="AD583" i="1" s="1"/>
  <c r="U585" i="1"/>
  <c r="AH585" i="1" s="1"/>
  <c r="X587" i="1"/>
  <c r="AK587" i="1" s="1"/>
  <c r="Q588" i="1"/>
  <c r="AD588" i="1" s="1"/>
  <c r="T590" i="1"/>
  <c r="AG590" i="1" s="1"/>
  <c r="U592" i="1"/>
  <c r="AH592" i="1" s="1"/>
  <c r="U594" i="1"/>
  <c r="AH594" i="1" s="1"/>
  <c r="U596" i="1"/>
  <c r="AH596" i="1" s="1"/>
  <c r="U598" i="1"/>
  <c r="AH598" i="1" s="1"/>
  <c r="U600" i="1"/>
  <c r="AH600" i="1" s="1"/>
  <c r="U602" i="1"/>
  <c r="AH602" i="1" s="1"/>
  <c r="U604" i="1"/>
  <c r="AH604" i="1" s="1"/>
  <c r="U606" i="1"/>
  <c r="AH606" i="1" s="1"/>
  <c r="U608" i="1"/>
  <c r="AH608" i="1" s="1"/>
  <c r="U610" i="1"/>
  <c r="AH610" i="1" s="1"/>
  <c r="U612" i="1"/>
  <c r="AH612" i="1" s="1"/>
  <c r="S480" i="1"/>
  <c r="AF480" i="1" s="1"/>
  <c r="R511" i="1"/>
  <c r="AE511" i="1" s="1"/>
  <c r="Z516" i="1"/>
  <c r="AM516" i="1" s="1"/>
  <c r="R527" i="1"/>
  <c r="AE527" i="1" s="1"/>
  <c r="Z532" i="1"/>
  <c r="AM532" i="1" s="1"/>
  <c r="S535" i="1"/>
  <c r="AF535" i="1" s="1"/>
  <c r="Q539" i="1"/>
  <c r="AD539" i="1" s="1"/>
  <c r="P540" i="1"/>
  <c r="AC540" i="1" s="1"/>
  <c r="S541" i="1"/>
  <c r="AF541" i="1" s="1"/>
  <c r="R542" i="1"/>
  <c r="AE542" i="1" s="1"/>
  <c r="V543" i="1"/>
  <c r="AI543" i="1" s="1"/>
  <c r="Y544" i="1"/>
  <c r="AL544" i="1" s="1"/>
  <c r="X545" i="1"/>
  <c r="AK545" i="1" s="1"/>
  <c r="Z547" i="1"/>
  <c r="AM547" i="1" s="1"/>
  <c r="Q555" i="1"/>
  <c r="AD555" i="1" s="1"/>
  <c r="P556" i="1"/>
  <c r="AC556" i="1" s="1"/>
  <c r="S557" i="1"/>
  <c r="AF557" i="1" s="1"/>
  <c r="R558" i="1"/>
  <c r="AE558" i="1" s="1"/>
  <c r="S559" i="1"/>
  <c r="AF559" i="1" s="1"/>
  <c r="Q560" i="1"/>
  <c r="AD560" i="1" s="1"/>
  <c r="R561" i="1"/>
  <c r="AE561" i="1" s="1"/>
  <c r="P562" i="1"/>
  <c r="AC562" i="1" s="1"/>
  <c r="Q563" i="1"/>
  <c r="AD563" i="1" s="1"/>
  <c r="O564" i="1"/>
  <c r="AB564" i="1" s="1"/>
  <c r="O565" i="1"/>
  <c r="AB565" i="1" s="1"/>
  <c r="Y568" i="1"/>
  <c r="AL568" i="1" s="1"/>
  <c r="U569" i="1"/>
  <c r="AH569" i="1" s="1"/>
  <c r="P570" i="1"/>
  <c r="AC570" i="1" s="1"/>
  <c r="W573" i="1"/>
  <c r="AJ573" i="1" s="1"/>
  <c r="R574" i="1"/>
  <c r="AE574" i="1" s="1"/>
  <c r="O575" i="1"/>
  <c r="AB575" i="1" s="1"/>
  <c r="X577" i="1"/>
  <c r="AK577" i="1" s="1"/>
  <c r="R578" i="1"/>
  <c r="AE578" i="1" s="1"/>
  <c r="V580" i="1"/>
  <c r="AI580" i="1" s="1"/>
  <c r="O581" i="1"/>
  <c r="AB581" i="1" s="1"/>
  <c r="Y582" i="1"/>
  <c r="AL582" i="1" s="1"/>
  <c r="R583" i="1"/>
  <c r="AE583" i="1" s="1"/>
  <c r="V585" i="1"/>
  <c r="AI585" i="1" s="1"/>
  <c r="O586" i="1"/>
  <c r="AB586" i="1" s="1"/>
  <c r="Y587" i="1"/>
  <c r="AL587" i="1" s="1"/>
  <c r="R588" i="1"/>
  <c r="AE588" i="1" s="1"/>
  <c r="U590" i="1"/>
  <c r="AH590" i="1" s="1"/>
  <c r="V592" i="1"/>
  <c r="AI592" i="1" s="1"/>
  <c r="V594" i="1"/>
  <c r="AI594" i="1" s="1"/>
  <c r="V596" i="1"/>
  <c r="AI596" i="1" s="1"/>
  <c r="V598" i="1"/>
  <c r="AI598" i="1" s="1"/>
  <c r="V600" i="1"/>
  <c r="AI600" i="1" s="1"/>
  <c r="V602" i="1"/>
  <c r="AI602" i="1" s="1"/>
  <c r="V604" i="1"/>
  <c r="AI604" i="1" s="1"/>
  <c r="V606" i="1"/>
  <c r="AI606" i="1" s="1"/>
  <c r="V608" i="1"/>
  <c r="AI608" i="1" s="1"/>
  <c r="V610" i="1"/>
  <c r="AI610" i="1" s="1"/>
  <c r="T480" i="1"/>
  <c r="AG480" i="1" s="1"/>
  <c r="P500" i="1"/>
  <c r="AC500" i="1" s="1"/>
  <c r="S511" i="1"/>
  <c r="AF511" i="1" s="1"/>
  <c r="S527" i="1"/>
  <c r="AF527" i="1" s="1"/>
  <c r="X535" i="1"/>
  <c r="AK535" i="1" s="1"/>
  <c r="O538" i="1"/>
  <c r="AB538" i="1" s="1"/>
  <c r="R539" i="1"/>
  <c r="AE539" i="1" s="1"/>
  <c r="Q540" i="1"/>
  <c r="AD540" i="1" s="1"/>
  <c r="U541" i="1"/>
  <c r="AH541" i="1" s="1"/>
  <c r="W542" i="1"/>
  <c r="AJ542" i="1" s="1"/>
  <c r="W543" i="1"/>
  <c r="AJ543" i="1" s="1"/>
  <c r="Z544" i="1"/>
  <c r="AM544" i="1" s="1"/>
  <c r="Y545" i="1"/>
  <c r="AL545" i="1" s="1"/>
  <c r="O553" i="1"/>
  <c r="AB553" i="1" s="1"/>
  <c r="O554" i="1"/>
  <c r="AB554" i="1" s="1"/>
  <c r="R555" i="1"/>
  <c r="AE555" i="1" s="1"/>
  <c r="Q556" i="1"/>
  <c r="AD556" i="1" s="1"/>
  <c r="U557" i="1"/>
  <c r="AH557" i="1" s="1"/>
  <c r="W558" i="1"/>
  <c r="AJ558" i="1" s="1"/>
  <c r="U559" i="1"/>
  <c r="AH559" i="1" s="1"/>
  <c r="R560" i="1"/>
  <c r="AE560" i="1" s="1"/>
  <c r="S561" i="1"/>
  <c r="AF561" i="1" s="1"/>
  <c r="Q562" i="1"/>
  <c r="AD562" i="1" s="1"/>
  <c r="R563" i="1"/>
  <c r="AE563" i="1" s="1"/>
  <c r="P564" i="1"/>
  <c r="AC564" i="1" s="1"/>
  <c r="P565" i="1"/>
  <c r="AC565" i="1" s="1"/>
  <c r="Z568" i="1"/>
  <c r="AM568" i="1" s="1"/>
  <c r="V569" i="1"/>
  <c r="AI569" i="1" s="1"/>
  <c r="Q570" i="1"/>
  <c r="AD570" i="1" s="1"/>
  <c r="X573" i="1"/>
  <c r="AK573" i="1" s="1"/>
  <c r="T574" i="1"/>
  <c r="AG574" i="1" s="1"/>
  <c r="P575" i="1"/>
  <c r="AC575" i="1" s="1"/>
  <c r="Y577" i="1"/>
  <c r="AL577" i="1" s="1"/>
  <c r="T578" i="1"/>
  <c r="AG578" i="1" s="1"/>
  <c r="W580" i="1"/>
  <c r="AJ580" i="1" s="1"/>
  <c r="P581" i="1"/>
  <c r="AC581" i="1" s="1"/>
  <c r="Z582" i="1"/>
  <c r="AM582" i="1" s="1"/>
  <c r="S583" i="1"/>
  <c r="AF583" i="1" s="1"/>
  <c r="W585" i="1"/>
  <c r="AJ585" i="1" s="1"/>
  <c r="P586" i="1"/>
  <c r="AC586" i="1" s="1"/>
  <c r="Z587" i="1"/>
  <c r="AM587" i="1" s="1"/>
  <c r="S588" i="1"/>
  <c r="AF588" i="1" s="1"/>
  <c r="V590" i="1"/>
  <c r="AI590" i="1" s="1"/>
  <c r="O591" i="1"/>
  <c r="AB591" i="1" s="1"/>
  <c r="W592" i="1"/>
  <c r="AJ592" i="1" s="1"/>
  <c r="O593" i="1"/>
  <c r="AB593" i="1" s="1"/>
  <c r="W594" i="1"/>
  <c r="AJ594" i="1" s="1"/>
  <c r="O595" i="1"/>
  <c r="AB595" i="1" s="1"/>
  <c r="W596" i="1"/>
  <c r="AJ596" i="1" s="1"/>
  <c r="O597" i="1"/>
  <c r="AB597" i="1" s="1"/>
  <c r="W598" i="1"/>
  <c r="AJ598" i="1" s="1"/>
  <c r="O599" i="1"/>
  <c r="AB599" i="1" s="1"/>
  <c r="W600" i="1"/>
  <c r="AJ600" i="1" s="1"/>
  <c r="O601" i="1"/>
  <c r="AB601" i="1" s="1"/>
  <c r="W602" i="1"/>
  <c r="AJ602" i="1" s="1"/>
  <c r="O603" i="1"/>
  <c r="AB603" i="1" s="1"/>
  <c r="W604" i="1"/>
  <c r="AJ604" i="1" s="1"/>
  <c r="O605" i="1"/>
  <c r="AB605" i="1" s="1"/>
  <c r="W606" i="1"/>
  <c r="AJ606" i="1" s="1"/>
  <c r="O607" i="1"/>
  <c r="AB607" i="1" s="1"/>
  <c r="W608" i="1"/>
  <c r="AJ608" i="1" s="1"/>
  <c r="O609" i="1"/>
  <c r="AB609" i="1" s="1"/>
  <c r="W610" i="1"/>
  <c r="AJ610" i="1" s="1"/>
  <c r="O611" i="1"/>
  <c r="AB611" i="1" s="1"/>
  <c r="W612" i="1"/>
  <c r="AJ612" i="1" s="1"/>
  <c r="O613" i="1"/>
  <c r="AB613" i="1" s="1"/>
  <c r="W614" i="1"/>
  <c r="AJ614" i="1" s="1"/>
  <c r="O615" i="1"/>
  <c r="AB615" i="1" s="1"/>
  <c r="W616" i="1"/>
  <c r="AJ616" i="1" s="1"/>
  <c r="O617" i="1"/>
  <c r="AB617" i="1" s="1"/>
  <c r="W618" i="1"/>
  <c r="AJ618" i="1" s="1"/>
  <c r="O619" i="1"/>
  <c r="AB619" i="1" s="1"/>
  <c r="W620" i="1"/>
  <c r="AJ620" i="1" s="1"/>
  <c r="O621" i="1"/>
  <c r="AB621" i="1" s="1"/>
  <c r="W622" i="1"/>
  <c r="AJ622" i="1" s="1"/>
  <c r="O623" i="1"/>
  <c r="AB623" i="1" s="1"/>
  <c r="W624" i="1"/>
  <c r="AJ624" i="1" s="1"/>
  <c r="O625" i="1"/>
  <c r="AB625" i="1" s="1"/>
  <c r="W626" i="1"/>
  <c r="AJ626" i="1" s="1"/>
  <c r="O627" i="1"/>
  <c r="AB627" i="1" s="1"/>
  <c r="W628" i="1"/>
  <c r="AJ628" i="1" s="1"/>
  <c r="O629" i="1"/>
  <c r="AB629" i="1" s="1"/>
  <c r="W630" i="1"/>
  <c r="AJ630" i="1" s="1"/>
  <c r="O631" i="1"/>
  <c r="AB631" i="1" s="1"/>
  <c r="W632" i="1"/>
  <c r="AJ632" i="1" s="1"/>
  <c r="O633" i="1"/>
  <c r="AB633" i="1" s="1"/>
  <c r="W634" i="1"/>
  <c r="AJ634" i="1" s="1"/>
  <c r="O635" i="1"/>
  <c r="AB635" i="1" s="1"/>
  <c r="W636" i="1"/>
  <c r="AJ636" i="1" s="1"/>
  <c r="O637" i="1"/>
  <c r="AB637" i="1" s="1"/>
  <c r="W638" i="1"/>
  <c r="AJ638" i="1" s="1"/>
  <c r="O639" i="1"/>
  <c r="AB639" i="1" s="1"/>
  <c r="W640" i="1"/>
  <c r="AJ640" i="1" s="1"/>
  <c r="O641" i="1"/>
  <c r="AB641" i="1" s="1"/>
  <c r="W642" i="1"/>
  <c r="AJ642" i="1" s="1"/>
  <c r="O643" i="1"/>
  <c r="AB643" i="1" s="1"/>
  <c r="W644" i="1"/>
  <c r="AJ644" i="1" s="1"/>
  <c r="O645" i="1"/>
  <c r="AB645" i="1" s="1"/>
  <c r="W646" i="1"/>
  <c r="AJ646" i="1" s="1"/>
  <c r="O647" i="1"/>
  <c r="AB647" i="1" s="1"/>
  <c r="W648" i="1"/>
  <c r="AJ648" i="1" s="1"/>
  <c r="O649" i="1"/>
  <c r="AB649" i="1" s="1"/>
  <c r="W650" i="1"/>
  <c r="AJ650" i="1" s="1"/>
  <c r="O651" i="1"/>
  <c r="AB651" i="1" s="1"/>
  <c r="W652" i="1"/>
  <c r="AJ652" i="1" s="1"/>
  <c r="O653" i="1"/>
  <c r="AB653" i="1" s="1"/>
  <c r="O344" i="1"/>
  <c r="AB344" i="1" s="1"/>
  <c r="U435" i="1"/>
  <c r="AH435" i="1" s="1"/>
  <c r="S464" i="1"/>
  <c r="AF464" i="1" s="1"/>
  <c r="V481" i="1"/>
  <c r="AI481" i="1" s="1"/>
  <c r="Y488" i="1"/>
  <c r="AL488" i="1" s="1"/>
  <c r="Z506" i="1"/>
  <c r="AM506" i="1" s="1"/>
  <c r="R517" i="1"/>
  <c r="AE517" i="1" s="1"/>
  <c r="Z522" i="1"/>
  <c r="AM522" i="1" s="1"/>
  <c r="R533" i="1"/>
  <c r="AE533" i="1" s="1"/>
  <c r="O537" i="1"/>
  <c r="AB537" i="1" s="1"/>
  <c r="P538" i="1"/>
  <c r="AC538" i="1" s="1"/>
  <c r="S539" i="1"/>
  <c r="AF539" i="1" s="1"/>
  <c r="R540" i="1"/>
  <c r="AE540" i="1" s="1"/>
  <c r="V541" i="1"/>
  <c r="AI541" i="1" s="1"/>
  <c r="Y542" i="1"/>
  <c r="AL542" i="1" s="1"/>
  <c r="X543" i="1"/>
  <c r="AK543" i="1" s="1"/>
  <c r="Z545" i="1"/>
  <c r="AM545" i="1" s="1"/>
  <c r="Q553" i="1"/>
  <c r="AD553" i="1" s="1"/>
  <c r="P554" i="1"/>
  <c r="AC554" i="1" s="1"/>
  <c r="S555" i="1"/>
  <c r="AF555" i="1" s="1"/>
  <c r="R556" i="1"/>
  <c r="AE556" i="1" s="1"/>
  <c r="V557" i="1"/>
  <c r="AI557" i="1" s="1"/>
  <c r="X558" i="1"/>
  <c r="AK558" i="1" s="1"/>
  <c r="V559" i="1"/>
  <c r="AI559" i="1" s="1"/>
  <c r="W560" i="1"/>
  <c r="AJ560" i="1" s="1"/>
  <c r="U561" i="1"/>
  <c r="AH561" i="1" s="1"/>
  <c r="R562" i="1"/>
  <c r="AE562" i="1" s="1"/>
  <c r="S563" i="1"/>
  <c r="AF563" i="1" s="1"/>
  <c r="Q564" i="1"/>
  <c r="AD564" i="1" s="1"/>
  <c r="Q565" i="1"/>
  <c r="AD565" i="1" s="1"/>
  <c r="W569" i="1"/>
  <c r="AJ569" i="1" s="1"/>
  <c r="R570" i="1"/>
  <c r="AE570" i="1" s="1"/>
  <c r="O571" i="1"/>
  <c r="AB571" i="1" s="1"/>
  <c r="Y573" i="1"/>
  <c r="AL573" i="1" s="1"/>
  <c r="U574" i="1"/>
  <c r="AH574" i="1" s="1"/>
  <c r="Q575" i="1"/>
  <c r="AD575" i="1" s="1"/>
  <c r="Z577" i="1"/>
  <c r="AM577" i="1" s="1"/>
  <c r="U578" i="1"/>
  <c r="AH578" i="1" s="1"/>
  <c r="X580" i="1"/>
  <c r="AK580" i="1" s="1"/>
  <c r="Q581" i="1"/>
  <c r="AD581" i="1" s="1"/>
  <c r="U583" i="1"/>
  <c r="AH583" i="1" s="1"/>
  <c r="X585" i="1"/>
  <c r="AK585" i="1" s="1"/>
  <c r="Q586" i="1"/>
  <c r="AD586" i="1" s="1"/>
  <c r="T588" i="1"/>
  <c r="AG588" i="1" s="1"/>
  <c r="W590" i="1"/>
  <c r="AJ590" i="1" s="1"/>
  <c r="P591" i="1"/>
  <c r="AC591" i="1" s="1"/>
  <c r="X592" i="1"/>
  <c r="AK592" i="1" s="1"/>
  <c r="P593" i="1"/>
  <c r="AC593" i="1" s="1"/>
  <c r="X594" i="1"/>
  <c r="AK594" i="1" s="1"/>
  <c r="P595" i="1"/>
  <c r="AC595" i="1" s="1"/>
  <c r="X596" i="1"/>
  <c r="AK596" i="1" s="1"/>
  <c r="P597" i="1"/>
  <c r="AC597" i="1" s="1"/>
  <c r="X598" i="1"/>
  <c r="AK598" i="1" s="1"/>
  <c r="P599" i="1"/>
  <c r="AC599" i="1" s="1"/>
  <c r="X600" i="1"/>
  <c r="AK600" i="1" s="1"/>
  <c r="P601" i="1"/>
  <c r="AC601" i="1" s="1"/>
  <c r="X602" i="1"/>
  <c r="AK602" i="1" s="1"/>
  <c r="P603" i="1"/>
  <c r="AC603" i="1" s="1"/>
  <c r="X604" i="1"/>
  <c r="AK604" i="1" s="1"/>
  <c r="P605" i="1"/>
  <c r="AC605" i="1" s="1"/>
  <c r="X606" i="1"/>
  <c r="AK606" i="1" s="1"/>
  <c r="P607" i="1"/>
  <c r="AC607" i="1" s="1"/>
  <c r="X608" i="1"/>
  <c r="AK608" i="1" s="1"/>
  <c r="P609" i="1"/>
  <c r="AC609" i="1" s="1"/>
  <c r="X610" i="1"/>
  <c r="AK610" i="1" s="1"/>
  <c r="P611" i="1"/>
  <c r="AC611" i="1" s="1"/>
  <c r="X612" i="1"/>
  <c r="AK612" i="1" s="1"/>
  <c r="P613" i="1"/>
  <c r="AC613" i="1" s="1"/>
  <c r="X614" i="1"/>
  <c r="AK614" i="1" s="1"/>
  <c r="P615" i="1"/>
  <c r="AC615" i="1" s="1"/>
  <c r="X616" i="1"/>
  <c r="AK616" i="1" s="1"/>
  <c r="P617" i="1"/>
  <c r="AC617" i="1" s="1"/>
  <c r="X618" i="1"/>
  <c r="AK618" i="1" s="1"/>
  <c r="P619" i="1"/>
  <c r="AC619" i="1" s="1"/>
  <c r="X620" i="1"/>
  <c r="AK620" i="1" s="1"/>
  <c r="P621" i="1"/>
  <c r="AC621" i="1" s="1"/>
  <c r="X622" i="1"/>
  <c r="AK622" i="1" s="1"/>
  <c r="P623" i="1"/>
  <c r="AC623" i="1" s="1"/>
  <c r="X624" i="1"/>
  <c r="AK624" i="1" s="1"/>
  <c r="P625" i="1"/>
  <c r="AC625" i="1" s="1"/>
  <c r="X626" i="1"/>
  <c r="AK626" i="1" s="1"/>
  <c r="P627" i="1"/>
  <c r="AC627" i="1" s="1"/>
  <c r="X628" i="1"/>
  <c r="AK628" i="1" s="1"/>
  <c r="P629" i="1"/>
  <c r="AC629" i="1" s="1"/>
  <c r="X630" i="1"/>
  <c r="AK630" i="1" s="1"/>
  <c r="P631" i="1"/>
  <c r="AC631" i="1" s="1"/>
  <c r="Q344" i="1"/>
  <c r="AD344" i="1" s="1"/>
  <c r="V435" i="1"/>
  <c r="AI435" i="1" s="1"/>
  <c r="T464" i="1"/>
  <c r="AG464" i="1" s="1"/>
  <c r="X481" i="1"/>
  <c r="AK481" i="1" s="1"/>
  <c r="S517" i="1"/>
  <c r="AF517" i="1" s="1"/>
  <c r="S533" i="1"/>
  <c r="AF533" i="1" s="1"/>
  <c r="Q537" i="1"/>
  <c r="AD537" i="1" s="1"/>
  <c r="Q538" i="1"/>
  <c r="AD538" i="1" s="1"/>
  <c r="U539" i="1"/>
  <c r="AH539" i="1" s="1"/>
  <c r="W540" i="1"/>
  <c r="AJ540" i="1" s="1"/>
  <c r="W541" i="1"/>
  <c r="AJ541" i="1" s="1"/>
  <c r="Z542" i="1"/>
  <c r="AM542" i="1" s="1"/>
  <c r="Y543" i="1"/>
  <c r="AL543" i="1" s="1"/>
  <c r="O551" i="1"/>
  <c r="AB551" i="1" s="1"/>
  <c r="O552" i="1"/>
  <c r="AB552" i="1" s="1"/>
  <c r="R553" i="1"/>
  <c r="AE553" i="1" s="1"/>
  <c r="Q554" i="1"/>
  <c r="AD554" i="1" s="1"/>
  <c r="U555" i="1"/>
  <c r="AH555" i="1" s="1"/>
  <c r="W556" i="1"/>
  <c r="AJ556" i="1" s="1"/>
  <c r="W557" i="1"/>
  <c r="AJ557" i="1" s="1"/>
  <c r="Y558" i="1"/>
  <c r="AL558" i="1" s="1"/>
  <c r="W559" i="1"/>
  <c r="AJ559" i="1" s="1"/>
  <c r="X560" i="1"/>
  <c r="AK560" i="1" s="1"/>
  <c r="V561" i="1"/>
  <c r="AI561" i="1" s="1"/>
  <c r="W562" i="1"/>
  <c r="AJ562" i="1" s="1"/>
  <c r="U563" i="1"/>
  <c r="AH563" i="1" s="1"/>
  <c r="R564" i="1"/>
  <c r="AE564" i="1" s="1"/>
  <c r="R565" i="1"/>
  <c r="AE565" i="1" s="1"/>
  <c r="O566" i="1"/>
  <c r="AB566" i="1" s="1"/>
  <c r="X569" i="1"/>
  <c r="AK569" i="1" s="1"/>
  <c r="T570" i="1"/>
  <c r="AG570" i="1" s="1"/>
  <c r="P571" i="1"/>
  <c r="AC571" i="1" s="1"/>
  <c r="Z573" i="1"/>
  <c r="AM573" i="1" s="1"/>
  <c r="W574" i="1"/>
  <c r="AJ574" i="1" s="1"/>
  <c r="R575" i="1"/>
  <c r="AE575" i="1" s="1"/>
  <c r="V578" i="1"/>
  <c r="AI578" i="1" s="1"/>
  <c r="O579" i="1"/>
  <c r="AB579" i="1" s="1"/>
  <c r="Y580" i="1"/>
  <c r="AL580" i="1" s="1"/>
  <c r="R581" i="1"/>
  <c r="AE581" i="1" s="1"/>
  <c r="V583" i="1"/>
  <c r="AI583" i="1" s="1"/>
  <c r="O584" i="1"/>
  <c r="AB584" i="1" s="1"/>
  <c r="Y585" i="1"/>
  <c r="AL585" i="1" s="1"/>
  <c r="R586" i="1"/>
  <c r="AE586" i="1" s="1"/>
  <c r="U588" i="1"/>
  <c r="AH588" i="1" s="1"/>
  <c r="X590" i="1"/>
  <c r="AK590" i="1" s="1"/>
  <c r="Q591" i="1"/>
  <c r="AD591" i="1" s="1"/>
  <c r="Y592" i="1"/>
  <c r="AL592" i="1" s="1"/>
  <c r="Q593" i="1"/>
  <c r="AD593" i="1" s="1"/>
  <c r="Y594" i="1"/>
  <c r="AL594" i="1" s="1"/>
  <c r="Q595" i="1"/>
  <c r="AD595" i="1" s="1"/>
  <c r="Y596" i="1"/>
  <c r="AL596" i="1" s="1"/>
  <c r="Q597" i="1"/>
  <c r="AD597" i="1" s="1"/>
  <c r="Y598" i="1"/>
  <c r="AL598" i="1" s="1"/>
  <c r="Q599" i="1"/>
  <c r="AD599" i="1" s="1"/>
  <c r="Y600" i="1"/>
  <c r="AL600" i="1" s="1"/>
  <c r="Q601" i="1"/>
  <c r="AD601" i="1" s="1"/>
  <c r="Y602" i="1"/>
  <c r="AL602" i="1" s="1"/>
  <c r="Q603" i="1"/>
  <c r="AD603" i="1" s="1"/>
  <c r="Y604" i="1"/>
  <c r="AL604" i="1" s="1"/>
  <c r="Q605" i="1"/>
  <c r="AD605" i="1" s="1"/>
  <c r="Y606" i="1"/>
  <c r="AL606" i="1" s="1"/>
  <c r="Q607" i="1"/>
  <c r="AD607" i="1" s="1"/>
  <c r="Y608" i="1"/>
  <c r="AL608" i="1" s="1"/>
  <c r="Q609" i="1"/>
  <c r="AD609" i="1" s="1"/>
  <c r="Y610" i="1"/>
  <c r="AL610" i="1" s="1"/>
  <c r="Q611" i="1"/>
  <c r="AD611" i="1" s="1"/>
  <c r="Y612" i="1"/>
  <c r="AL612" i="1" s="1"/>
  <c r="Q613" i="1"/>
  <c r="AD613" i="1" s="1"/>
  <c r="Y614" i="1"/>
  <c r="AL614" i="1" s="1"/>
  <c r="Q615" i="1"/>
  <c r="AD615" i="1" s="1"/>
  <c r="Y616" i="1"/>
  <c r="AL616" i="1" s="1"/>
  <c r="Q617" i="1"/>
  <c r="AD617" i="1" s="1"/>
  <c r="Y618" i="1"/>
  <c r="AL618" i="1" s="1"/>
  <c r="Q619" i="1"/>
  <c r="AD619" i="1" s="1"/>
  <c r="Y620" i="1"/>
  <c r="AL620" i="1" s="1"/>
  <c r="Q621" i="1"/>
  <c r="AD621" i="1" s="1"/>
  <c r="Y622" i="1"/>
  <c r="AL622" i="1" s="1"/>
  <c r="Q623" i="1"/>
  <c r="AD623" i="1" s="1"/>
  <c r="Y624" i="1"/>
  <c r="AL624" i="1" s="1"/>
  <c r="Q625" i="1"/>
  <c r="AD625" i="1" s="1"/>
  <c r="Y626" i="1"/>
  <c r="AL626" i="1" s="1"/>
  <c r="Q627" i="1"/>
  <c r="AD627" i="1" s="1"/>
  <c r="Y628" i="1"/>
  <c r="AL628" i="1" s="1"/>
  <c r="Q629" i="1"/>
  <c r="AD629" i="1" s="1"/>
  <c r="Y630" i="1"/>
  <c r="AL630" i="1" s="1"/>
  <c r="Q631" i="1"/>
  <c r="AD631" i="1" s="1"/>
  <c r="V465" i="1"/>
  <c r="AI465" i="1" s="1"/>
  <c r="T482" i="1"/>
  <c r="AG482" i="1" s="1"/>
  <c r="V489" i="1"/>
  <c r="AI489" i="1" s="1"/>
  <c r="Y495" i="1"/>
  <c r="AL495" i="1" s="1"/>
  <c r="R507" i="1"/>
  <c r="AE507" i="1" s="1"/>
  <c r="Z512" i="1"/>
  <c r="AM512" i="1" s="1"/>
  <c r="R523" i="1"/>
  <c r="AE523" i="1" s="1"/>
  <c r="Z528" i="1"/>
  <c r="AM528" i="1" s="1"/>
  <c r="R537" i="1"/>
  <c r="AE537" i="1" s="1"/>
  <c r="R538" i="1"/>
  <c r="AE538" i="1" s="1"/>
  <c r="V539" i="1"/>
  <c r="AI539" i="1" s="1"/>
  <c r="Y540" i="1"/>
  <c r="AL540" i="1" s="1"/>
  <c r="X541" i="1"/>
  <c r="AK541" i="1" s="1"/>
  <c r="Z543" i="1"/>
  <c r="AM543" i="1" s="1"/>
  <c r="Q551" i="1"/>
  <c r="AD551" i="1" s="1"/>
  <c r="P552" i="1"/>
  <c r="AC552" i="1" s="1"/>
  <c r="S553" i="1"/>
  <c r="AF553" i="1" s="1"/>
  <c r="R554" i="1"/>
  <c r="AE554" i="1" s="1"/>
  <c r="V555" i="1"/>
  <c r="AI555" i="1" s="1"/>
  <c r="Y556" i="1"/>
  <c r="AL556" i="1" s="1"/>
  <c r="X557" i="1"/>
  <c r="AK557" i="1" s="1"/>
  <c r="Z558" i="1"/>
  <c r="AM558" i="1" s="1"/>
  <c r="X559" i="1"/>
  <c r="AK559" i="1" s="1"/>
  <c r="Y560" i="1"/>
  <c r="AL560" i="1" s="1"/>
  <c r="W561" i="1"/>
  <c r="AJ561" i="1" s="1"/>
  <c r="X562" i="1"/>
  <c r="AK562" i="1" s="1"/>
  <c r="V563" i="1"/>
  <c r="AI563" i="1" s="1"/>
  <c r="W564" i="1"/>
  <c r="AJ564" i="1" s="1"/>
  <c r="S565" i="1"/>
  <c r="AF565" i="1" s="1"/>
  <c r="P566" i="1"/>
  <c r="AC566" i="1" s="1"/>
  <c r="O567" i="1"/>
  <c r="AB567" i="1" s="1"/>
  <c r="Y569" i="1"/>
  <c r="AL569" i="1" s="1"/>
  <c r="U570" i="1"/>
  <c r="AH570" i="1" s="1"/>
  <c r="Q571" i="1"/>
  <c r="AD571" i="1" s="1"/>
  <c r="X574" i="1"/>
  <c r="AK574" i="1" s="1"/>
  <c r="S575" i="1"/>
  <c r="AF575" i="1" s="1"/>
  <c r="O576" i="1"/>
  <c r="AB576" i="1" s="1"/>
  <c r="W578" i="1"/>
  <c r="AJ578" i="1" s="1"/>
  <c r="P579" i="1"/>
  <c r="AC579" i="1" s="1"/>
  <c r="Z580" i="1"/>
  <c r="AM580" i="1" s="1"/>
  <c r="S581" i="1"/>
  <c r="AF581" i="1" s="1"/>
  <c r="W583" i="1"/>
  <c r="AJ583" i="1" s="1"/>
  <c r="P584" i="1"/>
  <c r="AC584" i="1" s="1"/>
  <c r="Z585" i="1"/>
  <c r="AM585" i="1" s="1"/>
  <c r="S586" i="1"/>
  <c r="AF586" i="1" s="1"/>
  <c r="V588" i="1"/>
  <c r="AI588" i="1" s="1"/>
  <c r="O589" i="1"/>
  <c r="AB589" i="1" s="1"/>
  <c r="Y590" i="1"/>
  <c r="AL590" i="1" s="1"/>
  <c r="R591" i="1"/>
  <c r="AE591" i="1" s="1"/>
  <c r="Z592" i="1"/>
  <c r="AM592" i="1" s="1"/>
  <c r="R593" i="1"/>
  <c r="AE593" i="1" s="1"/>
  <c r="Z594" i="1"/>
  <c r="AM594" i="1" s="1"/>
  <c r="R595" i="1"/>
  <c r="AE595" i="1" s="1"/>
  <c r="Z596" i="1"/>
  <c r="AM596" i="1" s="1"/>
  <c r="R597" i="1"/>
  <c r="AE597" i="1" s="1"/>
  <c r="Z598" i="1"/>
  <c r="AM598" i="1" s="1"/>
  <c r="R599" i="1"/>
  <c r="AE599" i="1" s="1"/>
  <c r="Z600" i="1"/>
  <c r="AM600" i="1" s="1"/>
  <c r="R601" i="1"/>
  <c r="AE601" i="1" s="1"/>
  <c r="Z602" i="1"/>
  <c r="AM602" i="1" s="1"/>
  <c r="R603" i="1"/>
  <c r="AE603" i="1" s="1"/>
  <c r="Z604" i="1"/>
  <c r="AM604" i="1" s="1"/>
  <c r="R605" i="1"/>
  <c r="AE605" i="1" s="1"/>
  <c r="Z606" i="1"/>
  <c r="AM606" i="1" s="1"/>
  <c r="R607" i="1"/>
  <c r="AE607" i="1" s="1"/>
  <c r="Z608" i="1"/>
  <c r="AM608" i="1" s="1"/>
  <c r="R609" i="1"/>
  <c r="AE609" i="1" s="1"/>
  <c r="O374" i="1"/>
  <c r="AB374" i="1" s="1"/>
  <c r="X465" i="1"/>
  <c r="AK465" i="1" s="1"/>
  <c r="U482" i="1"/>
  <c r="AH482" i="1" s="1"/>
  <c r="X489" i="1"/>
  <c r="AK489" i="1" s="1"/>
  <c r="Z495" i="1"/>
  <c r="AM495" i="1" s="1"/>
  <c r="S507" i="1"/>
  <c r="AF507" i="1" s="1"/>
  <c r="S523" i="1"/>
  <c r="AF523" i="1" s="1"/>
  <c r="S537" i="1"/>
  <c r="AF537" i="1" s="1"/>
  <c r="W538" i="1"/>
  <c r="AJ538" i="1" s="1"/>
  <c r="W539" i="1"/>
  <c r="AJ539" i="1" s="1"/>
  <c r="Z540" i="1"/>
  <c r="AM540" i="1" s="1"/>
  <c r="Y541" i="1"/>
  <c r="AL541" i="1" s="1"/>
  <c r="O549" i="1"/>
  <c r="AB549" i="1" s="1"/>
  <c r="O550" i="1"/>
  <c r="AB550" i="1" s="1"/>
  <c r="R551" i="1"/>
  <c r="AE551" i="1" s="1"/>
  <c r="Q552" i="1"/>
  <c r="AD552" i="1" s="1"/>
  <c r="U553" i="1"/>
  <c r="AH553" i="1" s="1"/>
  <c r="W554" i="1"/>
  <c r="AJ554" i="1" s="1"/>
  <c r="W555" i="1"/>
  <c r="AJ555" i="1" s="1"/>
  <c r="Z556" i="1"/>
  <c r="AM556" i="1" s="1"/>
  <c r="Y557" i="1"/>
  <c r="AL557" i="1" s="1"/>
  <c r="Y559" i="1"/>
  <c r="AL559" i="1" s="1"/>
  <c r="Z560" i="1"/>
  <c r="AM560" i="1" s="1"/>
  <c r="X561" i="1"/>
  <c r="AK561" i="1" s="1"/>
  <c r="Y562" i="1"/>
  <c r="AL562" i="1" s="1"/>
  <c r="W563" i="1"/>
  <c r="AJ563" i="1" s="1"/>
  <c r="X564" i="1"/>
  <c r="AK564" i="1" s="1"/>
  <c r="U565" i="1"/>
  <c r="AH565" i="1" s="1"/>
  <c r="Q566" i="1"/>
  <c r="AD566" i="1" s="1"/>
  <c r="P567" i="1"/>
  <c r="AC567" i="1" s="1"/>
  <c r="Z569" i="1"/>
  <c r="AM569" i="1" s="1"/>
  <c r="W570" i="1"/>
  <c r="AJ570" i="1" s="1"/>
  <c r="R571" i="1"/>
  <c r="AE571" i="1" s="1"/>
  <c r="Y574" i="1"/>
  <c r="AL574" i="1" s="1"/>
  <c r="U575" i="1"/>
  <c r="AH575" i="1" s="1"/>
  <c r="P576" i="1"/>
  <c r="AC576" i="1" s="1"/>
  <c r="X578" i="1"/>
  <c r="AK578" i="1" s="1"/>
  <c r="Q579" i="1"/>
  <c r="AD579" i="1" s="1"/>
  <c r="U581" i="1"/>
  <c r="AH581" i="1" s="1"/>
  <c r="X583" i="1"/>
  <c r="AK583" i="1" s="1"/>
  <c r="Q584" i="1"/>
  <c r="AD584" i="1" s="1"/>
  <c r="T586" i="1"/>
  <c r="AG586" i="1" s="1"/>
  <c r="W588" i="1"/>
  <c r="AJ588" i="1" s="1"/>
  <c r="P589" i="1"/>
  <c r="AC589" i="1" s="1"/>
  <c r="Z590" i="1"/>
  <c r="AM590" i="1" s="1"/>
  <c r="S591" i="1"/>
  <c r="AF591" i="1" s="1"/>
  <c r="S593" i="1"/>
  <c r="AF593" i="1" s="1"/>
  <c r="S595" i="1"/>
  <c r="AF595" i="1" s="1"/>
  <c r="S597" i="1"/>
  <c r="AF597" i="1" s="1"/>
  <c r="S599" i="1"/>
  <c r="AF599" i="1" s="1"/>
  <c r="S601" i="1"/>
  <c r="AF601" i="1" s="1"/>
  <c r="S603" i="1"/>
  <c r="AF603" i="1" s="1"/>
  <c r="S605" i="1"/>
  <c r="AF605" i="1" s="1"/>
  <c r="S607" i="1"/>
  <c r="AF607" i="1" s="1"/>
  <c r="S609" i="1"/>
  <c r="AF609" i="1" s="1"/>
  <c r="S611" i="1"/>
  <c r="AF611" i="1" s="1"/>
  <c r="S613" i="1"/>
  <c r="AF613" i="1" s="1"/>
  <c r="S615" i="1"/>
  <c r="AF615" i="1" s="1"/>
  <c r="S617" i="1"/>
  <c r="AF617" i="1" s="1"/>
  <c r="S619" i="1"/>
  <c r="AF619" i="1" s="1"/>
  <c r="S621" i="1"/>
  <c r="AF621" i="1" s="1"/>
  <c r="S623" i="1"/>
  <c r="AF623" i="1" s="1"/>
  <c r="S625" i="1"/>
  <c r="AF625" i="1" s="1"/>
  <c r="S627" i="1"/>
  <c r="AF627" i="1" s="1"/>
  <c r="S629" i="1"/>
  <c r="AF629" i="1" s="1"/>
  <c r="S631" i="1"/>
  <c r="AF631" i="1" s="1"/>
  <c r="S633" i="1"/>
  <c r="AF633" i="1" s="1"/>
  <c r="S635" i="1"/>
  <c r="AF635" i="1" s="1"/>
  <c r="S637" i="1"/>
  <c r="AF637" i="1" s="1"/>
  <c r="S639" i="1"/>
  <c r="AF639" i="1" s="1"/>
  <c r="S641" i="1"/>
  <c r="AF641" i="1" s="1"/>
  <c r="S643" i="1"/>
  <c r="AF643" i="1" s="1"/>
  <c r="S645" i="1"/>
  <c r="AF645" i="1" s="1"/>
  <c r="S647" i="1"/>
  <c r="AF647" i="1" s="1"/>
  <c r="S649" i="1"/>
  <c r="AF649" i="1" s="1"/>
  <c r="S651" i="1"/>
  <c r="AF651" i="1" s="1"/>
  <c r="S653" i="1"/>
  <c r="AF653" i="1" s="1"/>
  <c r="Y397" i="1"/>
  <c r="AL397" i="1" s="1"/>
  <c r="U466" i="1"/>
  <c r="AH466" i="1" s="1"/>
  <c r="Q483" i="1"/>
  <c r="AD483" i="1" s="1"/>
  <c r="Q490" i="1"/>
  <c r="AD490" i="1" s="1"/>
  <c r="S496" i="1"/>
  <c r="AF496" i="1" s="1"/>
  <c r="U502" i="1"/>
  <c r="AH502" i="1" s="1"/>
  <c r="R513" i="1"/>
  <c r="AE513" i="1" s="1"/>
  <c r="Z518" i="1"/>
  <c r="AM518" i="1" s="1"/>
  <c r="R529" i="1"/>
  <c r="AE529" i="1" s="1"/>
  <c r="U537" i="1"/>
  <c r="AH537" i="1" s="1"/>
  <c r="Y538" i="1"/>
  <c r="AL538" i="1" s="1"/>
  <c r="X539" i="1"/>
  <c r="AK539" i="1" s="1"/>
  <c r="Z541" i="1"/>
  <c r="AM541" i="1" s="1"/>
  <c r="Q549" i="1"/>
  <c r="AD549" i="1" s="1"/>
  <c r="P550" i="1"/>
  <c r="AC550" i="1" s="1"/>
  <c r="S551" i="1"/>
  <c r="AF551" i="1" s="1"/>
  <c r="R552" i="1"/>
  <c r="AE552" i="1" s="1"/>
  <c r="V553" i="1"/>
  <c r="AI553" i="1" s="1"/>
  <c r="Y554" i="1"/>
  <c r="AL554" i="1" s="1"/>
  <c r="X555" i="1"/>
  <c r="AK555" i="1" s="1"/>
  <c r="Z557" i="1"/>
  <c r="AM557" i="1" s="1"/>
  <c r="Z559" i="1"/>
  <c r="AM559" i="1" s="1"/>
  <c r="Y561" i="1"/>
  <c r="AL561" i="1" s="1"/>
  <c r="Z562" i="1"/>
  <c r="AM562" i="1" s="1"/>
  <c r="X563" i="1"/>
  <c r="AK563" i="1" s="1"/>
  <c r="Y564" i="1"/>
  <c r="AL564" i="1" s="1"/>
  <c r="V565" i="1"/>
  <c r="AI565" i="1" s="1"/>
  <c r="R566" i="1"/>
  <c r="AE566" i="1" s="1"/>
  <c r="Q567" i="1"/>
  <c r="AD567" i="1" s="1"/>
  <c r="X570" i="1"/>
  <c r="AK570" i="1" s="1"/>
  <c r="S571" i="1"/>
  <c r="AF571" i="1" s="1"/>
  <c r="O572" i="1"/>
  <c r="AB572" i="1" s="1"/>
  <c r="Z574" i="1"/>
  <c r="AM574" i="1" s="1"/>
  <c r="V575" i="1"/>
  <c r="AI575" i="1" s="1"/>
  <c r="Q576" i="1"/>
  <c r="AD576" i="1" s="1"/>
  <c r="Y578" i="1"/>
  <c r="AL578" i="1" s="1"/>
  <c r="R579" i="1"/>
  <c r="AE579" i="1" s="1"/>
  <c r="V581" i="1"/>
  <c r="AI581" i="1" s="1"/>
  <c r="O582" i="1"/>
  <c r="AB582" i="1" s="1"/>
  <c r="Y583" i="1"/>
  <c r="AL583" i="1" s="1"/>
  <c r="R584" i="1"/>
  <c r="AE584" i="1" s="1"/>
  <c r="U586" i="1"/>
  <c r="AH586" i="1" s="1"/>
  <c r="X588" i="1"/>
  <c r="AK588" i="1" s="1"/>
  <c r="Q589" i="1"/>
  <c r="AD589" i="1" s="1"/>
  <c r="T591" i="1"/>
  <c r="AG591" i="1" s="1"/>
  <c r="T593" i="1"/>
  <c r="AG593" i="1" s="1"/>
  <c r="T595" i="1"/>
  <c r="AG595" i="1" s="1"/>
  <c r="T597" i="1"/>
  <c r="AG597" i="1" s="1"/>
  <c r="T599" i="1"/>
  <c r="AG599" i="1" s="1"/>
  <c r="T601" i="1"/>
  <c r="AG601" i="1" s="1"/>
  <c r="T603" i="1"/>
  <c r="AG603" i="1" s="1"/>
  <c r="T605" i="1"/>
  <c r="AG605" i="1" s="1"/>
  <c r="T607" i="1"/>
  <c r="AG607" i="1" s="1"/>
  <c r="T609" i="1"/>
  <c r="AG609" i="1" s="1"/>
  <c r="T611" i="1"/>
  <c r="AG611" i="1" s="1"/>
  <c r="T613" i="1"/>
  <c r="AG613" i="1" s="1"/>
  <c r="T615" i="1"/>
  <c r="AG615" i="1" s="1"/>
  <c r="T617" i="1"/>
  <c r="AG617" i="1" s="1"/>
  <c r="T619" i="1"/>
  <c r="AG619" i="1" s="1"/>
  <c r="T621" i="1"/>
  <c r="AG621" i="1" s="1"/>
  <c r="T623" i="1"/>
  <c r="AG623" i="1" s="1"/>
  <c r="T625" i="1"/>
  <c r="AG625" i="1" s="1"/>
  <c r="T627" i="1"/>
  <c r="AG627" i="1" s="1"/>
  <c r="T629" i="1"/>
  <c r="AG629" i="1" s="1"/>
  <c r="T631" i="1"/>
  <c r="AG631" i="1" s="1"/>
  <c r="Z397" i="1"/>
  <c r="AM397" i="1" s="1"/>
  <c r="X466" i="1"/>
  <c r="AK466" i="1" s="1"/>
  <c r="T483" i="1"/>
  <c r="AG483" i="1" s="1"/>
  <c r="R490" i="1"/>
  <c r="AE490" i="1" s="1"/>
  <c r="T496" i="1"/>
  <c r="AG496" i="1" s="1"/>
  <c r="W502" i="1"/>
  <c r="AJ502" i="1" s="1"/>
  <c r="S513" i="1"/>
  <c r="AF513" i="1" s="1"/>
  <c r="S529" i="1"/>
  <c r="AF529" i="1" s="1"/>
  <c r="P536" i="1"/>
  <c r="AC536" i="1" s="1"/>
  <c r="V537" i="1"/>
  <c r="AI537" i="1" s="1"/>
  <c r="Z538" i="1"/>
  <c r="AM538" i="1" s="1"/>
  <c r="Y539" i="1"/>
  <c r="AL539" i="1" s="1"/>
  <c r="O547" i="1"/>
  <c r="AB547" i="1" s="1"/>
  <c r="O548" i="1"/>
  <c r="AB548" i="1" s="1"/>
  <c r="R549" i="1"/>
  <c r="AE549" i="1" s="1"/>
  <c r="Q550" i="1"/>
  <c r="AD550" i="1" s="1"/>
  <c r="U551" i="1"/>
  <c r="AH551" i="1" s="1"/>
  <c r="W552" i="1"/>
  <c r="AJ552" i="1" s="1"/>
  <c r="W553" i="1"/>
  <c r="AJ553" i="1" s="1"/>
  <c r="Z554" i="1"/>
  <c r="AM554" i="1" s="1"/>
  <c r="Y555" i="1"/>
  <c r="AL555" i="1" s="1"/>
  <c r="Z561" i="1"/>
  <c r="AM561" i="1" s="1"/>
  <c r="Y563" i="1"/>
  <c r="AL563" i="1" s="1"/>
  <c r="Z564" i="1"/>
  <c r="AM564" i="1" s="1"/>
  <c r="W565" i="1"/>
  <c r="AJ565" i="1" s="1"/>
  <c r="U566" i="1"/>
  <c r="AH566" i="1" s="1"/>
  <c r="R567" i="1"/>
  <c r="AE567" i="1" s="1"/>
  <c r="Y570" i="1"/>
  <c r="AL570" i="1" s="1"/>
  <c r="U571" i="1"/>
  <c r="AH571" i="1" s="1"/>
  <c r="P572" i="1"/>
  <c r="AC572" i="1" s="1"/>
  <c r="W575" i="1"/>
  <c r="AJ575" i="1" s="1"/>
  <c r="R576" i="1"/>
  <c r="AE576" i="1" s="1"/>
  <c r="Z578" i="1"/>
  <c r="AM578" i="1" s="1"/>
  <c r="S579" i="1"/>
  <c r="AF579" i="1" s="1"/>
  <c r="W581" i="1"/>
  <c r="AJ581" i="1" s="1"/>
  <c r="P582" i="1"/>
  <c r="AC582" i="1" s="1"/>
  <c r="Z583" i="1"/>
  <c r="AM583" i="1" s="1"/>
  <c r="S584" i="1"/>
  <c r="AF584" i="1" s="1"/>
  <c r="V586" i="1"/>
  <c r="AI586" i="1" s="1"/>
  <c r="O587" i="1"/>
  <c r="AB587" i="1" s="1"/>
  <c r="Y588" i="1"/>
  <c r="AL588" i="1" s="1"/>
  <c r="R589" i="1"/>
  <c r="AE589" i="1" s="1"/>
  <c r="U591" i="1"/>
  <c r="AH591" i="1" s="1"/>
  <c r="U593" i="1"/>
  <c r="AH593" i="1" s="1"/>
  <c r="U595" i="1"/>
  <c r="AH595" i="1" s="1"/>
  <c r="U597" i="1"/>
  <c r="AH597" i="1" s="1"/>
  <c r="U599" i="1"/>
  <c r="AH599" i="1" s="1"/>
  <c r="U601" i="1"/>
  <c r="AH601" i="1" s="1"/>
  <c r="U603" i="1"/>
  <c r="AH603" i="1" s="1"/>
  <c r="U605" i="1"/>
  <c r="AH605" i="1" s="1"/>
  <c r="U607" i="1"/>
  <c r="AH607" i="1" s="1"/>
  <c r="P484" i="1"/>
  <c r="AC484" i="1" s="1"/>
  <c r="V551" i="1"/>
  <c r="AI551" i="1" s="1"/>
  <c r="S567" i="1"/>
  <c r="AF567" i="1" s="1"/>
  <c r="V591" i="1"/>
  <c r="AI591" i="1" s="1"/>
  <c r="V607" i="1"/>
  <c r="AI607" i="1" s="1"/>
  <c r="Z616" i="1"/>
  <c r="AM616" i="1" s="1"/>
  <c r="R620" i="1"/>
  <c r="AE620" i="1" s="1"/>
  <c r="U621" i="1"/>
  <c r="AH621" i="1" s="1"/>
  <c r="T622" i="1"/>
  <c r="AG622" i="1" s="1"/>
  <c r="W623" i="1"/>
  <c r="AJ623" i="1" s="1"/>
  <c r="V624" i="1"/>
  <c r="AI624" i="1" s="1"/>
  <c r="Z625" i="1"/>
  <c r="AM625" i="1" s="1"/>
  <c r="Z633" i="1"/>
  <c r="AM633" i="1" s="1"/>
  <c r="U634" i="1"/>
  <c r="AH634" i="1" s="1"/>
  <c r="Q635" i="1"/>
  <c r="AD635" i="1" s="1"/>
  <c r="X638" i="1"/>
  <c r="AK638" i="1" s="1"/>
  <c r="T639" i="1"/>
  <c r="AG639" i="1" s="1"/>
  <c r="O640" i="1"/>
  <c r="AB640" i="1" s="1"/>
  <c r="Z642" i="1"/>
  <c r="AM642" i="1" s="1"/>
  <c r="V643" i="1"/>
  <c r="AI643" i="1" s="1"/>
  <c r="R644" i="1"/>
  <c r="AE644" i="1" s="1"/>
  <c r="Y647" i="1"/>
  <c r="AL647" i="1" s="1"/>
  <c r="T648" i="1"/>
  <c r="AG648" i="1" s="1"/>
  <c r="P649" i="1"/>
  <c r="AC649" i="1" s="1"/>
  <c r="V652" i="1"/>
  <c r="AI652" i="1" s="1"/>
  <c r="R653" i="1"/>
  <c r="AE653" i="1" s="1"/>
  <c r="W655" i="1"/>
  <c r="AJ655" i="1" s="1"/>
  <c r="Q656" i="1"/>
  <c r="AD656" i="1" s="1"/>
  <c r="T658" i="1"/>
  <c r="AG658" i="1" s="1"/>
  <c r="W660" i="1"/>
  <c r="AJ660" i="1" s="1"/>
  <c r="P661" i="1"/>
  <c r="AC661" i="1" s="1"/>
  <c r="Z662" i="1"/>
  <c r="AM662" i="1" s="1"/>
  <c r="S663" i="1"/>
  <c r="AF663" i="1" s="1"/>
  <c r="S665" i="1"/>
  <c r="AF665" i="1" s="1"/>
  <c r="S667" i="1"/>
  <c r="AF667" i="1" s="1"/>
  <c r="S669" i="1"/>
  <c r="AF669" i="1" s="1"/>
  <c r="S671" i="1"/>
  <c r="AF671" i="1" s="1"/>
  <c r="S673" i="1"/>
  <c r="AF673" i="1" s="1"/>
  <c r="S675" i="1"/>
  <c r="AF675" i="1" s="1"/>
  <c r="S677" i="1"/>
  <c r="AF677" i="1" s="1"/>
  <c r="S679" i="1"/>
  <c r="AF679" i="1" s="1"/>
  <c r="S681" i="1"/>
  <c r="AF681" i="1" s="1"/>
  <c r="S683" i="1"/>
  <c r="AF683" i="1" s="1"/>
  <c r="S685" i="1"/>
  <c r="AF685" i="1" s="1"/>
  <c r="Q484" i="1"/>
  <c r="AD484" i="1" s="1"/>
  <c r="W551" i="1"/>
  <c r="AJ551" i="1" s="1"/>
  <c r="U567" i="1"/>
  <c r="AH567" i="1" s="1"/>
  <c r="O580" i="1"/>
  <c r="AB580" i="1" s="1"/>
  <c r="W591" i="1"/>
  <c r="AJ591" i="1" s="1"/>
  <c r="O602" i="1"/>
  <c r="AB602" i="1" s="1"/>
  <c r="W607" i="1"/>
  <c r="AJ607" i="1" s="1"/>
  <c r="R613" i="1"/>
  <c r="AE613" i="1" s="1"/>
  <c r="R619" i="1"/>
  <c r="AE619" i="1" s="1"/>
  <c r="S620" i="1"/>
  <c r="AF620" i="1" s="1"/>
  <c r="V621" i="1"/>
  <c r="AI621" i="1" s="1"/>
  <c r="U622" i="1"/>
  <c r="AH622" i="1" s="1"/>
  <c r="Y623" i="1"/>
  <c r="AL623" i="1" s="1"/>
  <c r="Z624" i="1"/>
  <c r="AM624" i="1" s="1"/>
  <c r="V634" i="1"/>
  <c r="AI634" i="1" s="1"/>
  <c r="R635" i="1"/>
  <c r="AE635" i="1" s="1"/>
  <c r="Y638" i="1"/>
  <c r="AL638" i="1" s="1"/>
  <c r="U639" i="1"/>
  <c r="AH639" i="1" s="1"/>
  <c r="Q640" i="1"/>
  <c r="AD640" i="1" s="1"/>
  <c r="W643" i="1"/>
  <c r="AJ643" i="1" s="1"/>
  <c r="S644" i="1"/>
  <c r="AF644" i="1" s="1"/>
  <c r="Z647" i="1"/>
  <c r="AM647" i="1" s="1"/>
  <c r="U648" i="1"/>
  <c r="AH648" i="1" s="1"/>
  <c r="Q649" i="1"/>
  <c r="AD649" i="1" s="1"/>
  <c r="X652" i="1"/>
  <c r="AK652" i="1" s="1"/>
  <c r="T653" i="1"/>
  <c r="AG653" i="1" s="1"/>
  <c r="Y655" i="1"/>
  <c r="AL655" i="1" s="1"/>
  <c r="R656" i="1"/>
  <c r="AE656" i="1" s="1"/>
  <c r="U658" i="1"/>
  <c r="AH658" i="1" s="1"/>
  <c r="X660" i="1"/>
  <c r="AK660" i="1" s="1"/>
  <c r="Q661" i="1"/>
  <c r="AD661" i="1" s="1"/>
  <c r="T663" i="1"/>
  <c r="AG663" i="1" s="1"/>
  <c r="T665" i="1"/>
  <c r="AG665" i="1" s="1"/>
  <c r="T667" i="1"/>
  <c r="AG667" i="1" s="1"/>
  <c r="T669" i="1"/>
  <c r="AG669" i="1" s="1"/>
  <c r="T671" i="1"/>
  <c r="AG671" i="1" s="1"/>
  <c r="T673" i="1"/>
  <c r="AG673" i="1" s="1"/>
  <c r="T675" i="1"/>
  <c r="AG675" i="1" s="1"/>
  <c r="T677" i="1"/>
  <c r="AG677" i="1" s="1"/>
  <c r="T679" i="1"/>
  <c r="AG679" i="1" s="1"/>
  <c r="T681" i="1"/>
  <c r="AG681" i="1" s="1"/>
  <c r="T683" i="1"/>
  <c r="AG683" i="1" s="1"/>
  <c r="T685" i="1"/>
  <c r="AG685" i="1" s="1"/>
  <c r="W534" i="1"/>
  <c r="AJ534" i="1" s="1"/>
  <c r="Y552" i="1"/>
  <c r="AL552" i="1" s="1"/>
  <c r="O568" i="1"/>
  <c r="AB568" i="1" s="1"/>
  <c r="W586" i="1"/>
  <c r="AJ586" i="1" s="1"/>
  <c r="V597" i="1"/>
  <c r="AI597" i="1" s="1"/>
  <c r="R611" i="1"/>
  <c r="AE611" i="1" s="1"/>
  <c r="U613" i="1"/>
  <c r="AH613" i="1" s="1"/>
  <c r="O618" i="1"/>
  <c r="AB618" i="1" s="1"/>
  <c r="U619" i="1"/>
  <c r="AH619" i="1" s="1"/>
  <c r="T620" i="1"/>
  <c r="AG620" i="1" s="1"/>
  <c r="W621" i="1"/>
  <c r="AJ621" i="1" s="1"/>
  <c r="V622" i="1"/>
  <c r="AI622" i="1" s="1"/>
  <c r="Z623" i="1"/>
  <c r="AM623" i="1" s="1"/>
  <c r="X634" i="1"/>
  <c r="AK634" i="1" s="1"/>
  <c r="T635" i="1"/>
  <c r="AG635" i="1" s="1"/>
  <c r="O636" i="1"/>
  <c r="AB636" i="1" s="1"/>
  <c r="Z638" i="1"/>
  <c r="AM638" i="1" s="1"/>
  <c r="V639" i="1"/>
  <c r="AI639" i="1" s="1"/>
  <c r="R640" i="1"/>
  <c r="AE640" i="1" s="1"/>
  <c r="Y643" i="1"/>
  <c r="AL643" i="1" s="1"/>
  <c r="T644" i="1"/>
  <c r="AG644" i="1" s="1"/>
  <c r="P645" i="1"/>
  <c r="AC645" i="1" s="1"/>
  <c r="V648" i="1"/>
  <c r="AI648" i="1" s="1"/>
  <c r="R649" i="1"/>
  <c r="AE649" i="1" s="1"/>
  <c r="Y652" i="1"/>
  <c r="AL652" i="1" s="1"/>
  <c r="U653" i="1"/>
  <c r="AH653" i="1" s="1"/>
  <c r="O654" i="1"/>
  <c r="AB654" i="1" s="1"/>
  <c r="Z655" i="1"/>
  <c r="AM655" i="1" s="1"/>
  <c r="S656" i="1"/>
  <c r="AF656" i="1" s="1"/>
  <c r="V658" i="1"/>
  <c r="AI658" i="1" s="1"/>
  <c r="O659" i="1"/>
  <c r="AB659" i="1" s="1"/>
  <c r="Y660" i="1"/>
  <c r="AL660" i="1" s="1"/>
  <c r="R661" i="1"/>
  <c r="AE661" i="1" s="1"/>
  <c r="U663" i="1"/>
  <c r="AH663" i="1" s="1"/>
  <c r="U665" i="1"/>
  <c r="AH665" i="1" s="1"/>
  <c r="U667" i="1"/>
  <c r="AH667" i="1" s="1"/>
  <c r="U669" i="1"/>
  <c r="AH669" i="1" s="1"/>
  <c r="U671" i="1"/>
  <c r="AH671" i="1" s="1"/>
  <c r="U673" i="1"/>
  <c r="AH673" i="1" s="1"/>
  <c r="U675" i="1"/>
  <c r="AH675" i="1" s="1"/>
  <c r="U677" i="1"/>
  <c r="AH677" i="1" s="1"/>
  <c r="U679" i="1"/>
  <c r="AH679" i="1" s="1"/>
  <c r="U681" i="1"/>
  <c r="AH681" i="1" s="1"/>
  <c r="U683" i="1"/>
  <c r="AH683" i="1" s="1"/>
  <c r="U685" i="1"/>
  <c r="AH685" i="1" s="1"/>
  <c r="U687" i="1"/>
  <c r="AH687" i="1" s="1"/>
  <c r="U689" i="1"/>
  <c r="AH689" i="1" s="1"/>
  <c r="U691" i="1"/>
  <c r="AH691" i="1" s="1"/>
  <c r="U693" i="1"/>
  <c r="AH693" i="1" s="1"/>
  <c r="U695" i="1"/>
  <c r="AH695" i="1" s="1"/>
  <c r="U697" i="1"/>
  <c r="AH697" i="1" s="1"/>
  <c r="U699" i="1"/>
  <c r="AH699" i="1" s="1"/>
  <c r="U701" i="1"/>
  <c r="AH701" i="1" s="1"/>
  <c r="U703" i="1"/>
  <c r="AH703" i="1" s="1"/>
  <c r="U705" i="1"/>
  <c r="AH705" i="1" s="1"/>
  <c r="U707" i="1"/>
  <c r="AH707" i="1" s="1"/>
  <c r="U709" i="1"/>
  <c r="AH709" i="1" s="1"/>
  <c r="U711" i="1"/>
  <c r="AH711" i="1" s="1"/>
  <c r="U713" i="1"/>
  <c r="AH713" i="1" s="1"/>
  <c r="U715" i="1"/>
  <c r="AH715" i="1" s="1"/>
  <c r="U717" i="1"/>
  <c r="AH717" i="1" s="1"/>
  <c r="U719" i="1"/>
  <c r="AH719" i="1" s="1"/>
  <c r="U721" i="1"/>
  <c r="AH721" i="1" s="1"/>
  <c r="U723" i="1"/>
  <c r="AH723" i="1" s="1"/>
  <c r="U725" i="1"/>
  <c r="AH725" i="1" s="1"/>
  <c r="U727" i="1"/>
  <c r="AH727" i="1" s="1"/>
  <c r="U729" i="1"/>
  <c r="AH729" i="1" s="1"/>
  <c r="Y534" i="1"/>
  <c r="AL534" i="1" s="1"/>
  <c r="Z552" i="1"/>
  <c r="AM552" i="1" s="1"/>
  <c r="P568" i="1"/>
  <c r="AC568" i="1" s="1"/>
  <c r="X586" i="1"/>
  <c r="AK586" i="1" s="1"/>
  <c r="O592" i="1"/>
  <c r="AB592" i="1" s="1"/>
  <c r="W597" i="1"/>
  <c r="AJ597" i="1" s="1"/>
  <c r="U611" i="1"/>
  <c r="AH611" i="1" s="1"/>
  <c r="V613" i="1"/>
  <c r="AI613" i="1" s="1"/>
  <c r="R615" i="1"/>
  <c r="AE615" i="1" s="1"/>
  <c r="R618" i="1"/>
  <c r="AE618" i="1" s="1"/>
  <c r="V619" i="1"/>
  <c r="AI619" i="1" s="1"/>
  <c r="U620" i="1"/>
  <c r="AH620" i="1" s="1"/>
  <c r="Y621" i="1"/>
  <c r="AL621" i="1" s="1"/>
  <c r="Z622" i="1"/>
  <c r="AM622" i="1" s="1"/>
  <c r="Y634" i="1"/>
  <c r="AL634" i="1" s="1"/>
  <c r="U635" i="1"/>
  <c r="AH635" i="1" s="1"/>
  <c r="Q636" i="1"/>
  <c r="AD636" i="1" s="1"/>
  <c r="W639" i="1"/>
  <c r="AJ639" i="1" s="1"/>
  <c r="S640" i="1"/>
  <c r="AF640" i="1" s="1"/>
  <c r="Z643" i="1"/>
  <c r="AM643" i="1" s="1"/>
  <c r="U644" i="1"/>
  <c r="AH644" i="1" s="1"/>
  <c r="Q645" i="1"/>
  <c r="AD645" i="1" s="1"/>
  <c r="X648" i="1"/>
  <c r="AK648" i="1" s="1"/>
  <c r="T649" i="1"/>
  <c r="AG649" i="1" s="1"/>
  <c r="O650" i="1"/>
  <c r="AB650" i="1" s="1"/>
  <c r="Z652" i="1"/>
  <c r="AM652" i="1" s="1"/>
  <c r="V653" i="1"/>
  <c r="AI653" i="1" s="1"/>
  <c r="Q654" i="1"/>
  <c r="AD654" i="1" s="1"/>
  <c r="T656" i="1"/>
  <c r="AG656" i="1" s="1"/>
  <c r="W658" i="1"/>
  <c r="AJ658" i="1" s="1"/>
  <c r="P659" i="1"/>
  <c r="AC659" i="1" s="1"/>
  <c r="Z660" i="1"/>
  <c r="AM660" i="1" s="1"/>
  <c r="S661" i="1"/>
  <c r="AF661" i="1" s="1"/>
  <c r="V663" i="1"/>
  <c r="AI663" i="1" s="1"/>
  <c r="V665" i="1"/>
  <c r="AI665" i="1" s="1"/>
  <c r="V667" i="1"/>
  <c r="AI667" i="1" s="1"/>
  <c r="V669" i="1"/>
  <c r="AI669" i="1" s="1"/>
  <c r="V671" i="1"/>
  <c r="AI671" i="1" s="1"/>
  <c r="V673" i="1"/>
  <c r="AI673" i="1" s="1"/>
  <c r="V675" i="1"/>
  <c r="AI675" i="1" s="1"/>
  <c r="V677" i="1"/>
  <c r="AI677" i="1" s="1"/>
  <c r="V679" i="1"/>
  <c r="AI679" i="1" s="1"/>
  <c r="V681" i="1"/>
  <c r="AI681" i="1" s="1"/>
  <c r="V683" i="1"/>
  <c r="AI683" i="1" s="1"/>
  <c r="V685" i="1"/>
  <c r="AI685" i="1" s="1"/>
  <c r="Q536" i="1"/>
  <c r="AD536" i="1" s="1"/>
  <c r="X553" i="1"/>
  <c r="AK553" i="1" s="1"/>
  <c r="X575" i="1"/>
  <c r="AK575" i="1" s="1"/>
  <c r="X581" i="1"/>
  <c r="AK581" i="1" s="1"/>
  <c r="P587" i="1"/>
  <c r="AC587" i="1" s="1"/>
  <c r="V603" i="1"/>
  <c r="AI603" i="1" s="1"/>
  <c r="O608" i="1"/>
  <c r="AB608" i="1" s="1"/>
  <c r="V611" i="1"/>
  <c r="AI611" i="1" s="1"/>
  <c r="W613" i="1"/>
  <c r="AJ613" i="1" s="1"/>
  <c r="U615" i="1"/>
  <c r="AH615" i="1" s="1"/>
  <c r="T618" i="1"/>
  <c r="AG618" i="1" s="1"/>
  <c r="W619" i="1"/>
  <c r="AJ619" i="1" s="1"/>
  <c r="V620" i="1"/>
  <c r="AI620" i="1" s="1"/>
  <c r="Z621" i="1"/>
  <c r="AM621" i="1" s="1"/>
  <c r="O630" i="1"/>
  <c r="AB630" i="1" s="1"/>
  <c r="O632" i="1"/>
  <c r="AB632" i="1" s="1"/>
  <c r="Z634" i="1"/>
  <c r="AM634" i="1" s="1"/>
  <c r="V635" i="1"/>
  <c r="AI635" i="1" s="1"/>
  <c r="R636" i="1"/>
  <c r="AE636" i="1" s="1"/>
  <c r="Y639" i="1"/>
  <c r="AL639" i="1" s="1"/>
  <c r="T640" i="1"/>
  <c r="AG640" i="1" s="1"/>
  <c r="P641" i="1"/>
  <c r="AC641" i="1" s="1"/>
  <c r="V644" i="1"/>
  <c r="AI644" i="1" s="1"/>
  <c r="R645" i="1"/>
  <c r="AE645" i="1" s="1"/>
  <c r="Y648" i="1"/>
  <c r="AL648" i="1" s="1"/>
  <c r="U649" i="1"/>
  <c r="AH649" i="1" s="1"/>
  <c r="Q650" i="1"/>
  <c r="AD650" i="1" s="1"/>
  <c r="W653" i="1"/>
  <c r="AJ653" i="1" s="1"/>
  <c r="R654" i="1"/>
  <c r="AE654" i="1" s="1"/>
  <c r="U656" i="1"/>
  <c r="AH656" i="1" s="1"/>
  <c r="X658" i="1"/>
  <c r="AK658" i="1" s="1"/>
  <c r="Q659" i="1"/>
  <c r="AD659" i="1" s="1"/>
  <c r="T661" i="1"/>
  <c r="AG661" i="1" s="1"/>
  <c r="W663" i="1"/>
  <c r="AJ663" i="1" s="1"/>
  <c r="O664" i="1"/>
  <c r="AB664" i="1" s="1"/>
  <c r="W665" i="1"/>
  <c r="AJ665" i="1" s="1"/>
  <c r="O666" i="1"/>
  <c r="AB666" i="1" s="1"/>
  <c r="W667" i="1"/>
  <c r="AJ667" i="1" s="1"/>
  <c r="O668" i="1"/>
  <c r="AB668" i="1" s="1"/>
  <c r="W669" i="1"/>
  <c r="AJ669" i="1" s="1"/>
  <c r="O670" i="1"/>
  <c r="AB670" i="1" s="1"/>
  <c r="W671" i="1"/>
  <c r="AJ671" i="1" s="1"/>
  <c r="O672" i="1"/>
  <c r="AB672" i="1" s="1"/>
  <c r="W673" i="1"/>
  <c r="AJ673" i="1" s="1"/>
  <c r="O674" i="1"/>
  <c r="AB674" i="1" s="1"/>
  <c r="W675" i="1"/>
  <c r="AJ675" i="1" s="1"/>
  <c r="O676" i="1"/>
  <c r="AB676" i="1" s="1"/>
  <c r="W677" i="1"/>
  <c r="AJ677" i="1" s="1"/>
  <c r="O678" i="1"/>
  <c r="AB678" i="1" s="1"/>
  <c r="W679" i="1"/>
  <c r="AJ679" i="1" s="1"/>
  <c r="O680" i="1"/>
  <c r="AB680" i="1" s="1"/>
  <c r="W681" i="1"/>
  <c r="AJ681" i="1" s="1"/>
  <c r="O682" i="1"/>
  <c r="AB682" i="1" s="1"/>
  <c r="W683" i="1"/>
  <c r="AJ683" i="1" s="1"/>
  <c r="O684" i="1"/>
  <c r="AB684" i="1" s="1"/>
  <c r="W685" i="1"/>
  <c r="AJ685" i="1" s="1"/>
  <c r="O686" i="1"/>
  <c r="AB686" i="1" s="1"/>
  <c r="O497" i="1"/>
  <c r="AB497" i="1" s="1"/>
  <c r="W536" i="1"/>
  <c r="AJ536" i="1" s="1"/>
  <c r="O545" i="1"/>
  <c r="AB545" i="1" s="1"/>
  <c r="Y553" i="1"/>
  <c r="AL553" i="1" s="1"/>
  <c r="Y575" i="1"/>
  <c r="AL575" i="1" s="1"/>
  <c r="Y581" i="1"/>
  <c r="AL581" i="1" s="1"/>
  <c r="Q587" i="1"/>
  <c r="AD587" i="1" s="1"/>
  <c r="O598" i="1"/>
  <c r="AB598" i="1" s="1"/>
  <c r="W603" i="1"/>
  <c r="AJ603" i="1" s="1"/>
  <c r="W611" i="1"/>
  <c r="AJ611" i="1" s="1"/>
  <c r="V615" i="1"/>
  <c r="AI615" i="1" s="1"/>
  <c r="U618" i="1"/>
  <c r="AH618" i="1" s="1"/>
  <c r="Y619" i="1"/>
  <c r="AL619" i="1" s="1"/>
  <c r="Z620" i="1"/>
  <c r="AM620" i="1" s="1"/>
  <c r="Q630" i="1"/>
  <c r="AD630" i="1" s="1"/>
  <c r="R631" i="1"/>
  <c r="AE631" i="1" s="1"/>
  <c r="Q632" i="1"/>
  <c r="AD632" i="1" s="1"/>
  <c r="W635" i="1"/>
  <c r="AJ635" i="1" s="1"/>
  <c r="S636" i="1"/>
  <c r="AF636" i="1" s="1"/>
  <c r="Z639" i="1"/>
  <c r="AM639" i="1" s="1"/>
  <c r="U640" i="1"/>
  <c r="AH640" i="1" s="1"/>
  <c r="Q641" i="1"/>
  <c r="AD641" i="1" s="1"/>
  <c r="X644" i="1"/>
  <c r="AK644" i="1" s="1"/>
  <c r="T645" i="1"/>
  <c r="AG645" i="1" s="1"/>
  <c r="O646" i="1"/>
  <c r="AB646" i="1" s="1"/>
  <c r="Z648" i="1"/>
  <c r="AM648" i="1" s="1"/>
  <c r="V649" i="1"/>
  <c r="AI649" i="1" s="1"/>
  <c r="R650" i="1"/>
  <c r="AE650" i="1" s="1"/>
  <c r="Y653" i="1"/>
  <c r="AL653" i="1" s="1"/>
  <c r="S654" i="1"/>
  <c r="AF654" i="1" s="1"/>
  <c r="V656" i="1"/>
  <c r="AI656" i="1" s="1"/>
  <c r="O657" i="1"/>
  <c r="AB657" i="1" s="1"/>
  <c r="Y658" i="1"/>
  <c r="AL658" i="1" s="1"/>
  <c r="R659" i="1"/>
  <c r="AE659" i="1" s="1"/>
  <c r="U661" i="1"/>
  <c r="AH661" i="1" s="1"/>
  <c r="X663" i="1"/>
  <c r="AK663" i="1" s="1"/>
  <c r="P664" i="1"/>
  <c r="AC664" i="1" s="1"/>
  <c r="X665" i="1"/>
  <c r="AK665" i="1" s="1"/>
  <c r="P666" i="1"/>
  <c r="AC666" i="1" s="1"/>
  <c r="X667" i="1"/>
  <c r="AK667" i="1" s="1"/>
  <c r="P668" i="1"/>
  <c r="AC668" i="1" s="1"/>
  <c r="X669" i="1"/>
  <c r="AK669" i="1" s="1"/>
  <c r="P670" i="1"/>
  <c r="AC670" i="1" s="1"/>
  <c r="X671" i="1"/>
  <c r="AK671" i="1" s="1"/>
  <c r="P672" i="1"/>
  <c r="AC672" i="1" s="1"/>
  <c r="X673" i="1"/>
  <c r="AK673" i="1" s="1"/>
  <c r="P674" i="1"/>
  <c r="AC674" i="1" s="1"/>
  <c r="X675" i="1"/>
  <c r="AK675" i="1" s="1"/>
  <c r="P676" i="1"/>
  <c r="AC676" i="1" s="1"/>
  <c r="X677" i="1"/>
  <c r="AK677" i="1" s="1"/>
  <c r="P678" i="1"/>
  <c r="AC678" i="1" s="1"/>
  <c r="X679" i="1"/>
  <c r="AK679" i="1" s="1"/>
  <c r="P680" i="1"/>
  <c r="AC680" i="1" s="1"/>
  <c r="X681" i="1"/>
  <c r="AK681" i="1" s="1"/>
  <c r="P682" i="1"/>
  <c r="AC682" i="1" s="1"/>
  <c r="X683" i="1"/>
  <c r="AK683" i="1" s="1"/>
  <c r="P684" i="1"/>
  <c r="AC684" i="1" s="1"/>
  <c r="X685" i="1"/>
  <c r="AK685" i="1" s="1"/>
  <c r="P686" i="1"/>
  <c r="AC686" i="1" s="1"/>
  <c r="P503" i="1"/>
  <c r="AC503" i="1" s="1"/>
  <c r="W537" i="1"/>
  <c r="AJ537" i="1" s="1"/>
  <c r="T576" i="1"/>
  <c r="AG576" i="1" s="1"/>
  <c r="Q582" i="1"/>
  <c r="AD582" i="1" s="1"/>
  <c r="V593" i="1"/>
  <c r="AI593" i="1" s="1"/>
  <c r="W615" i="1"/>
  <c r="AJ615" i="1" s="1"/>
  <c r="V618" i="1"/>
  <c r="AI618" i="1" s="1"/>
  <c r="Z619" i="1"/>
  <c r="AM619" i="1" s="1"/>
  <c r="O628" i="1"/>
  <c r="AB628" i="1" s="1"/>
  <c r="R630" i="1"/>
  <c r="AE630" i="1" s="1"/>
  <c r="U631" i="1"/>
  <c r="AH631" i="1" s="1"/>
  <c r="R632" i="1"/>
  <c r="AE632" i="1" s="1"/>
  <c r="Y635" i="1"/>
  <c r="AL635" i="1" s="1"/>
  <c r="T636" i="1"/>
  <c r="AG636" i="1" s="1"/>
  <c r="P637" i="1"/>
  <c r="AC637" i="1" s="1"/>
  <c r="V640" i="1"/>
  <c r="AI640" i="1" s="1"/>
  <c r="R641" i="1"/>
  <c r="AE641" i="1" s="1"/>
  <c r="Y644" i="1"/>
  <c r="AL644" i="1" s="1"/>
  <c r="U645" i="1"/>
  <c r="AH645" i="1" s="1"/>
  <c r="Q646" i="1"/>
  <c r="AD646" i="1" s="1"/>
  <c r="W649" i="1"/>
  <c r="AJ649" i="1" s="1"/>
  <c r="S650" i="1"/>
  <c r="AF650" i="1" s="1"/>
  <c r="Z653" i="1"/>
  <c r="AM653" i="1" s="1"/>
  <c r="T654" i="1"/>
  <c r="AG654" i="1" s="1"/>
  <c r="W656" i="1"/>
  <c r="AJ656" i="1" s="1"/>
  <c r="P657" i="1"/>
  <c r="AC657" i="1" s="1"/>
  <c r="Z658" i="1"/>
  <c r="AM658" i="1" s="1"/>
  <c r="S659" i="1"/>
  <c r="AF659" i="1" s="1"/>
  <c r="V661" i="1"/>
  <c r="AI661" i="1" s="1"/>
  <c r="O662" i="1"/>
  <c r="AB662" i="1" s="1"/>
  <c r="Y663" i="1"/>
  <c r="AL663" i="1" s="1"/>
  <c r="Q664" i="1"/>
  <c r="AD664" i="1" s="1"/>
  <c r="Y665" i="1"/>
  <c r="AL665" i="1" s="1"/>
  <c r="Q666" i="1"/>
  <c r="AD666" i="1" s="1"/>
  <c r="Y667" i="1"/>
  <c r="AL667" i="1" s="1"/>
  <c r="Q668" i="1"/>
  <c r="AD668" i="1" s="1"/>
  <c r="Y669" i="1"/>
  <c r="AL669" i="1" s="1"/>
  <c r="Q670" i="1"/>
  <c r="AD670" i="1" s="1"/>
  <c r="Y671" i="1"/>
  <c r="AL671" i="1" s="1"/>
  <c r="Q672" i="1"/>
  <c r="AD672" i="1" s="1"/>
  <c r="Y673" i="1"/>
  <c r="AL673" i="1" s="1"/>
  <c r="Q674" i="1"/>
  <c r="AD674" i="1" s="1"/>
  <c r="Y675" i="1"/>
  <c r="AL675" i="1" s="1"/>
  <c r="Q676" i="1"/>
  <c r="AD676" i="1" s="1"/>
  <c r="Y677" i="1"/>
  <c r="AL677" i="1" s="1"/>
  <c r="Q678" i="1"/>
  <c r="AD678" i="1" s="1"/>
  <c r="Y679" i="1"/>
  <c r="AL679" i="1" s="1"/>
  <c r="Q680" i="1"/>
  <c r="AD680" i="1" s="1"/>
  <c r="Y681" i="1"/>
  <c r="AL681" i="1" s="1"/>
  <c r="Q682" i="1"/>
  <c r="AD682" i="1" s="1"/>
  <c r="Y683" i="1"/>
  <c r="AL683" i="1" s="1"/>
  <c r="Q684" i="1"/>
  <c r="AD684" i="1" s="1"/>
  <c r="Y685" i="1"/>
  <c r="AL685" i="1" s="1"/>
  <c r="Q503" i="1"/>
  <c r="AD503" i="1" s="1"/>
  <c r="X537" i="1"/>
  <c r="AK537" i="1" s="1"/>
  <c r="O546" i="1"/>
  <c r="AB546" i="1" s="1"/>
  <c r="U576" i="1"/>
  <c r="AH576" i="1" s="1"/>
  <c r="R582" i="1"/>
  <c r="AE582" i="1" s="1"/>
  <c r="W593" i="1"/>
  <c r="AJ593" i="1" s="1"/>
  <c r="O604" i="1"/>
  <c r="AB604" i="1" s="1"/>
  <c r="R617" i="1"/>
  <c r="AE617" i="1" s="1"/>
  <c r="Z618" i="1"/>
  <c r="AM618" i="1" s="1"/>
  <c r="Q628" i="1"/>
  <c r="AD628" i="1" s="1"/>
  <c r="R629" i="1"/>
  <c r="AE629" i="1" s="1"/>
  <c r="S630" i="1"/>
  <c r="AF630" i="1" s="1"/>
  <c r="V631" i="1"/>
  <c r="AI631" i="1" s="1"/>
  <c r="S632" i="1"/>
  <c r="AF632" i="1" s="1"/>
  <c r="Z635" i="1"/>
  <c r="AM635" i="1" s="1"/>
  <c r="U636" i="1"/>
  <c r="AH636" i="1" s="1"/>
  <c r="Q637" i="1"/>
  <c r="AD637" i="1" s="1"/>
  <c r="X640" i="1"/>
  <c r="AK640" i="1" s="1"/>
  <c r="T641" i="1"/>
  <c r="AG641" i="1" s="1"/>
  <c r="O642" i="1"/>
  <c r="AB642" i="1" s="1"/>
  <c r="Z644" i="1"/>
  <c r="AM644" i="1" s="1"/>
  <c r="V645" i="1"/>
  <c r="AI645" i="1" s="1"/>
  <c r="R646" i="1"/>
  <c r="AE646" i="1" s="1"/>
  <c r="Y649" i="1"/>
  <c r="AL649" i="1" s="1"/>
  <c r="T650" i="1"/>
  <c r="AG650" i="1" s="1"/>
  <c r="P651" i="1"/>
  <c r="AC651" i="1" s="1"/>
  <c r="U654" i="1"/>
  <c r="AH654" i="1" s="1"/>
  <c r="X656" i="1"/>
  <c r="AK656" i="1" s="1"/>
  <c r="Q657" i="1"/>
  <c r="AD657" i="1" s="1"/>
  <c r="T659" i="1"/>
  <c r="AG659" i="1" s="1"/>
  <c r="W661" i="1"/>
  <c r="AJ661" i="1" s="1"/>
  <c r="Q662" i="1"/>
  <c r="AD662" i="1" s="1"/>
  <c r="Z663" i="1"/>
  <c r="AM663" i="1" s="1"/>
  <c r="R664" i="1"/>
  <c r="AE664" i="1" s="1"/>
  <c r="Z665" i="1"/>
  <c r="AM665" i="1" s="1"/>
  <c r="R666" i="1"/>
  <c r="AE666" i="1" s="1"/>
  <c r="Z667" i="1"/>
  <c r="AM667" i="1" s="1"/>
  <c r="R668" i="1"/>
  <c r="AE668" i="1" s="1"/>
  <c r="Z669" i="1"/>
  <c r="AM669" i="1" s="1"/>
  <c r="R670" i="1"/>
  <c r="AE670" i="1" s="1"/>
  <c r="Z671" i="1"/>
  <c r="AM671" i="1" s="1"/>
  <c r="R672" i="1"/>
  <c r="AE672" i="1" s="1"/>
  <c r="Z673" i="1"/>
  <c r="AM673" i="1" s="1"/>
  <c r="R674" i="1"/>
  <c r="AE674" i="1" s="1"/>
  <c r="Z675" i="1"/>
  <c r="AM675" i="1" s="1"/>
  <c r="R676" i="1"/>
  <c r="AE676" i="1" s="1"/>
  <c r="Z677" i="1"/>
  <c r="AM677" i="1" s="1"/>
  <c r="R678" i="1"/>
  <c r="AE678" i="1" s="1"/>
  <c r="Z679" i="1"/>
  <c r="AM679" i="1" s="1"/>
  <c r="R680" i="1"/>
  <c r="AE680" i="1" s="1"/>
  <c r="Z681" i="1"/>
  <c r="AM681" i="1" s="1"/>
  <c r="R682" i="1"/>
  <c r="AE682" i="1" s="1"/>
  <c r="Z508" i="1"/>
  <c r="AM508" i="1" s="1"/>
  <c r="Q547" i="1"/>
  <c r="AD547" i="1" s="1"/>
  <c r="Z555" i="1"/>
  <c r="AM555" i="1" s="1"/>
  <c r="Z563" i="1"/>
  <c r="AM563" i="1" s="1"/>
  <c r="Z570" i="1"/>
  <c r="AM570" i="1" s="1"/>
  <c r="O577" i="1"/>
  <c r="AB577" i="1" s="1"/>
  <c r="Z588" i="1"/>
  <c r="AM588" i="1" s="1"/>
  <c r="V599" i="1"/>
  <c r="AI599" i="1" s="1"/>
  <c r="U609" i="1"/>
  <c r="AH609" i="1" s="1"/>
  <c r="U617" i="1"/>
  <c r="AH617" i="1" s="1"/>
  <c r="O626" i="1"/>
  <c r="AB626" i="1" s="1"/>
  <c r="R628" i="1"/>
  <c r="AE628" i="1" s="1"/>
  <c r="U629" i="1"/>
  <c r="AH629" i="1" s="1"/>
  <c r="T630" i="1"/>
  <c r="AG630" i="1" s="1"/>
  <c r="W631" i="1"/>
  <c r="AJ631" i="1" s="1"/>
  <c r="T632" i="1"/>
  <c r="AG632" i="1" s="1"/>
  <c r="P633" i="1"/>
  <c r="AC633" i="1" s="1"/>
  <c r="V636" i="1"/>
  <c r="AI636" i="1" s="1"/>
  <c r="R637" i="1"/>
  <c r="AE637" i="1" s="1"/>
  <c r="Y640" i="1"/>
  <c r="AL640" i="1" s="1"/>
  <c r="U641" i="1"/>
  <c r="AH641" i="1" s="1"/>
  <c r="Q642" i="1"/>
  <c r="AD642" i="1" s="1"/>
  <c r="W645" i="1"/>
  <c r="AJ645" i="1" s="1"/>
  <c r="S646" i="1"/>
  <c r="AF646" i="1" s="1"/>
  <c r="Z649" i="1"/>
  <c r="AM649" i="1" s="1"/>
  <c r="U650" i="1"/>
  <c r="AH650" i="1" s="1"/>
  <c r="Q651" i="1"/>
  <c r="AD651" i="1" s="1"/>
  <c r="V654" i="1"/>
  <c r="AI654" i="1" s="1"/>
  <c r="O655" i="1"/>
  <c r="AB655" i="1" s="1"/>
  <c r="Y656" i="1"/>
  <c r="AL656" i="1" s="1"/>
  <c r="R657" i="1"/>
  <c r="AE657" i="1" s="1"/>
  <c r="U659" i="1"/>
  <c r="AH659" i="1" s="1"/>
  <c r="Y661" i="1"/>
  <c r="AL661" i="1" s="1"/>
  <c r="R662" i="1"/>
  <c r="AE662" i="1" s="1"/>
  <c r="S664" i="1"/>
  <c r="AF664" i="1" s="1"/>
  <c r="S666" i="1"/>
  <c r="AF666" i="1" s="1"/>
  <c r="S668" i="1"/>
  <c r="AF668" i="1" s="1"/>
  <c r="S670" i="1"/>
  <c r="AF670" i="1" s="1"/>
  <c r="S672" i="1"/>
  <c r="AF672" i="1" s="1"/>
  <c r="S674" i="1"/>
  <c r="AF674" i="1" s="1"/>
  <c r="S676" i="1"/>
  <c r="AF676" i="1" s="1"/>
  <c r="S678" i="1"/>
  <c r="AF678" i="1" s="1"/>
  <c r="S680" i="1"/>
  <c r="AF680" i="1" s="1"/>
  <c r="S682" i="1"/>
  <c r="AF682" i="1" s="1"/>
  <c r="S684" i="1"/>
  <c r="AF684" i="1" s="1"/>
  <c r="S686" i="1"/>
  <c r="AF686" i="1" s="1"/>
  <c r="S688" i="1"/>
  <c r="AF688" i="1" s="1"/>
  <c r="S690" i="1"/>
  <c r="AF690" i="1" s="1"/>
  <c r="S692" i="1"/>
  <c r="AF692" i="1" s="1"/>
  <c r="S694" i="1"/>
  <c r="AF694" i="1" s="1"/>
  <c r="S696" i="1"/>
  <c r="AF696" i="1" s="1"/>
  <c r="S698" i="1"/>
  <c r="AF698" i="1" s="1"/>
  <c r="S700" i="1"/>
  <c r="AF700" i="1" s="1"/>
  <c r="S702" i="1"/>
  <c r="AF702" i="1" s="1"/>
  <c r="S704" i="1"/>
  <c r="AF704" i="1" s="1"/>
  <c r="S706" i="1"/>
  <c r="AF706" i="1" s="1"/>
  <c r="S708" i="1"/>
  <c r="AF708" i="1" s="1"/>
  <c r="S710" i="1"/>
  <c r="AF710" i="1" s="1"/>
  <c r="R547" i="1"/>
  <c r="AE547" i="1" s="1"/>
  <c r="P577" i="1"/>
  <c r="AC577" i="1" s="1"/>
  <c r="O594" i="1"/>
  <c r="AB594" i="1" s="1"/>
  <c r="W599" i="1"/>
  <c r="AJ599" i="1" s="1"/>
  <c r="V609" i="1"/>
  <c r="AI609" i="1" s="1"/>
  <c r="V617" i="1"/>
  <c r="AI617" i="1" s="1"/>
  <c r="Q626" i="1"/>
  <c r="AD626" i="1" s="1"/>
  <c r="R627" i="1"/>
  <c r="AE627" i="1" s="1"/>
  <c r="S628" i="1"/>
  <c r="AF628" i="1" s="1"/>
  <c r="V629" i="1"/>
  <c r="AI629" i="1" s="1"/>
  <c r="U630" i="1"/>
  <c r="AH630" i="1" s="1"/>
  <c r="Y631" i="1"/>
  <c r="AL631" i="1" s="1"/>
  <c r="U632" i="1"/>
  <c r="AH632" i="1" s="1"/>
  <c r="Q633" i="1"/>
  <c r="AD633" i="1" s="1"/>
  <c r="X636" i="1"/>
  <c r="AK636" i="1" s="1"/>
  <c r="T637" i="1"/>
  <c r="AG637" i="1" s="1"/>
  <c r="O638" i="1"/>
  <c r="AB638" i="1" s="1"/>
  <c r="Z640" i="1"/>
  <c r="AM640" i="1" s="1"/>
  <c r="V641" i="1"/>
  <c r="AI641" i="1" s="1"/>
  <c r="R642" i="1"/>
  <c r="AE642" i="1" s="1"/>
  <c r="Y645" i="1"/>
  <c r="AL645" i="1" s="1"/>
  <c r="T646" i="1"/>
  <c r="AG646" i="1" s="1"/>
  <c r="P647" i="1"/>
  <c r="AC647" i="1" s="1"/>
  <c r="V650" i="1"/>
  <c r="AI650" i="1" s="1"/>
  <c r="R651" i="1"/>
  <c r="AE651" i="1" s="1"/>
  <c r="W654" i="1"/>
  <c r="AJ654" i="1" s="1"/>
  <c r="P655" i="1"/>
  <c r="AC655" i="1" s="1"/>
  <c r="Z656" i="1"/>
  <c r="AM656" i="1" s="1"/>
  <c r="S657" i="1"/>
  <c r="AF657" i="1" s="1"/>
  <c r="V659" i="1"/>
  <c r="AI659" i="1" s="1"/>
  <c r="O660" i="1"/>
  <c r="AB660" i="1" s="1"/>
  <c r="Z661" i="1"/>
  <c r="AM661" i="1" s="1"/>
  <c r="S662" i="1"/>
  <c r="AF662" i="1" s="1"/>
  <c r="T664" i="1"/>
  <c r="AG664" i="1" s="1"/>
  <c r="T666" i="1"/>
  <c r="AG666" i="1" s="1"/>
  <c r="T668" i="1"/>
  <c r="AG668" i="1" s="1"/>
  <c r="T670" i="1"/>
  <c r="AG670" i="1" s="1"/>
  <c r="T672" i="1"/>
  <c r="AG672" i="1" s="1"/>
  <c r="T674" i="1"/>
  <c r="AG674" i="1" s="1"/>
  <c r="T676" i="1"/>
  <c r="AG676" i="1" s="1"/>
  <c r="T678" i="1"/>
  <c r="AG678" i="1" s="1"/>
  <c r="T680" i="1"/>
  <c r="AG680" i="1" s="1"/>
  <c r="T682" i="1"/>
  <c r="AG682" i="1" s="1"/>
  <c r="T684" i="1"/>
  <c r="AG684" i="1" s="1"/>
  <c r="T686" i="1"/>
  <c r="AG686" i="1" s="1"/>
  <c r="T688" i="1"/>
  <c r="AG688" i="1" s="1"/>
  <c r="T690" i="1"/>
  <c r="AG690" i="1" s="1"/>
  <c r="T692" i="1"/>
  <c r="AG692" i="1" s="1"/>
  <c r="T694" i="1"/>
  <c r="AG694" i="1" s="1"/>
  <c r="T696" i="1"/>
  <c r="AG696" i="1" s="1"/>
  <c r="T698" i="1"/>
  <c r="AG698" i="1" s="1"/>
  <c r="T700" i="1"/>
  <c r="AG700" i="1" s="1"/>
  <c r="T702" i="1"/>
  <c r="AG702" i="1" s="1"/>
  <c r="T704" i="1"/>
  <c r="AG704" i="1" s="1"/>
  <c r="T706" i="1"/>
  <c r="AG706" i="1" s="1"/>
  <c r="U451" i="1"/>
  <c r="AH451" i="1" s="1"/>
  <c r="Z539" i="1"/>
  <c r="AM539" i="1" s="1"/>
  <c r="P548" i="1"/>
  <c r="AC548" i="1" s="1"/>
  <c r="V571" i="1"/>
  <c r="AI571" i="1" s="1"/>
  <c r="S589" i="1"/>
  <c r="AF589" i="1" s="1"/>
  <c r="V605" i="1"/>
  <c r="AI605" i="1" s="1"/>
  <c r="W609" i="1"/>
  <c r="AJ609" i="1" s="1"/>
  <c r="O612" i="1"/>
  <c r="AB612" i="1" s="1"/>
  <c r="O614" i="1"/>
  <c r="AB614" i="1" s="1"/>
  <c r="W617" i="1"/>
  <c r="AJ617" i="1" s="1"/>
  <c r="O624" i="1"/>
  <c r="AB624" i="1" s="1"/>
  <c r="R626" i="1"/>
  <c r="AE626" i="1" s="1"/>
  <c r="U627" i="1"/>
  <c r="AH627" i="1" s="1"/>
  <c r="T628" i="1"/>
  <c r="AG628" i="1" s="1"/>
  <c r="W629" i="1"/>
  <c r="AJ629" i="1" s="1"/>
  <c r="V630" i="1"/>
  <c r="AI630" i="1" s="1"/>
  <c r="Z631" i="1"/>
  <c r="AM631" i="1" s="1"/>
  <c r="V632" i="1"/>
  <c r="AI632" i="1" s="1"/>
  <c r="R633" i="1"/>
  <c r="AE633" i="1" s="1"/>
  <c r="Y636" i="1"/>
  <c r="AL636" i="1" s="1"/>
  <c r="U637" i="1"/>
  <c r="AH637" i="1" s="1"/>
  <c r="Q638" i="1"/>
  <c r="AD638" i="1" s="1"/>
  <c r="W641" i="1"/>
  <c r="AJ641" i="1" s="1"/>
  <c r="S642" i="1"/>
  <c r="AF642" i="1" s="1"/>
  <c r="Z645" i="1"/>
  <c r="AM645" i="1" s="1"/>
  <c r="U646" i="1"/>
  <c r="AH646" i="1" s="1"/>
  <c r="Q647" i="1"/>
  <c r="AD647" i="1" s="1"/>
  <c r="X650" i="1"/>
  <c r="AK650" i="1" s="1"/>
  <c r="T651" i="1"/>
  <c r="AG651" i="1" s="1"/>
  <c r="O652" i="1"/>
  <c r="AB652" i="1" s="1"/>
  <c r="X654" i="1"/>
  <c r="AK654" i="1" s="1"/>
  <c r="Q655" i="1"/>
  <c r="AD655" i="1" s="1"/>
  <c r="T657" i="1"/>
  <c r="AG657" i="1" s="1"/>
  <c r="W659" i="1"/>
  <c r="AJ659" i="1" s="1"/>
  <c r="Q660" i="1"/>
  <c r="AD660" i="1" s="1"/>
  <c r="T662" i="1"/>
  <c r="AG662" i="1" s="1"/>
  <c r="U664" i="1"/>
  <c r="AH664" i="1" s="1"/>
  <c r="U666" i="1"/>
  <c r="AH666" i="1" s="1"/>
  <c r="U668" i="1"/>
  <c r="AH668" i="1" s="1"/>
  <c r="U670" i="1"/>
  <c r="AH670" i="1" s="1"/>
  <c r="U672" i="1"/>
  <c r="AH672" i="1" s="1"/>
  <c r="U674" i="1"/>
  <c r="AH674" i="1" s="1"/>
  <c r="U676" i="1"/>
  <c r="AH676" i="1" s="1"/>
  <c r="U678" i="1"/>
  <c r="AH678" i="1" s="1"/>
  <c r="U680" i="1"/>
  <c r="AH680" i="1" s="1"/>
  <c r="U682" i="1"/>
  <c r="AH682" i="1" s="1"/>
  <c r="U684" i="1"/>
  <c r="AH684" i="1" s="1"/>
  <c r="U686" i="1"/>
  <c r="AH686" i="1" s="1"/>
  <c r="U688" i="1"/>
  <c r="AH688" i="1" s="1"/>
  <c r="U690" i="1"/>
  <c r="AH690" i="1" s="1"/>
  <c r="U692" i="1"/>
  <c r="AH692" i="1" s="1"/>
  <c r="U694" i="1"/>
  <c r="AH694" i="1" s="1"/>
  <c r="U696" i="1"/>
  <c r="AH696" i="1" s="1"/>
  <c r="U698" i="1"/>
  <c r="AH698" i="1" s="1"/>
  <c r="U700" i="1"/>
  <c r="AH700" i="1" s="1"/>
  <c r="U702" i="1"/>
  <c r="AH702" i="1" s="1"/>
  <c r="U704" i="1"/>
  <c r="AH704" i="1" s="1"/>
  <c r="U706" i="1"/>
  <c r="AH706" i="1" s="1"/>
  <c r="V451" i="1"/>
  <c r="AI451" i="1" s="1"/>
  <c r="Q548" i="1"/>
  <c r="AD548" i="1" s="1"/>
  <c r="W571" i="1"/>
  <c r="AJ571" i="1" s="1"/>
  <c r="U589" i="1"/>
  <c r="AH589" i="1" s="1"/>
  <c r="O600" i="1"/>
  <c r="AB600" i="1" s="1"/>
  <c r="W605" i="1"/>
  <c r="AJ605" i="1" s="1"/>
  <c r="V612" i="1"/>
  <c r="AI612" i="1" s="1"/>
  <c r="U614" i="1"/>
  <c r="AH614" i="1" s="1"/>
  <c r="Z617" i="1"/>
  <c r="AM617" i="1" s="1"/>
  <c r="Q624" i="1"/>
  <c r="AD624" i="1" s="1"/>
  <c r="R625" i="1"/>
  <c r="AE625" i="1" s="1"/>
  <c r="S626" i="1"/>
  <c r="AF626" i="1" s="1"/>
  <c r="V627" i="1"/>
  <c r="AI627" i="1" s="1"/>
  <c r="U628" i="1"/>
  <c r="AH628" i="1" s="1"/>
  <c r="Y629" i="1"/>
  <c r="AL629" i="1" s="1"/>
  <c r="Z630" i="1"/>
  <c r="AM630" i="1" s="1"/>
  <c r="X632" i="1"/>
  <c r="AK632" i="1" s="1"/>
  <c r="T633" i="1"/>
  <c r="AG633" i="1" s="1"/>
  <c r="O634" i="1"/>
  <c r="AB634" i="1" s="1"/>
  <c r="Z636" i="1"/>
  <c r="AM636" i="1" s="1"/>
  <c r="V637" i="1"/>
  <c r="AI637" i="1" s="1"/>
  <c r="R638" i="1"/>
  <c r="AE638" i="1" s="1"/>
  <c r="Y641" i="1"/>
  <c r="AL641" i="1" s="1"/>
  <c r="T642" i="1"/>
  <c r="AG642" i="1" s="1"/>
  <c r="P643" i="1"/>
  <c r="AC643" i="1" s="1"/>
  <c r="V646" i="1"/>
  <c r="AI646" i="1" s="1"/>
  <c r="R647" i="1"/>
  <c r="AE647" i="1" s="1"/>
  <c r="Y650" i="1"/>
  <c r="AL650" i="1" s="1"/>
  <c r="U651" i="1"/>
  <c r="AH651" i="1" s="1"/>
  <c r="Q652" i="1"/>
  <c r="AD652" i="1" s="1"/>
  <c r="Y654" i="1"/>
  <c r="AL654" i="1" s="1"/>
  <c r="R655" i="1"/>
  <c r="AE655" i="1" s="1"/>
  <c r="U657" i="1"/>
  <c r="AH657" i="1" s="1"/>
  <c r="Y659" i="1"/>
  <c r="AL659" i="1" s="1"/>
  <c r="R660" i="1"/>
  <c r="AE660" i="1" s="1"/>
  <c r="U662" i="1"/>
  <c r="AH662" i="1" s="1"/>
  <c r="V664" i="1"/>
  <c r="AI664" i="1" s="1"/>
  <c r="V666" i="1"/>
  <c r="AI666" i="1" s="1"/>
  <c r="V668" i="1"/>
  <c r="AI668" i="1" s="1"/>
  <c r="V670" i="1"/>
  <c r="AI670" i="1" s="1"/>
  <c r="V672" i="1"/>
  <c r="AI672" i="1" s="1"/>
  <c r="V674" i="1"/>
  <c r="AI674" i="1" s="1"/>
  <c r="V676" i="1"/>
  <c r="AI676" i="1" s="1"/>
  <c r="V678" i="1"/>
  <c r="AI678" i="1" s="1"/>
  <c r="V680" i="1"/>
  <c r="AI680" i="1" s="1"/>
  <c r="V682" i="1"/>
  <c r="AI682" i="1" s="1"/>
  <c r="V684" i="1"/>
  <c r="AI684" i="1" s="1"/>
  <c r="V686" i="1"/>
  <c r="AI686" i="1" s="1"/>
  <c r="V688" i="1"/>
  <c r="AI688" i="1" s="1"/>
  <c r="V690" i="1"/>
  <c r="AI690" i="1" s="1"/>
  <c r="V692" i="1"/>
  <c r="AI692" i="1" s="1"/>
  <c r="V694" i="1"/>
  <c r="AI694" i="1" s="1"/>
  <c r="V696" i="1"/>
  <c r="AI696" i="1" s="1"/>
  <c r="V698" i="1"/>
  <c r="AI698" i="1" s="1"/>
  <c r="V700" i="1"/>
  <c r="AI700" i="1" s="1"/>
  <c r="V702" i="1"/>
  <c r="AI702" i="1" s="1"/>
  <c r="V704" i="1"/>
  <c r="AI704" i="1" s="1"/>
  <c r="V706" i="1"/>
  <c r="AI706" i="1" s="1"/>
  <c r="V708" i="1"/>
  <c r="AI708" i="1" s="1"/>
  <c r="V710" i="1"/>
  <c r="AI710" i="1" s="1"/>
  <c r="Y467" i="1"/>
  <c r="AL467" i="1" s="1"/>
  <c r="R519" i="1"/>
  <c r="AE519" i="1" s="1"/>
  <c r="S549" i="1"/>
  <c r="AF549" i="1" s="1"/>
  <c r="X565" i="1"/>
  <c r="AK565" i="1" s="1"/>
  <c r="Q572" i="1"/>
  <c r="AD572" i="1" s="1"/>
  <c r="T584" i="1"/>
  <c r="AG584" i="1" s="1"/>
  <c r="V595" i="1"/>
  <c r="AI595" i="1" s="1"/>
  <c r="Z612" i="1"/>
  <c r="AM612" i="1" s="1"/>
  <c r="V614" i="1"/>
  <c r="AI614" i="1" s="1"/>
  <c r="O616" i="1"/>
  <c r="AB616" i="1" s="1"/>
  <c r="O622" i="1"/>
  <c r="AB622" i="1" s="1"/>
  <c r="R624" i="1"/>
  <c r="AE624" i="1" s="1"/>
  <c r="U625" i="1"/>
  <c r="AH625" i="1" s="1"/>
  <c r="T626" i="1"/>
  <c r="AG626" i="1" s="1"/>
  <c r="W627" i="1"/>
  <c r="AJ627" i="1" s="1"/>
  <c r="V628" i="1"/>
  <c r="AI628" i="1" s="1"/>
  <c r="Z629" i="1"/>
  <c r="AM629" i="1" s="1"/>
  <c r="Y632" i="1"/>
  <c r="AL632" i="1" s="1"/>
  <c r="U633" i="1"/>
  <c r="AH633" i="1" s="1"/>
  <c r="Q634" i="1"/>
  <c r="AD634" i="1" s="1"/>
  <c r="W637" i="1"/>
  <c r="AJ637" i="1" s="1"/>
  <c r="S638" i="1"/>
  <c r="AF638" i="1" s="1"/>
  <c r="Z641" i="1"/>
  <c r="AM641" i="1" s="1"/>
  <c r="U642" i="1"/>
  <c r="AH642" i="1" s="1"/>
  <c r="Q643" i="1"/>
  <c r="AD643" i="1" s="1"/>
  <c r="X646" i="1"/>
  <c r="AK646" i="1" s="1"/>
  <c r="T647" i="1"/>
  <c r="AG647" i="1" s="1"/>
  <c r="O648" i="1"/>
  <c r="AB648" i="1" s="1"/>
  <c r="Z650" i="1"/>
  <c r="AM650" i="1" s="1"/>
  <c r="V651" i="1"/>
  <c r="AI651" i="1" s="1"/>
  <c r="R652" i="1"/>
  <c r="AE652" i="1" s="1"/>
  <c r="Z654" i="1"/>
  <c r="AM654" i="1" s="1"/>
  <c r="S655" i="1"/>
  <c r="AF655" i="1" s="1"/>
  <c r="V657" i="1"/>
  <c r="AI657" i="1" s="1"/>
  <c r="O658" i="1"/>
  <c r="AB658" i="1" s="1"/>
  <c r="Z659" i="1"/>
  <c r="AM659" i="1" s="1"/>
  <c r="S660" i="1"/>
  <c r="AF660" i="1" s="1"/>
  <c r="V662" i="1"/>
  <c r="AI662" i="1" s="1"/>
  <c r="O663" i="1"/>
  <c r="AB663" i="1" s="1"/>
  <c r="W664" i="1"/>
  <c r="AJ664" i="1" s="1"/>
  <c r="O665" i="1"/>
  <c r="AB665" i="1" s="1"/>
  <c r="W666" i="1"/>
  <c r="AJ666" i="1" s="1"/>
  <c r="O667" i="1"/>
  <c r="AB667" i="1" s="1"/>
  <c r="W668" i="1"/>
  <c r="AJ668" i="1" s="1"/>
  <c r="O669" i="1"/>
  <c r="AB669" i="1" s="1"/>
  <c r="W670" i="1"/>
  <c r="AJ670" i="1" s="1"/>
  <c r="O671" i="1"/>
  <c r="AB671" i="1" s="1"/>
  <c r="W672" i="1"/>
  <c r="AJ672" i="1" s="1"/>
  <c r="O673" i="1"/>
  <c r="AB673" i="1" s="1"/>
  <c r="W674" i="1"/>
  <c r="AJ674" i="1" s="1"/>
  <c r="O675" i="1"/>
  <c r="AB675" i="1" s="1"/>
  <c r="W676" i="1"/>
  <c r="AJ676" i="1" s="1"/>
  <c r="O677" i="1"/>
  <c r="AB677" i="1" s="1"/>
  <c r="W678" i="1"/>
  <c r="AJ678" i="1" s="1"/>
  <c r="O679" i="1"/>
  <c r="AB679" i="1" s="1"/>
  <c r="W680" i="1"/>
  <c r="AJ680" i="1" s="1"/>
  <c r="O681" i="1"/>
  <c r="AB681" i="1" s="1"/>
  <c r="W682" i="1"/>
  <c r="AJ682" i="1" s="1"/>
  <c r="O683" i="1"/>
  <c r="AB683" i="1" s="1"/>
  <c r="W684" i="1"/>
  <c r="AJ684" i="1" s="1"/>
  <c r="O685" i="1"/>
  <c r="AB685" i="1" s="1"/>
  <c r="W686" i="1"/>
  <c r="AJ686" i="1" s="1"/>
  <c r="O687" i="1"/>
  <c r="AB687" i="1" s="1"/>
  <c r="W688" i="1"/>
  <c r="AJ688" i="1" s="1"/>
  <c r="O689" i="1"/>
  <c r="AB689" i="1" s="1"/>
  <c r="W690" i="1"/>
  <c r="AJ690" i="1" s="1"/>
  <c r="O691" i="1"/>
  <c r="AB691" i="1" s="1"/>
  <c r="W692" i="1"/>
  <c r="AJ692" i="1" s="1"/>
  <c r="O693" i="1"/>
  <c r="AB693" i="1" s="1"/>
  <c r="W694" i="1"/>
  <c r="AJ694" i="1" s="1"/>
  <c r="O695" i="1"/>
  <c r="AB695" i="1" s="1"/>
  <c r="W696" i="1"/>
  <c r="AJ696" i="1" s="1"/>
  <c r="O697" i="1"/>
  <c r="AB697" i="1" s="1"/>
  <c r="W698" i="1"/>
  <c r="AJ698" i="1" s="1"/>
  <c r="O699" i="1"/>
  <c r="AB699" i="1" s="1"/>
  <c r="W700" i="1"/>
  <c r="AJ700" i="1" s="1"/>
  <c r="O701" i="1"/>
  <c r="AB701" i="1" s="1"/>
  <c r="W702" i="1"/>
  <c r="AJ702" i="1" s="1"/>
  <c r="O703" i="1"/>
  <c r="AB703" i="1" s="1"/>
  <c r="W704" i="1"/>
  <c r="AJ704" i="1" s="1"/>
  <c r="O705" i="1"/>
  <c r="AB705" i="1" s="1"/>
  <c r="W706" i="1"/>
  <c r="AJ706" i="1" s="1"/>
  <c r="Z467" i="1"/>
  <c r="AM467" i="1" s="1"/>
  <c r="S519" i="1"/>
  <c r="AF519" i="1" s="1"/>
  <c r="U549" i="1"/>
  <c r="AH549" i="1" s="1"/>
  <c r="Y565" i="1"/>
  <c r="AL565" i="1" s="1"/>
  <c r="R572" i="1"/>
  <c r="AE572" i="1" s="1"/>
  <c r="U584" i="1"/>
  <c r="AH584" i="1" s="1"/>
  <c r="W595" i="1"/>
  <c r="AJ595" i="1" s="1"/>
  <c r="O606" i="1"/>
  <c r="AB606" i="1" s="1"/>
  <c r="O610" i="1"/>
  <c r="AB610" i="1" s="1"/>
  <c r="Z614" i="1"/>
  <c r="AM614" i="1" s="1"/>
  <c r="R616" i="1"/>
  <c r="AE616" i="1" s="1"/>
  <c r="Q622" i="1"/>
  <c r="AD622" i="1" s="1"/>
  <c r="R623" i="1"/>
  <c r="AE623" i="1" s="1"/>
  <c r="S624" i="1"/>
  <c r="AF624" i="1" s="1"/>
  <c r="V625" i="1"/>
  <c r="AI625" i="1" s="1"/>
  <c r="U626" i="1"/>
  <c r="AH626" i="1" s="1"/>
  <c r="Y627" i="1"/>
  <c r="AL627" i="1" s="1"/>
  <c r="Z628" i="1"/>
  <c r="AM628" i="1" s="1"/>
  <c r="Z632" i="1"/>
  <c r="AM632" i="1" s="1"/>
  <c r="V633" i="1"/>
  <c r="AI633" i="1" s="1"/>
  <c r="R634" i="1"/>
  <c r="AE634" i="1" s="1"/>
  <c r="Y637" i="1"/>
  <c r="AL637" i="1" s="1"/>
  <c r="T638" i="1"/>
  <c r="AG638" i="1" s="1"/>
  <c r="P639" i="1"/>
  <c r="AC639" i="1" s="1"/>
  <c r="V642" i="1"/>
  <c r="AI642" i="1" s="1"/>
  <c r="R643" i="1"/>
  <c r="AE643" i="1" s="1"/>
  <c r="Y646" i="1"/>
  <c r="AL646" i="1" s="1"/>
  <c r="U647" i="1"/>
  <c r="AH647" i="1" s="1"/>
  <c r="Q648" i="1"/>
  <c r="AD648" i="1" s="1"/>
  <c r="W651" i="1"/>
  <c r="AJ651" i="1" s="1"/>
  <c r="S652" i="1"/>
  <c r="AF652" i="1" s="1"/>
  <c r="T655" i="1"/>
  <c r="AG655" i="1" s="1"/>
  <c r="W657" i="1"/>
  <c r="AJ657" i="1" s="1"/>
  <c r="Q658" i="1"/>
  <c r="AD658" i="1" s="1"/>
  <c r="T660" i="1"/>
  <c r="AG660" i="1" s="1"/>
  <c r="W662" i="1"/>
  <c r="AJ662" i="1" s="1"/>
  <c r="P663" i="1"/>
  <c r="AC663" i="1" s="1"/>
  <c r="X664" i="1"/>
  <c r="AK664" i="1" s="1"/>
  <c r="P665" i="1"/>
  <c r="AC665" i="1" s="1"/>
  <c r="X666" i="1"/>
  <c r="AK666" i="1" s="1"/>
  <c r="P667" i="1"/>
  <c r="AC667" i="1" s="1"/>
  <c r="X668" i="1"/>
  <c r="AK668" i="1" s="1"/>
  <c r="P669" i="1"/>
  <c r="AC669" i="1" s="1"/>
  <c r="X670" i="1"/>
  <c r="AK670" i="1" s="1"/>
  <c r="P671" i="1"/>
  <c r="AC671" i="1" s="1"/>
  <c r="X672" i="1"/>
  <c r="AK672" i="1" s="1"/>
  <c r="P673" i="1"/>
  <c r="AC673" i="1" s="1"/>
  <c r="X674" i="1"/>
  <c r="AK674" i="1" s="1"/>
  <c r="P675" i="1"/>
  <c r="AC675" i="1" s="1"/>
  <c r="X676" i="1"/>
  <c r="AK676" i="1" s="1"/>
  <c r="P677" i="1"/>
  <c r="AC677" i="1" s="1"/>
  <c r="X678" i="1"/>
  <c r="AK678" i="1" s="1"/>
  <c r="P679" i="1"/>
  <c r="AC679" i="1" s="1"/>
  <c r="X680" i="1"/>
  <c r="AK680" i="1" s="1"/>
  <c r="P681" i="1"/>
  <c r="AC681" i="1" s="1"/>
  <c r="X682" i="1"/>
  <c r="AK682" i="1" s="1"/>
  <c r="T643" i="1"/>
  <c r="AG643" i="1" s="1"/>
  <c r="Q667" i="1"/>
  <c r="AD667" i="1" s="1"/>
  <c r="Y672" i="1"/>
  <c r="AL672" i="1" s="1"/>
  <c r="P683" i="1"/>
  <c r="AC683" i="1" s="1"/>
  <c r="R687" i="1"/>
  <c r="AE687" i="1" s="1"/>
  <c r="Q688" i="1"/>
  <c r="AD688" i="1" s="1"/>
  <c r="T689" i="1"/>
  <c r="AG689" i="1" s="1"/>
  <c r="X690" i="1"/>
  <c r="AK690" i="1" s="1"/>
  <c r="W691" i="1"/>
  <c r="AJ691" i="1" s="1"/>
  <c r="Z692" i="1"/>
  <c r="AM692" i="1" s="1"/>
  <c r="Y693" i="1"/>
  <c r="AL693" i="1" s="1"/>
  <c r="P701" i="1"/>
  <c r="AC701" i="1" s="1"/>
  <c r="O702" i="1"/>
  <c r="AB702" i="1" s="1"/>
  <c r="R703" i="1"/>
  <c r="AE703" i="1" s="1"/>
  <c r="Q704" i="1"/>
  <c r="AD704" i="1" s="1"/>
  <c r="T705" i="1"/>
  <c r="AG705" i="1" s="1"/>
  <c r="X706" i="1"/>
  <c r="AK706" i="1" s="1"/>
  <c r="T707" i="1"/>
  <c r="AG707" i="1" s="1"/>
  <c r="P708" i="1"/>
  <c r="AC708" i="1" s="1"/>
  <c r="T711" i="1"/>
  <c r="AG711" i="1" s="1"/>
  <c r="X713" i="1"/>
  <c r="AK713" i="1" s="1"/>
  <c r="Q714" i="1"/>
  <c r="AD714" i="1" s="1"/>
  <c r="T716" i="1"/>
  <c r="AG716" i="1" s="1"/>
  <c r="W718" i="1"/>
  <c r="AJ718" i="1" s="1"/>
  <c r="P719" i="1"/>
  <c r="AC719" i="1" s="1"/>
  <c r="Z720" i="1"/>
  <c r="AM720" i="1" s="1"/>
  <c r="S721" i="1"/>
  <c r="AF721" i="1" s="1"/>
  <c r="W723" i="1"/>
  <c r="AJ723" i="1" s="1"/>
  <c r="P724" i="1"/>
  <c r="AC724" i="1" s="1"/>
  <c r="Z725" i="1"/>
  <c r="AM725" i="1" s="1"/>
  <c r="S726" i="1"/>
  <c r="AF726" i="1" s="1"/>
  <c r="V728" i="1"/>
  <c r="AI728" i="1" s="1"/>
  <c r="O729" i="1"/>
  <c r="AB729" i="1" s="1"/>
  <c r="X730" i="1"/>
  <c r="AK730" i="1" s="1"/>
  <c r="P731" i="1"/>
  <c r="AC731" i="1" s="1"/>
  <c r="X732" i="1"/>
  <c r="AK732" i="1" s="1"/>
  <c r="P733" i="1"/>
  <c r="AC733" i="1" s="1"/>
  <c r="X734" i="1"/>
  <c r="AK734" i="1" s="1"/>
  <c r="P735" i="1"/>
  <c r="AC735" i="1" s="1"/>
  <c r="X736" i="1"/>
  <c r="AK736" i="1" s="1"/>
  <c r="P737" i="1"/>
  <c r="AC737" i="1" s="1"/>
  <c r="X738" i="1"/>
  <c r="AK738" i="1" s="1"/>
  <c r="P739" i="1"/>
  <c r="AC739" i="1" s="1"/>
  <c r="X740" i="1"/>
  <c r="AK740" i="1" s="1"/>
  <c r="P741" i="1"/>
  <c r="AC741" i="1" s="1"/>
  <c r="X742" i="1"/>
  <c r="AK742" i="1" s="1"/>
  <c r="P743" i="1"/>
  <c r="AC743" i="1" s="1"/>
  <c r="X744" i="1"/>
  <c r="AK744" i="1" s="1"/>
  <c r="P745" i="1"/>
  <c r="AC745" i="1" s="1"/>
  <c r="X746" i="1"/>
  <c r="AK746" i="1" s="1"/>
  <c r="P747" i="1"/>
  <c r="AC747" i="1" s="1"/>
  <c r="X748" i="1"/>
  <c r="AK748" i="1" s="1"/>
  <c r="P749" i="1"/>
  <c r="AC749" i="1" s="1"/>
  <c r="X750" i="1"/>
  <c r="AK750" i="1" s="1"/>
  <c r="P751" i="1"/>
  <c r="AC751" i="1" s="1"/>
  <c r="X752" i="1"/>
  <c r="AK752" i="1" s="1"/>
  <c r="P753" i="1"/>
  <c r="AC753" i="1" s="1"/>
  <c r="X754" i="1"/>
  <c r="AK754" i="1" s="1"/>
  <c r="P755" i="1"/>
  <c r="AC755" i="1" s="1"/>
  <c r="X756" i="1"/>
  <c r="AK756" i="1" s="1"/>
  <c r="P757" i="1"/>
  <c r="AC757" i="1" s="1"/>
  <c r="X758" i="1"/>
  <c r="AK758" i="1" s="1"/>
  <c r="P759" i="1"/>
  <c r="AC759" i="1" s="1"/>
  <c r="X760" i="1"/>
  <c r="AK760" i="1" s="1"/>
  <c r="P761" i="1"/>
  <c r="AC761" i="1" s="1"/>
  <c r="X762" i="1"/>
  <c r="AK762" i="1" s="1"/>
  <c r="P763" i="1"/>
  <c r="AC763" i="1" s="1"/>
  <c r="X764" i="1"/>
  <c r="AK764" i="1" s="1"/>
  <c r="P765" i="1"/>
  <c r="AC765" i="1" s="1"/>
  <c r="X766" i="1"/>
  <c r="AK766" i="1" s="1"/>
  <c r="P767" i="1"/>
  <c r="AC767" i="1" s="1"/>
  <c r="X768" i="1"/>
  <c r="AK768" i="1" s="1"/>
  <c r="P769" i="1"/>
  <c r="AC769" i="1" s="1"/>
  <c r="X770" i="1"/>
  <c r="AK770" i="1" s="1"/>
  <c r="P771" i="1"/>
  <c r="AC771" i="1" s="1"/>
  <c r="X772" i="1"/>
  <c r="AK772" i="1" s="1"/>
  <c r="P773" i="1"/>
  <c r="AC773" i="1" s="1"/>
  <c r="X774" i="1"/>
  <c r="AK774" i="1" s="1"/>
  <c r="P775" i="1"/>
  <c r="AC775" i="1" s="1"/>
  <c r="X776" i="1"/>
  <c r="AK776" i="1" s="1"/>
  <c r="P777" i="1"/>
  <c r="AC777" i="1" s="1"/>
  <c r="R621" i="1"/>
  <c r="AE621" i="1" s="1"/>
  <c r="U643" i="1"/>
  <c r="AH643" i="1" s="1"/>
  <c r="O656" i="1"/>
  <c r="AB656" i="1" s="1"/>
  <c r="R667" i="1"/>
  <c r="AE667" i="1" s="1"/>
  <c r="Z672" i="1"/>
  <c r="AM672" i="1" s="1"/>
  <c r="Q683" i="1"/>
  <c r="AD683" i="1" s="1"/>
  <c r="S687" i="1"/>
  <c r="AF687" i="1" s="1"/>
  <c r="R688" i="1"/>
  <c r="AE688" i="1" s="1"/>
  <c r="V689" i="1"/>
  <c r="AI689" i="1" s="1"/>
  <c r="Y690" i="1"/>
  <c r="AL690" i="1" s="1"/>
  <c r="X691" i="1"/>
  <c r="AK691" i="1" s="1"/>
  <c r="Z693" i="1"/>
  <c r="AM693" i="1" s="1"/>
  <c r="Q701" i="1"/>
  <c r="AD701" i="1" s="1"/>
  <c r="P702" i="1"/>
  <c r="AC702" i="1" s="1"/>
  <c r="S703" i="1"/>
  <c r="AF703" i="1" s="1"/>
  <c r="R704" i="1"/>
  <c r="AE704" i="1" s="1"/>
  <c r="V705" i="1"/>
  <c r="AI705" i="1" s="1"/>
  <c r="Y706" i="1"/>
  <c r="AL706" i="1" s="1"/>
  <c r="V707" i="1"/>
  <c r="AI707" i="1" s="1"/>
  <c r="Q708" i="1"/>
  <c r="AD708" i="1" s="1"/>
  <c r="V711" i="1"/>
  <c r="AI711" i="1" s="1"/>
  <c r="O712" i="1"/>
  <c r="AB712" i="1" s="1"/>
  <c r="Y713" i="1"/>
  <c r="AL713" i="1" s="1"/>
  <c r="R714" i="1"/>
  <c r="AE714" i="1" s="1"/>
  <c r="U716" i="1"/>
  <c r="AH716" i="1" s="1"/>
  <c r="X718" i="1"/>
  <c r="AK718" i="1" s="1"/>
  <c r="Q719" i="1"/>
  <c r="AD719" i="1" s="1"/>
  <c r="T721" i="1"/>
  <c r="AG721" i="1" s="1"/>
  <c r="X723" i="1"/>
  <c r="AK723" i="1" s="1"/>
  <c r="Q724" i="1"/>
  <c r="AD724" i="1" s="1"/>
  <c r="T726" i="1"/>
  <c r="AG726" i="1" s="1"/>
  <c r="W728" i="1"/>
  <c r="AJ728" i="1" s="1"/>
  <c r="P729" i="1"/>
  <c r="AC729" i="1" s="1"/>
  <c r="Y730" i="1"/>
  <c r="AL730" i="1" s="1"/>
  <c r="Q731" i="1"/>
  <c r="AD731" i="1" s="1"/>
  <c r="Y732" i="1"/>
  <c r="AL732" i="1" s="1"/>
  <c r="Q733" i="1"/>
  <c r="AD733" i="1" s="1"/>
  <c r="Y734" i="1"/>
  <c r="AL734" i="1" s="1"/>
  <c r="Q735" i="1"/>
  <c r="AD735" i="1" s="1"/>
  <c r="Y736" i="1"/>
  <c r="AL736" i="1" s="1"/>
  <c r="Q737" i="1"/>
  <c r="AD737" i="1" s="1"/>
  <c r="Y738" i="1"/>
  <c r="AL738" i="1" s="1"/>
  <c r="Q739" i="1"/>
  <c r="AD739" i="1" s="1"/>
  <c r="Y740" i="1"/>
  <c r="AL740" i="1" s="1"/>
  <c r="Q741" i="1"/>
  <c r="AD741" i="1" s="1"/>
  <c r="Y742" i="1"/>
  <c r="AL742" i="1" s="1"/>
  <c r="Q743" i="1"/>
  <c r="AD743" i="1" s="1"/>
  <c r="Y744" i="1"/>
  <c r="AL744" i="1" s="1"/>
  <c r="Q745" i="1"/>
  <c r="AD745" i="1" s="1"/>
  <c r="Y746" i="1"/>
  <c r="AL746" i="1" s="1"/>
  <c r="Q747" i="1"/>
  <c r="AD747" i="1" s="1"/>
  <c r="Y748" i="1"/>
  <c r="AL748" i="1" s="1"/>
  <c r="Q749" i="1"/>
  <c r="AD749" i="1" s="1"/>
  <c r="Y750" i="1"/>
  <c r="AL750" i="1" s="1"/>
  <c r="Q751" i="1"/>
  <c r="AD751" i="1" s="1"/>
  <c r="Y752" i="1"/>
  <c r="AL752" i="1" s="1"/>
  <c r="Q753" i="1"/>
  <c r="AD753" i="1" s="1"/>
  <c r="Y754" i="1"/>
  <c r="AL754" i="1" s="1"/>
  <c r="Q755" i="1"/>
  <c r="AD755" i="1" s="1"/>
  <c r="Y756" i="1"/>
  <c r="AL756" i="1" s="1"/>
  <c r="Q757" i="1"/>
  <c r="AD757" i="1" s="1"/>
  <c r="Y758" i="1"/>
  <c r="AL758" i="1" s="1"/>
  <c r="Q759" i="1"/>
  <c r="AD759" i="1" s="1"/>
  <c r="Y760" i="1"/>
  <c r="AL760" i="1" s="1"/>
  <c r="Q761" i="1"/>
  <c r="AD761" i="1" s="1"/>
  <c r="Y762" i="1"/>
  <c r="AL762" i="1" s="1"/>
  <c r="Q763" i="1"/>
  <c r="AD763" i="1" s="1"/>
  <c r="Y764" i="1"/>
  <c r="AL764" i="1" s="1"/>
  <c r="Q765" i="1"/>
  <c r="AD765" i="1" s="1"/>
  <c r="Y766" i="1"/>
  <c r="AL766" i="1" s="1"/>
  <c r="Q767" i="1"/>
  <c r="AD767" i="1" s="1"/>
  <c r="Y768" i="1"/>
  <c r="AL768" i="1" s="1"/>
  <c r="Q769" i="1"/>
  <c r="AD769" i="1" s="1"/>
  <c r="Y770" i="1"/>
  <c r="AL770" i="1" s="1"/>
  <c r="Q771" i="1"/>
  <c r="AD771" i="1" s="1"/>
  <c r="W566" i="1"/>
  <c r="AJ566" i="1" s="1"/>
  <c r="Z610" i="1"/>
  <c r="AM610" i="1" s="1"/>
  <c r="R622" i="1"/>
  <c r="AE622" i="1" s="1"/>
  <c r="Z637" i="1"/>
  <c r="AM637" i="1" s="1"/>
  <c r="O644" i="1"/>
  <c r="AB644" i="1" s="1"/>
  <c r="X662" i="1"/>
  <c r="AK662" i="1" s="1"/>
  <c r="Q673" i="1"/>
  <c r="AD673" i="1" s="1"/>
  <c r="Y678" i="1"/>
  <c r="AL678" i="1" s="1"/>
  <c r="R683" i="1"/>
  <c r="AE683" i="1" s="1"/>
  <c r="T687" i="1"/>
  <c r="AG687" i="1" s="1"/>
  <c r="X688" i="1"/>
  <c r="AK688" i="1" s="1"/>
  <c r="W689" i="1"/>
  <c r="AJ689" i="1" s="1"/>
  <c r="Z690" i="1"/>
  <c r="AM690" i="1" s="1"/>
  <c r="Y691" i="1"/>
  <c r="AL691" i="1" s="1"/>
  <c r="P699" i="1"/>
  <c r="AC699" i="1" s="1"/>
  <c r="O700" i="1"/>
  <c r="AB700" i="1" s="1"/>
  <c r="R701" i="1"/>
  <c r="AE701" i="1" s="1"/>
  <c r="Q702" i="1"/>
  <c r="AD702" i="1" s="1"/>
  <c r="T703" i="1"/>
  <c r="AG703" i="1" s="1"/>
  <c r="X704" i="1"/>
  <c r="AK704" i="1" s="1"/>
  <c r="W705" i="1"/>
  <c r="AJ705" i="1" s="1"/>
  <c r="Z706" i="1"/>
  <c r="AM706" i="1" s="1"/>
  <c r="W707" i="1"/>
  <c r="AJ707" i="1" s="1"/>
  <c r="R708" i="1"/>
  <c r="AE708" i="1" s="1"/>
  <c r="O709" i="1"/>
  <c r="AB709" i="1" s="1"/>
  <c r="W711" i="1"/>
  <c r="AJ711" i="1" s="1"/>
  <c r="P712" i="1"/>
  <c r="AC712" i="1" s="1"/>
  <c r="Z713" i="1"/>
  <c r="AM713" i="1" s="1"/>
  <c r="S714" i="1"/>
  <c r="AF714" i="1" s="1"/>
  <c r="V716" i="1"/>
  <c r="AI716" i="1" s="1"/>
  <c r="O717" i="1"/>
  <c r="AB717" i="1" s="1"/>
  <c r="Y718" i="1"/>
  <c r="AL718" i="1" s="1"/>
  <c r="R719" i="1"/>
  <c r="AE719" i="1" s="1"/>
  <c r="V721" i="1"/>
  <c r="AI721" i="1" s="1"/>
  <c r="O722" i="1"/>
  <c r="AB722" i="1" s="1"/>
  <c r="Y723" i="1"/>
  <c r="AL723" i="1" s="1"/>
  <c r="R724" i="1"/>
  <c r="AE724" i="1" s="1"/>
  <c r="U726" i="1"/>
  <c r="AH726" i="1" s="1"/>
  <c r="X728" i="1"/>
  <c r="AK728" i="1" s="1"/>
  <c r="Q729" i="1"/>
  <c r="AD729" i="1" s="1"/>
  <c r="Z730" i="1"/>
  <c r="AM730" i="1" s="1"/>
  <c r="R731" i="1"/>
  <c r="AE731" i="1" s="1"/>
  <c r="Z732" i="1"/>
  <c r="AM732" i="1" s="1"/>
  <c r="R733" i="1"/>
  <c r="AE733" i="1" s="1"/>
  <c r="Z734" i="1"/>
  <c r="AM734" i="1" s="1"/>
  <c r="R735" i="1"/>
  <c r="AE735" i="1" s="1"/>
  <c r="Z736" i="1"/>
  <c r="AM736" i="1" s="1"/>
  <c r="R737" i="1"/>
  <c r="AE737" i="1" s="1"/>
  <c r="Z738" i="1"/>
  <c r="AM738" i="1" s="1"/>
  <c r="R739" i="1"/>
  <c r="AE739" i="1" s="1"/>
  <c r="Z740" i="1"/>
  <c r="AM740" i="1" s="1"/>
  <c r="R741" i="1"/>
  <c r="AE741" i="1" s="1"/>
  <c r="Z742" i="1"/>
  <c r="AM742" i="1" s="1"/>
  <c r="R743" i="1"/>
  <c r="AE743" i="1" s="1"/>
  <c r="Z744" i="1"/>
  <c r="AM744" i="1" s="1"/>
  <c r="R745" i="1"/>
  <c r="AE745" i="1" s="1"/>
  <c r="Z746" i="1"/>
  <c r="AM746" i="1" s="1"/>
  <c r="R747" i="1"/>
  <c r="AE747" i="1" s="1"/>
  <c r="Z748" i="1"/>
  <c r="AM748" i="1" s="1"/>
  <c r="R749" i="1"/>
  <c r="AE749" i="1" s="1"/>
  <c r="Z750" i="1"/>
  <c r="AM750" i="1" s="1"/>
  <c r="R751" i="1"/>
  <c r="AE751" i="1" s="1"/>
  <c r="Z752" i="1"/>
  <c r="AM752" i="1" s="1"/>
  <c r="R753" i="1"/>
  <c r="AE753" i="1" s="1"/>
  <c r="Z754" i="1"/>
  <c r="AM754" i="1" s="1"/>
  <c r="R755" i="1"/>
  <c r="AE755" i="1" s="1"/>
  <c r="Z756" i="1"/>
  <c r="AM756" i="1" s="1"/>
  <c r="R757" i="1"/>
  <c r="AE757" i="1" s="1"/>
  <c r="Z758" i="1"/>
  <c r="AM758" i="1" s="1"/>
  <c r="R759" i="1"/>
  <c r="AE759" i="1" s="1"/>
  <c r="Z760" i="1"/>
  <c r="AM760" i="1" s="1"/>
  <c r="R761" i="1"/>
  <c r="AE761" i="1" s="1"/>
  <c r="Z762" i="1"/>
  <c r="AM762" i="1" s="1"/>
  <c r="R763" i="1"/>
  <c r="AE763" i="1" s="1"/>
  <c r="Z764" i="1"/>
  <c r="AM764" i="1" s="1"/>
  <c r="R765" i="1"/>
  <c r="AE765" i="1" s="1"/>
  <c r="Z766" i="1"/>
  <c r="AM766" i="1" s="1"/>
  <c r="R767" i="1"/>
  <c r="AE767" i="1" s="1"/>
  <c r="Z768" i="1"/>
  <c r="AM768" i="1" s="1"/>
  <c r="R769" i="1"/>
  <c r="AE769" i="1" s="1"/>
  <c r="Z770" i="1"/>
  <c r="AM770" i="1" s="1"/>
  <c r="R771" i="1"/>
  <c r="AE771" i="1" s="1"/>
  <c r="X566" i="1"/>
  <c r="AK566" i="1" s="1"/>
  <c r="S622" i="1"/>
  <c r="AF622" i="1" s="1"/>
  <c r="Q644" i="1"/>
  <c r="AD644" i="1" s="1"/>
  <c r="Y662" i="1"/>
  <c r="AL662" i="1" s="1"/>
  <c r="R673" i="1"/>
  <c r="AE673" i="1" s="1"/>
  <c r="Z678" i="1"/>
  <c r="AM678" i="1" s="1"/>
  <c r="Z683" i="1"/>
  <c r="AM683" i="1" s="1"/>
  <c r="Q686" i="1"/>
  <c r="AD686" i="1" s="1"/>
  <c r="V687" i="1"/>
  <c r="AI687" i="1" s="1"/>
  <c r="Y688" i="1"/>
  <c r="AL688" i="1" s="1"/>
  <c r="X689" i="1"/>
  <c r="AK689" i="1" s="1"/>
  <c r="Z691" i="1"/>
  <c r="AM691" i="1" s="1"/>
  <c r="Q699" i="1"/>
  <c r="AD699" i="1" s="1"/>
  <c r="P700" i="1"/>
  <c r="AC700" i="1" s="1"/>
  <c r="S701" i="1"/>
  <c r="AF701" i="1" s="1"/>
  <c r="R702" i="1"/>
  <c r="AE702" i="1" s="1"/>
  <c r="V703" i="1"/>
  <c r="AI703" i="1" s="1"/>
  <c r="Y704" i="1"/>
  <c r="AL704" i="1" s="1"/>
  <c r="X705" i="1"/>
  <c r="AK705" i="1" s="1"/>
  <c r="X707" i="1"/>
  <c r="AK707" i="1" s="1"/>
  <c r="T708" i="1"/>
  <c r="AG708" i="1" s="1"/>
  <c r="P709" i="1"/>
  <c r="AC709" i="1" s="1"/>
  <c r="X711" i="1"/>
  <c r="AK711" i="1" s="1"/>
  <c r="Q712" i="1"/>
  <c r="AD712" i="1" s="1"/>
  <c r="T714" i="1"/>
  <c r="AG714" i="1" s="1"/>
  <c r="W716" i="1"/>
  <c r="AJ716" i="1" s="1"/>
  <c r="P717" i="1"/>
  <c r="AC717" i="1" s="1"/>
  <c r="Z718" i="1"/>
  <c r="AM718" i="1" s="1"/>
  <c r="S719" i="1"/>
  <c r="AF719" i="1" s="1"/>
  <c r="W721" i="1"/>
  <c r="AJ721" i="1" s="1"/>
  <c r="P722" i="1"/>
  <c r="AC722" i="1" s="1"/>
  <c r="Z723" i="1"/>
  <c r="AM723" i="1" s="1"/>
  <c r="S724" i="1"/>
  <c r="AF724" i="1" s="1"/>
  <c r="V726" i="1"/>
  <c r="AI726" i="1" s="1"/>
  <c r="O727" i="1"/>
  <c r="AB727" i="1" s="1"/>
  <c r="Y728" i="1"/>
  <c r="AL728" i="1" s="1"/>
  <c r="R729" i="1"/>
  <c r="AE729" i="1" s="1"/>
  <c r="S731" i="1"/>
  <c r="AF731" i="1" s="1"/>
  <c r="S733" i="1"/>
  <c r="AF733" i="1" s="1"/>
  <c r="S735" i="1"/>
  <c r="AF735" i="1" s="1"/>
  <c r="S737" i="1"/>
  <c r="AF737" i="1" s="1"/>
  <c r="S739" i="1"/>
  <c r="AF739" i="1" s="1"/>
  <c r="S741" i="1"/>
  <c r="AF741" i="1" s="1"/>
  <c r="S743" i="1"/>
  <c r="AF743" i="1" s="1"/>
  <c r="S745" i="1"/>
  <c r="AF745" i="1" s="1"/>
  <c r="S747" i="1"/>
  <c r="AF747" i="1" s="1"/>
  <c r="S749" i="1"/>
  <c r="AF749" i="1" s="1"/>
  <c r="S751" i="1"/>
  <c r="AF751" i="1" s="1"/>
  <c r="S753" i="1"/>
  <c r="AF753" i="1" s="1"/>
  <c r="S755" i="1"/>
  <c r="AF755" i="1" s="1"/>
  <c r="S757" i="1"/>
  <c r="AF757" i="1" s="1"/>
  <c r="S759" i="1"/>
  <c r="AF759" i="1" s="1"/>
  <c r="S761" i="1"/>
  <c r="AF761" i="1" s="1"/>
  <c r="S763" i="1"/>
  <c r="AF763" i="1" s="1"/>
  <c r="S765" i="1"/>
  <c r="AF765" i="1" s="1"/>
  <c r="S767" i="1"/>
  <c r="AF767" i="1" s="1"/>
  <c r="S769" i="1"/>
  <c r="AF769" i="1" s="1"/>
  <c r="S771" i="1"/>
  <c r="AF771" i="1" s="1"/>
  <c r="S773" i="1"/>
  <c r="AF773" i="1" s="1"/>
  <c r="S775" i="1"/>
  <c r="AF775" i="1" s="1"/>
  <c r="S777" i="1"/>
  <c r="AF777" i="1" s="1"/>
  <c r="U623" i="1"/>
  <c r="AH623" i="1" s="1"/>
  <c r="U638" i="1"/>
  <c r="AH638" i="1" s="1"/>
  <c r="Y651" i="1"/>
  <c r="AL651" i="1" s="1"/>
  <c r="Y657" i="1"/>
  <c r="AL657" i="1" s="1"/>
  <c r="Q663" i="1"/>
  <c r="AD663" i="1" s="1"/>
  <c r="Y668" i="1"/>
  <c r="AL668" i="1" s="1"/>
  <c r="Q679" i="1"/>
  <c r="AD679" i="1" s="1"/>
  <c r="R686" i="1"/>
  <c r="AE686" i="1" s="1"/>
  <c r="W687" i="1"/>
  <c r="AJ687" i="1" s="1"/>
  <c r="Z688" i="1"/>
  <c r="AM688" i="1" s="1"/>
  <c r="Y689" i="1"/>
  <c r="AL689" i="1" s="1"/>
  <c r="P697" i="1"/>
  <c r="AC697" i="1" s="1"/>
  <c r="O698" i="1"/>
  <c r="AB698" i="1" s="1"/>
  <c r="R699" i="1"/>
  <c r="AE699" i="1" s="1"/>
  <c r="Q700" i="1"/>
  <c r="AD700" i="1" s="1"/>
  <c r="T701" i="1"/>
  <c r="AG701" i="1" s="1"/>
  <c r="X702" i="1"/>
  <c r="AK702" i="1" s="1"/>
  <c r="W703" i="1"/>
  <c r="AJ703" i="1" s="1"/>
  <c r="Z704" i="1"/>
  <c r="AM704" i="1" s="1"/>
  <c r="Y705" i="1"/>
  <c r="AL705" i="1" s="1"/>
  <c r="Y707" i="1"/>
  <c r="AL707" i="1" s="1"/>
  <c r="U708" i="1"/>
  <c r="AH708" i="1" s="1"/>
  <c r="Q709" i="1"/>
  <c r="AD709" i="1" s="1"/>
  <c r="Y711" i="1"/>
  <c r="AL711" i="1" s="1"/>
  <c r="R712" i="1"/>
  <c r="AE712" i="1" s="1"/>
  <c r="U714" i="1"/>
  <c r="AH714" i="1" s="1"/>
  <c r="X716" i="1"/>
  <c r="AK716" i="1" s="1"/>
  <c r="Q717" i="1"/>
  <c r="AD717" i="1" s="1"/>
  <c r="T719" i="1"/>
  <c r="AG719" i="1" s="1"/>
  <c r="X721" i="1"/>
  <c r="AK721" i="1" s="1"/>
  <c r="Q722" i="1"/>
  <c r="AD722" i="1" s="1"/>
  <c r="T724" i="1"/>
  <c r="AG724" i="1" s="1"/>
  <c r="W726" i="1"/>
  <c r="AJ726" i="1" s="1"/>
  <c r="P727" i="1"/>
  <c r="AC727" i="1" s="1"/>
  <c r="Z728" i="1"/>
  <c r="AM728" i="1" s="1"/>
  <c r="S729" i="1"/>
  <c r="AF729" i="1" s="1"/>
  <c r="T731" i="1"/>
  <c r="AG731" i="1" s="1"/>
  <c r="T733" i="1"/>
  <c r="AG733" i="1" s="1"/>
  <c r="T735" i="1"/>
  <c r="AG735" i="1" s="1"/>
  <c r="T737" i="1"/>
  <c r="AG737" i="1" s="1"/>
  <c r="T739" i="1"/>
  <c r="AG739" i="1" s="1"/>
  <c r="T741" i="1"/>
  <c r="AG741" i="1" s="1"/>
  <c r="T743" i="1"/>
  <c r="AG743" i="1" s="1"/>
  <c r="T745" i="1"/>
  <c r="AG745" i="1" s="1"/>
  <c r="T747" i="1"/>
  <c r="AG747" i="1" s="1"/>
  <c r="T749" i="1"/>
  <c r="AG749" i="1" s="1"/>
  <c r="T751" i="1"/>
  <c r="AG751" i="1" s="1"/>
  <c r="T753" i="1"/>
  <c r="AG753" i="1" s="1"/>
  <c r="T755" i="1"/>
  <c r="AG755" i="1" s="1"/>
  <c r="T757" i="1"/>
  <c r="AG757" i="1" s="1"/>
  <c r="T759" i="1"/>
  <c r="AG759" i="1" s="1"/>
  <c r="T761" i="1"/>
  <c r="AG761" i="1" s="1"/>
  <c r="T763" i="1"/>
  <c r="AG763" i="1" s="1"/>
  <c r="T765" i="1"/>
  <c r="AG765" i="1" s="1"/>
  <c r="T767" i="1"/>
  <c r="AG767" i="1" s="1"/>
  <c r="T769" i="1"/>
  <c r="AG769" i="1" s="1"/>
  <c r="O573" i="1"/>
  <c r="AB573" i="1" s="1"/>
  <c r="V623" i="1"/>
  <c r="AI623" i="1" s="1"/>
  <c r="V638" i="1"/>
  <c r="AI638" i="1" s="1"/>
  <c r="Z651" i="1"/>
  <c r="AM651" i="1" s="1"/>
  <c r="Z657" i="1"/>
  <c r="AM657" i="1" s="1"/>
  <c r="R663" i="1"/>
  <c r="AE663" i="1" s="1"/>
  <c r="Z668" i="1"/>
  <c r="AM668" i="1" s="1"/>
  <c r="R679" i="1"/>
  <c r="AE679" i="1" s="1"/>
  <c r="X686" i="1"/>
  <c r="AK686" i="1" s="1"/>
  <c r="X687" i="1"/>
  <c r="AK687" i="1" s="1"/>
  <c r="Z689" i="1"/>
  <c r="AM689" i="1" s="1"/>
  <c r="Q697" i="1"/>
  <c r="AD697" i="1" s="1"/>
  <c r="P698" i="1"/>
  <c r="AC698" i="1" s="1"/>
  <c r="S699" i="1"/>
  <c r="AF699" i="1" s="1"/>
  <c r="R700" i="1"/>
  <c r="AE700" i="1" s="1"/>
  <c r="V701" i="1"/>
  <c r="AI701" i="1" s="1"/>
  <c r="Y702" i="1"/>
  <c r="AL702" i="1" s="1"/>
  <c r="X703" i="1"/>
  <c r="AK703" i="1" s="1"/>
  <c r="Z705" i="1"/>
  <c r="AM705" i="1" s="1"/>
  <c r="Z707" i="1"/>
  <c r="AM707" i="1" s="1"/>
  <c r="W708" i="1"/>
  <c r="AJ708" i="1" s="1"/>
  <c r="R709" i="1"/>
  <c r="AE709" i="1" s="1"/>
  <c r="Z711" i="1"/>
  <c r="AM711" i="1" s="1"/>
  <c r="S712" i="1"/>
  <c r="AF712" i="1" s="1"/>
  <c r="V714" i="1"/>
  <c r="AI714" i="1" s="1"/>
  <c r="O715" i="1"/>
  <c r="AB715" i="1" s="1"/>
  <c r="Y716" i="1"/>
  <c r="AL716" i="1" s="1"/>
  <c r="R717" i="1"/>
  <c r="AE717" i="1" s="1"/>
  <c r="V719" i="1"/>
  <c r="AI719" i="1" s="1"/>
  <c r="O720" i="1"/>
  <c r="AB720" i="1" s="1"/>
  <c r="Y721" i="1"/>
  <c r="AL721" i="1" s="1"/>
  <c r="R722" i="1"/>
  <c r="AE722" i="1" s="1"/>
  <c r="U724" i="1"/>
  <c r="AH724" i="1" s="1"/>
  <c r="X726" i="1"/>
  <c r="AK726" i="1" s="1"/>
  <c r="Q727" i="1"/>
  <c r="AD727" i="1" s="1"/>
  <c r="T729" i="1"/>
  <c r="AG729" i="1" s="1"/>
  <c r="U731" i="1"/>
  <c r="AH731" i="1" s="1"/>
  <c r="U733" i="1"/>
  <c r="AH733" i="1" s="1"/>
  <c r="U735" i="1"/>
  <c r="AH735" i="1" s="1"/>
  <c r="U737" i="1"/>
  <c r="AH737" i="1" s="1"/>
  <c r="U739" i="1"/>
  <c r="AH739" i="1" s="1"/>
  <c r="U741" i="1"/>
  <c r="AH741" i="1" s="1"/>
  <c r="U743" i="1"/>
  <c r="AH743" i="1" s="1"/>
  <c r="U745" i="1"/>
  <c r="AH745" i="1" s="1"/>
  <c r="U747" i="1"/>
  <c r="AH747" i="1" s="1"/>
  <c r="U749" i="1"/>
  <c r="AH749" i="1" s="1"/>
  <c r="U751" i="1"/>
  <c r="AH751" i="1" s="1"/>
  <c r="U753" i="1"/>
  <c r="AH753" i="1" s="1"/>
  <c r="U755" i="1"/>
  <c r="AH755" i="1" s="1"/>
  <c r="U757" i="1"/>
  <c r="AH757" i="1" s="1"/>
  <c r="U759" i="1"/>
  <c r="AH759" i="1" s="1"/>
  <c r="U761" i="1"/>
  <c r="AH761" i="1" s="1"/>
  <c r="U763" i="1"/>
  <c r="AH763" i="1" s="1"/>
  <c r="U765" i="1"/>
  <c r="AH765" i="1" s="1"/>
  <c r="U767" i="1"/>
  <c r="AH767" i="1" s="1"/>
  <c r="U769" i="1"/>
  <c r="AH769" i="1" s="1"/>
  <c r="U771" i="1"/>
  <c r="AH771" i="1" s="1"/>
  <c r="U773" i="1"/>
  <c r="AH773" i="1" s="1"/>
  <c r="U775" i="1"/>
  <c r="AH775" i="1" s="1"/>
  <c r="U777" i="1"/>
  <c r="AH777" i="1" s="1"/>
  <c r="U579" i="1"/>
  <c r="AH579" i="1" s="1"/>
  <c r="T624" i="1"/>
  <c r="AG624" i="1" s="1"/>
  <c r="Q639" i="1"/>
  <c r="AD639" i="1" s="1"/>
  <c r="T652" i="1"/>
  <c r="AG652" i="1" s="1"/>
  <c r="R658" i="1"/>
  <c r="AE658" i="1" s="1"/>
  <c r="Q669" i="1"/>
  <c r="AD669" i="1" s="1"/>
  <c r="Y674" i="1"/>
  <c r="AL674" i="1" s="1"/>
  <c r="Y686" i="1"/>
  <c r="AL686" i="1" s="1"/>
  <c r="Y687" i="1"/>
  <c r="AL687" i="1" s="1"/>
  <c r="P695" i="1"/>
  <c r="AC695" i="1" s="1"/>
  <c r="O696" i="1"/>
  <c r="AB696" i="1" s="1"/>
  <c r="R697" i="1"/>
  <c r="AE697" i="1" s="1"/>
  <c r="Q698" i="1"/>
  <c r="AD698" i="1" s="1"/>
  <c r="T699" i="1"/>
  <c r="AG699" i="1" s="1"/>
  <c r="X700" i="1"/>
  <c r="AK700" i="1" s="1"/>
  <c r="W701" i="1"/>
  <c r="AJ701" i="1" s="1"/>
  <c r="Z702" i="1"/>
  <c r="AM702" i="1" s="1"/>
  <c r="Y703" i="1"/>
  <c r="AL703" i="1" s="1"/>
  <c r="X708" i="1"/>
  <c r="AK708" i="1" s="1"/>
  <c r="S709" i="1"/>
  <c r="AF709" i="1" s="1"/>
  <c r="O710" i="1"/>
  <c r="AB710" i="1" s="1"/>
  <c r="T712" i="1"/>
  <c r="AG712" i="1" s="1"/>
  <c r="W714" i="1"/>
  <c r="AJ714" i="1" s="1"/>
  <c r="P715" i="1"/>
  <c r="AC715" i="1" s="1"/>
  <c r="Z716" i="1"/>
  <c r="AM716" i="1" s="1"/>
  <c r="S717" i="1"/>
  <c r="AF717" i="1" s="1"/>
  <c r="W719" i="1"/>
  <c r="AJ719" i="1" s="1"/>
  <c r="P720" i="1"/>
  <c r="AC720" i="1" s="1"/>
  <c r="Z721" i="1"/>
  <c r="AM721" i="1" s="1"/>
  <c r="S722" i="1"/>
  <c r="AF722" i="1" s="1"/>
  <c r="V724" i="1"/>
  <c r="AI724" i="1" s="1"/>
  <c r="O725" i="1"/>
  <c r="AB725" i="1" s="1"/>
  <c r="Y726" i="1"/>
  <c r="AL726" i="1" s="1"/>
  <c r="R727" i="1"/>
  <c r="AE727" i="1" s="1"/>
  <c r="V729" i="1"/>
  <c r="AI729" i="1" s="1"/>
  <c r="V731" i="1"/>
  <c r="AI731" i="1" s="1"/>
  <c r="V733" i="1"/>
  <c r="AI733" i="1" s="1"/>
  <c r="V735" i="1"/>
  <c r="AI735" i="1" s="1"/>
  <c r="V737" i="1"/>
  <c r="AI737" i="1" s="1"/>
  <c r="V739" i="1"/>
  <c r="AI739" i="1" s="1"/>
  <c r="V741" i="1"/>
  <c r="AI741" i="1" s="1"/>
  <c r="V743" i="1"/>
  <c r="AI743" i="1" s="1"/>
  <c r="V745" i="1"/>
  <c r="AI745" i="1" s="1"/>
  <c r="V747" i="1"/>
  <c r="AI747" i="1" s="1"/>
  <c r="V749" i="1"/>
  <c r="AI749" i="1" s="1"/>
  <c r="V751" i="1"/>
  <c r="AI751" i="1" s="1"/>
  <c r="V753" i="1"/>
  <c r="AI753" i="1" s="1"/>
  <c r="V755" i="1"/>
  <c r="AI755" i="1" s="1"/>
  <c r="V757" i="1"/>
  <c r="AI757" i="1" s="1"/>
  <c r="V759" i="1"/>
  <c r="AI759" i="1" s="1"/>
  <c r="V761" i="1"/>
  <c r="AI761" i="1" s="1"/>
  <c r="V763" i="1"/>
  <c r="AI763" i="1" s="1"/>
  <c r="V765" i="1"/>
  <c r="AI765" i="1" s="1"/>
  <c r="V767" i="1"/>
  <c r="AI767" i="1" s="1"/>
  <c r="V769" i="1"/>
  <c r="AI769" i="1" s="1"/>
  <c r="V771" i="1"/>
  <c r="AI771" i="1" s="1"/>
  <c r="V773" i="1"/>
  <c r="AI773" i="1" s="1"/>
  <c r="V775" i="1"/>
  <c r="AI775" i="1" s="1"/>
  <c r="V777" i="1"/>
  <c r="AI777" i="1" s="1"/>
  <c r="V779" i="1"/>
  <c r="AI779" i="1" s="1"/>
  <c r="V781" i="1"/>
  <c r="AI781" i="1" s="1"/>
  <c r="V783" i="1"/>
  <c r="AI783" i="1" s="1"/>
  <c r="V785" i="1"/>
  <c r="AI785" i="1" s="1"/>
  <c r="V787" i="1"/>
  <c r="AI787" i="1" s="1"/>
  <c r="V789" i="1"/>
  <c r="AI789" i="1" s="1"/>
  <c r="V791" i="1"/>
  <c r="AI791" i="1" s="1"/>
  <c r="V793" i="1"/>
  <c r="AI793" i="1" s="1"/>
  <c r="V795" i="1"/>
  <c r="AI795" i="1" s="1"/>
  <c r="V797" i="1"/>
  <c r="AI797" i="1" s="1"/>
  <c r="V799" i="1"/>
  <c r="AI799" i="1" s="1"/>
  <c r="V579" i="1"/>
  <c r="AI579" i="1" s="1"/>
  <c r="U624" i="1"/>
  <c r="AH624" i="1" s="1"/>
  <c r="R639" i="1"/>
  <c r="AE639" i="1" s="1"/>
  <c r="U652" i="1"/>
  <c r="AH652" i="1" s="1"/>
  <c r="S658" i="1"/>
  <c r="AF658" i="1" s="1"/>
  <c r="R669" i="1"/>
  <c r="AE669" i="1" s="1"/>
  <c r="Z674" i="1"/>
  <c r="AM674" i="1" s="1"/>
  <c r="R684" i="1"/>
  <c r="AE684" i="1" s="1"/>
  <c r="Z686" i="1"/>
  <c r="AM686" i="1" s="1"/>
  <c r="Z687" i="1"/>
  <c r="AM687" i="1" s="1"/>
  <c r="Q695" i="1"/>
  <c r="AD695" i="1" s="1"/>
  <c r="P696" i="1"/>
  <c r="AC696" i="1" s="1"/>
  <c r="S697" i="1"/>
  <c r="AF697" i="1" s="1"/>
  <c r="R698" i="1"/>
  <c r="AE698" i="1" s="1"/>
  <c r="V699" i="1"/>
  <c r="AI699" i="1" s="1"/>
  <c r="Y700" i="1"/>
  <c r="AL700" i="1" s="1"/>
  <c r="X701" i="1"/>
  <c r="AK701" i="1" s="1"/>
  <c r="Z703" i="1"/>
  <c r="AM703" i="1" s="1"/>
  <c r="Y708" i="1"/>
  <c r="AL708" i="1" s="1"/>
  <c r="T709" i="1"/>
  <c r="AG709" i="1" s="1"/>
  <c r="P710" i="1"/>
  <c r="AC710" i="1" s="1"/>
  <c r="U712" i="1"/>
  <c r="AH712" i="1" s="1"/>
  <c r="X714" i="1"/>
  <c r="AK714" i="1" s="1"/>
  <c r="Q715" i="1"/>
  <c r="AD715" i="1" s="1"/>
  <c r="T717" i="1"/>
  <c r="AG717" i="1" s="1"/>
  <c r="X719" i="1"/>
  <c r="AK719" i="1" s="1"/>
  <c r="Q720" i="1"/>
  <c r="AD720" i="1" s="1"/>
  <c r="T722" i="1"/>
  <c r="AG722" i="1" s="1"/>
  <c r="W724" i="1"/>
  <c r="AJ724" i="1" s="1"/>
  <c r="P725" i="1"/>
  <c r="AC725" i="1" s="1"/>
  <c r="Z726" i="1"/>
  <c r="AM726" i="1" s="1"/>
  <c r="S727" i="1"/>
  <c r="AF727" i="1" s="1"/>
  <c r="W729" i="1"/>
  <c r="AJ729" i="1" s="1"/>
  <c r="O730" i="1"/>
  <c r="AB730" i="1" s="1"/>
  <c r="W731" i="1"/>
  <c r="AJ731" i="1" s="1"/>
  <c r="O732" i="1"/>
  <c r="AB732" i="1" s="1"/>
  <c r="W733" i="1"/>
  <c r="AJ733" i="1" s="1"/>
  <c r="O734" i="1"/>
  <c r="AB734" i="1" s="1"/>
  <c r="W735" i="1"/>
  <c r="AJ735" i="1" s="1"/>
  <c r="O736" i="1"/>
  <c r="AB736" i="1" s="1"/>
  <c r="W737" i="1"/>
  <c r="AJ737" i="1" s="1"/>
  <c r="O738" i="1"/>
  <c r="AB738" i="1" s="1"/>
  <c r="W739" i="1"/>
  <c r="AJ739" i="1" s="1"/>
  <c r="O740" i="1"/>
  <c r="AB740" i="1" s="1"/>
  <c r="W741" i="1"/>
  <c r="AJ741" i="1" s="1"/>
  <c r="O742" i="1"/>
  <c r="AB742" i="1" s="1"/>
  <c r="W743" i="1"/>
  <c r="AJ743" i="1" s="1"/>
  <c r="O744" i="1"/>
  <c r="AB744" i="1" s="1"/>
  <c r="W745" i="1"/>
  <c r="AJ745" i="1" s="1"/>
  <c r="O746" i="1"/>
  <c r="AB746" i="1" s="1"/>
  <c r="W747" i="1"/>
  <c r="AJ747" i="1" s="1"/>
  <c r="O748" i="1"/>
  <c r="AB748" i="1" s="1"/>
  <c r="W749" i="1"/>
  <c r="AJ749" i="1" s="1"/>
  <c r="O750" i="1"/>
  <c r="AB750" i="1" s="1"/>
  <c r="W751" i="1"/>
  <c r="AJ751" i="1" s="1"/>
  <c r="O752" i="1"/>
  <c r="AB752" i="1" s="1"/>
  <c r="W753" i="1"/>
  <c r="AJ753" i="1" s="1"/>
  <c r="O754" i="1"/>
  <c r="AB754" i="1" s="1"/>
  <c r="W755" i="1"/>
  <c r="AJ755" i="1" s="1"/>
  <c r="O756" i="1"/>
  <c r="AB756" i="1" s="1"/>
  <c r="W757" i="1"/>
  <c r="AJ757" i="1" s="1"/>
  <c r="O758" i="1"/>
  <c r="AB758" i="1" s="1"/>
  <c r="W759" i="1"/>
  <c r="AJ759" i="1" s="1"/>
  <c r="O760" i="1"/>
  <c r="AB760" i="1" s="1"/>
  <c r="W761" i="1"/>
  <c r="AJ761" i="1" s="1"/>
  <c r="O762" i="1"/>
  <c r="AB762" i="1" s="1"/>
  <c r="W763" i="1"/>
  <c r="AJ763" i="1" s="1"/>
  <c r="O764" i="1"/>
  <c r="AB764" i="1" s="1"/>
  <c r="W765" i="1"/>
  <c r="AJ765" i="1" s="1"/>
  <c r="O766" i="1"/>
  <c r="AB766" i="1" s="1"/>
  <c r="W767" i="1"/>
  <c r="AJ767" i="1" s="1"/>
  <c r="O768" i="1"/>
  <c r="AB768" i="1" s="1"/>
  <c r="W769" i="1"/>
  <c r="AJ769" i="1" s="1"/>
  <c r="O770" i="1"/>
  <c r="AB770" i="1" s="1"/>
  <c r="W771" i="1"/>
  <c r="AJ771" i="1" s="1"/>
  <c r="O772" i="1"/>
  <c r="AB772" i="1" s="1"/>
  <c r="W773" i="1"/>
  <c r="AJ773" i="1" s="1"/>
  <c r="O774" i="1"/>
  <c r="AB774" i="1" s="1"/>
  <c r="W775" i="1"/>
  <c r="AJ775" i="1" s="1"/>
  <c r="O776" i="1"/>
  <c r="AB776" i="1" s="1"/>
  <c r="W777" i="1"/>
  <c r="AJ777" i="1" s="1"/>
  <c r="O778" i="1"/>
  <c r="AB778" i="1" s="1"/>
  <c r="W779" i="1"/>
  <c r="AJ779" i="1" s="1"/>
  <c r="O780" i="1"/>
  <c r="AB780" i="1" s="1"/>
  <c r="W781" i="1"/>
  <c r="AJ781" i="1" s="1"/>
  <c r="O782" i="1"/>
  <c r="AB782" i="1" s="1"/>
  <c r="W783" i="1"/>
  <c r="AJ783" i="1" s="1"/>
  <c r="O784" i="1"/>
  <c r="AB784" i="1" s="1"/>
  <c r="W785" i="1"/>
  <c r="AJ785" i="1" s="1"/>
  <c r="O786" i="1"/>
  <c r="AB786" i="1" s="1"/>
  <c r="W787" i="1"/>
  <c r="AJ787" i="1" s="1"/>
  <c r="O788" i="1"/>
  <c r="AB788" i="1" s="1"/>
  <c r="W789" i="1"/>
  <c r="AJ789" i="1" s="1"/>
  <c r="O790" i="1"/>
  <c r="AB790" i="1" s="1"/>
  <c r="W791" i="1"/>
  <c r="AJ791" i="1" s="1"/>
  <c r="O792" i="1"/>
  <c r="AB792" i="1" s="1"/>
  <c r="W793" i="1"/>
  <c r="AJ793" i="1" s="1"/>
  <c r="O794" i="1"/>
  <c r="AB794" i="1" s="1"/>
  <c r="W795" i="1"/>
  <c r="AJ795" i="1" s="1"/>
  <c r="O796" i="1"/>
  <c r="AB796" i="1" s="1"/>
  <c r="W797" i="1"/>
  <c r="AJ797" i="1" s="1"/>
  <c r="O798" i="1"/>
  <c r="AB798" i="1" s="1"/>
  <c r="U616" i="1"/>
  <c r="AH616" i="1" s="1"/>
  <c r="W625" i="1"/>
  <c r="AJ625" i="1" s="1"/>
  <c r="W633" i="1"/>
  <c r="AJ633" i="1" s="1"/>
  <c r="Z646" i="1"/>
  <c r="AM646" i="1" s="1"/>
  <c r="P653" i="1"/>
  <c r="AC653" i="1" s="1"/>
  <c r="Y664" i="1"/>
  <c r="AL664" i="1" s="1"/>
  <c r="Q675" i="1"/>
  <c r="AD675" i="1" s="1"/>
  <c r="Y680" i="1"/>
  <c r="AL680" i="1" s="1"/>
  <c r="X684" i="1"/>
  <c r="AK684" i="1" s="1"/>
  <c r="P693" i="1"/>
  <c r="AC693" i="1" s="1"/>
  <c r="O694" i="1"/>
  <c r="AB694" i="1" s="1"/>
  <c r="R695" i="1"/>
  <c r="AE695" i="1" s="1"/>
  <c r="Q696" i="1"/>
  <c r="AD696" i="1" s="1"/>
  <c r="T697" i="1"/>
  <c r="AG697" i="1" s="1"/>
  <c r="X698" i="1"/>
  <c r="AK698" i="1" s="1"/>
  <c r="W699" i="1"/>
  <c r="AJ699" i="1" s="1"/>
  <c r="Z700" i="1"/>
  <c r="AM700" i="1" s="1"/>
  <c r="Y701" i="1"/>
  <c r="AL701" i="1" s="1"/>
  <c r="Z708" i="1"/>
  <c r="AM708" i="1" s="1"/>
  <c r="V709" i="1"/>
  <c r="AI709" i="1" s="1"/>
  <c r="Q710" i="1"/>
  <c r="AD710" i="1" s="1"/>
  <c r="V712" i="1"/>
  <c r="AI712" i="1" s="1"/>
  <c r="O713" i="1"/>
  <c r="AB713" i="1" s="1"/>
  <c r="Y714" i="1"/>
  <c r="AL714" i="1" s="1"/>
  <c r="R715" i="1"/>
  <c r="AE715" i="1" s="1"/>
  <c r="V717" i="1"/>
  <c r="AI717" i="1" s="1"/>
  <c r="O718" i="1"/>
  <c r="AB718" i="1" s="1"/>
  <c r="Y719" i="1"/>
  <c r="AL719" i="1" s="1"/>
  <c r="R720" i="1"/>
  <c r="AE720" i="1" s="1"/>
  <c r="U722" i="1"/>
  <c r="AH722" i="1" s="1"/>
  <c r="X724" i="1"/>
  <c r="AK724" i="1" s="1"/>
  <c r="Q725" i="1"/>
  <c r="AD725" i="1" s="1"/>
  <c r="T727" i="1"/>
  <c r="AG727" i="1" s="1"/>
  <c r="X729" i="1"/>
  <c r="AK729" i="1" s="1"/>
  <c r="P730" i="1"/>
  <c r="AC730" i="1" s="1"/>
  <c r="X731" i="1"/>
  <c r="AK731" i="1" s="1"/>
  <c r="P732" i="1"/>
  <c r="AC732" i="1" s="1"/>
  <c r="X733" i="1"/>
  <c r="AK733" i="1" s="1"/>
  <c r="P734" i="1"/>
  <c r="AC734" i="1" s="1"/>
  <c r="X735" i="1"/>
  <c r="AK735" i="1" s="1"/>
  <c r="P736" i="1"/>
  <c r="AC736" i="1" s="1"/>
  <c r="X737" i="1"/>
  <c r="AK737" i="1" s="1"/>
  <c r="P738" i="1"/>
  <c r="AC738" i="1" s="1"/>
  <c r="X739" i="1"/>
  <c r="AK739" i="1" s="1"/>
  <c r="P740" i="1"/>
  <c r="AC740" i="1" s="1"/>
  <c r="X741" i="1"/>
  <c r="AK741" i="1" s="1"/>
  <c r="P742" i="1"/>
  <c r="AC742" i="1" s="1"/>
  <c r="X743" i="1"/>
  <c r="AK743" i="1" s="1"/>
  <c r="P744" i="1"/>
  <c r="AC744" i="1" s="1"/>
  <c r="X745" i="1"/>
  <c r="AK745" i="1" s="1"/>
  <c r="P746" i="1"/>
  <c r="AC746" i="1" s="1"/>
  <c r="X747" i="1"/>
  <c r="AK747" i="1" s="1"/>
  <c r="P748" i="1"/>
  <c r="AC748" i="1" s="1"/>
  <c r="X749" i="1"/>
  <c r="AK749" i="1" s="1"/>
  <c r="P750" i="1"/>
  <c r="AC750" i="1" s="1"/>
  <c r="X751" i="1"/>
  <c r="AK751" i="1" s="1"/>
  <c r="P752" i="1"/>
  <c r="AC752" i="1" s="1"/>
  <c r="X753" i="1"/>
  <c r="AK753" i="1" s="1"/>
  <c r="P754" i="1"/>
  <c r="AC754" i="1" s="1"/>
  <c r="X755" i="1"/>
  <c r="AK755" i="1" s="1"/>
  <c r="P756" i="1"/>
  <c r="AC756" i="1" s="1"/>
  <c r="X757" i="1"/>
  <c r="AK757" i="1" s="1"/>
  <c r="P758" i="1"/>
  <c r="AC758" i="1" s="1"/>
  <c r="X759" i="1"/>
  <c r="AK759" i="1" s="1"/>
  <c r="P760" i="1"/>
  <c r="AC760" i="1" s="1"/>
  <c r="X761" i="1"/>
  <c r="AK761" i="1" s="1"/>
  <c r="P762" i="1"/>
  <c r="AC762" i="1" s="1"/>
  <c r="X763" i="1"/>
  <c r="AK763" i="1" s="1"/>
  <c r="P764" i="1"/>
  <c r="AC764" i="1" s="1"/>
  <c r="X765" i="1"/>
  <c r="AK765" i="1" s="1"/>
  <c r="P766" i="1"/>
  <c r="AC766" i="1" s="1"/>
  <c r="X767" i="1"/>
  <c r="AK767" i="1" s="1"/>
  <c r="P768" i="1"/>
  <c r="AC768" i="1" s="1"/>
  <c r="X769" i="1"/>
  <c r="AK769" i="1" s="1"/>
  <c r="P770" i="1"/>
  <c r="AC770" i="1" s="1"/>
  <c r="X771" i="1"/>
  <c r="AK771" i="1" s="1"/>
  <c r="P772" i="1"/>
  <c r="AC772" i="1" s="1"/>
  <c r="X773" i="1"/>
  <c r="AK773" i="1" s="1"/>
  <c r="P774" i="1"/>
  <c r="AC774" i="1" s="1"/>
  <c r="X775" i="1"/>
  <c r="AK775" i="1" s="1"/>
  <c r="P776" i="1"/>
  <c r="AC776" i="1" s="1"/>
  <c r="X777" i="1"/>
  <c r="AK777" i="1" s="1"/>
  <c r="P778" i="1"/>
  <c r="AC778" i="1" s="1"/>
  <c r="X779" i="1"/>
  <c r="AK779" i="1" s="1"/>
  <c r="P780" i="1"/>
  <c r="AC780" i="1" s="1"/>
  <c r="X781" i="1"/>
  <c r="AK781" i="1" s="1"/>
  <c r="P782" i="1"/>
  <c r="AC782" i="1" s="1"/>
  <c r="X783" i="1"/>
  <c r="AK783" i="1" s="1"/>
  <c r="P784" i="1"/>
  <c r="AC784" i="1" s="1"/>
  <c r="X785" i="1"/>
  <c r="AK785" i="1" s="1"/>
  <c r="P786" i="1"/>
  <c r="AC786" i="1" s="1"/>
  <c r="X787" i="1"/>
  <c r="AK787" i="1" s="1"/>
  <c r="P788" i="1"/>
  <c r="AC788" i="1" s="1"/>
  <c r="X789" i="1"/>
  <c r="AK789" i="1" s="1"/>
  <c r="P790" i="1"/>
  <c r="AC790" i="1" s="1"/>
  <c r="X791" i="1"/>
  <c r="AK791" i="1" s="1"/>
  <c r="P792" i="1"/>
  <c r="AC792" i="1" s="1"/>
  <c r="X793" i="1"/>
  <c r="AK793" i="1" s="1"/>
  <c r="P794" i="1"/>
  <c r="AC794" i="1" s="1"/>
  <c r="X795" i="1"/>
  <c r="AK795" i="1" s="1"/>
  <c r="P796" i="1"/>
  <c r="AC796" i="1" s="1"/>
  <c r="X797" i="1"/>
  <c r="AK797" i="1" s="1"/>
  <c r="P476" i="1"/>
  <c r="AC476" i="1" s="1"/>
  <c r="V616" i="1"/>
  <c r="AI616" i="1" s="1"/>
  <c r="Y625" i="1"/>
  <c r="AL625" i="1" s="1"/>
  <c r="Y633" i="1"/>
  <c r="AL633" i="1" s="1"/>
  <c r="Q653" i="1"/>
  <c r="AD653" i="1" s="1"/>
  <c r="Z664" i="1"/>
  <c r="AM664" i="1" s="1"/>
  <c r="R675" i="1"/>
  <c r="AE675" i="1" s="1"/>
  <c r="Z680" i="1"/>
  <c r="AM680" i="1" s="1"/>
  <c r="Y684" i="1"/>
  <c r="AL684" i="1" s="1"/>
  <c r="Q693" i="1"/>
  <c r="AD693" i="1" s="1"/>
  <c r="P694" i="1"/>
  <c r="AC694" i="1" s="1"/>
  <c r="S695" i="1"/>
  <c r="AF695" i="1" s="1"/>
  <c r="R696" i="1"/>
  <c r="AE696" i="1" s="1"/>
  <c r="V697" i="1"/>
  <c r="AI697" i="1" s="1"/>
  <c r="Y698" i="1"/>
  <c r="AL698" i="1" s="1"/>
  <c r="X699" i="1"/>
  <c r="AK699" i="1" s="1"/>
  <c r="Z701" i="1"/>
  <c r="AM701" i="1" s="1"/>
  <c r="W709" i="1"/>
  <c r="AJ709" i="1" s="1"/>
  <c r="R710" i="1"/>
  <c r="AE710" i="1" s="1"/>
  <c r="W712" i="1"/>
  <c r="AJ712" i="1" s="1"/>
  <c r="P713" i="1"/>
  <c r="AC713" i="1" s="1"/>
  <c r="Z714" i="1"/>
  <c r="AM714" i="1" s="1"/>
  <c r="S715" i="1"/>
  <c r="AF715" i="1" s="1"/>
  <c r="W717" i="1"/>
  <c r="AJ717" i="1" s="1"/>
  <c r="P718" i="1"/>
  <c r="AC718" i="1" s="1"/>
  <c r="Z719" i="1"/>
  <c r="AM719" i="1" s="1"/>
  <c r="S720" i="1"/>
  <c r="AF720" i="1" s="1"/>
  <c r="V722" i="1"/>
  <c r="AI722" i="1" s="1"/>
  <c r="O723" i="1"/>
  <c r="AB723" i="1" s="1"/>
  <c r="Y724" i="1"/>
  <c r="AL724" i="1" s="1"/>
  <c r="R725" i="1"/>
  <c r="AE725" i="1" s="1"/>
  <c r="V727" i="1"/>
  <c r="AI727" i="1" s="1"/>
  <c r="O728" i="1"/>
  <c r="AB728" i="1" s="1"/>
  <c r="Y729" i="1"/>
  <c r="AL729" i="1" s="1"/>
  <c r="Q730" i="1"/>
  <c r="AD730" i="1" s="1"/>
  <c r="Y731" i="1"/>
  <c r="AL731" i="1" s="1"/>
  <c r="Q732" i="1"/>
  <c r="AD732" i="1" s="1"/>
  <c r="Y733" i="1"/>
  <c r="AL733" i="1" s="1"/>
  <c r="Q734" i="1"/>
  <c r="AD734" i="1" s="1"/>
  <c r="Y735" i="1"/>
  <c r="AL735" i="1" s="1"/>
  <c r="Q736" i="1"/>
  <c r="AD736" i="1" s="1"/>
  <c r="Y737" i="1"/>
  <c r="AL737" i="1" s="1"/>
  <c r="Q738" i="1"/>
  <c r="AD738" i="1" s="1"/>
  <c r="Y739" i="1"/>
  <c r="AL739" i="1" s="1"/>
  <c r="Q740" i="1"/>
  <c r="AD740" i="1" s="1"/>
  <c r="Y741" i="1"/>
  <c r="AL741" i="1" s="1"/>
  <c r="Q742" i="1"/>
  <c r="AD742" i="1" s="1"/>
  <c r="Y743" i="1"/>
  <c r="AL743" i="1" s="1"/>
  <c r="Q744" i="1"/>
  <c r="AD744" i="1" s="1"/>
  <c r="Y745" i="1"/>
  <c r="AL745" i="1" s="1"/>
  <c r="Q746" i="1"/>
  <c r="AD746" i="1" s="1"/>
  <c r="Y747" i="1"/>
  <c r="AL747" i="1" s="1"/>
  <c r="Q748" i="1"/>
  <c r="AD748" i="1" s="1"/>
  <c r="Y749" i="1"/>
  <c r="AL749" i="1" s="1"/>
  <c r="Q750" i="1"/>
  <c r="AD750" i="1" s="1"/>
  <c r="Y751" i="1"/>
  <c r="AL751" i="1" s="1"/>
  <c r="Q752" i="1"/>
  <c r="AD752" i="1" s="1"/>
  <c r="Y753" i="1"/>
  <c r="AL753" i="1" s="1"/>
  <c r="Q754" i="1"/>
  <c r="AD754" i="1" s="1"/>
  <c r="Y755" i="1"/>
  <c r="AL755" i="1" s="1"/>
  <c r="Q756" i="1"/>
  <c r="AD756" i="1" s="1"/>
  <c r="Y757" i="1"/>
  <c r="AL757" i="1" s="1"/>
  <c r="Q758" i="1"/>
  <c r="AD758" i="1" s="1"/>
  <c r="Y759" i="1"/>
  <c r="AL759" i="1" s="1"/>
  <c r="Q760" i="1"/>
  <c r="AD760" i="1" s="1"/>
  <c r="Y761" i="1"/>
  <c r="AL761" i="1" s="1"/>
  <c r="Q762" i="1"/>
  <c r="AD762" i="1" s="1"/>
  <c r="Y763" i="1"/>
  <c r="AL763" i="1" s="1"/>
  <c r="Q764" i="1"/>
  <c r="AD764" i="1" s="1"/>
  <c r="Y765" i="1"/>
  <c r="AL765" i="1" s="1"/>
  <c r="Q766" i="1"/>
  <c r="AD766" i="1" s="1"/>
  <c r="Y767" i="1"/>
  <c r="AL767" i="1" s="1"/>
  <c r="Q768" i="1"/>
  <c r="AD768" i="1" s="1"/>
  <c r="Y769" i="1"/>
  <c r="AL769" i="1" s="1"/>
  <c r="Q770" i="1"/>
  <c r="AD770" i="1" s="1"/>
  <c r="Y771" i="1"/>
  <c r="AL771" i="1" s="1"/>
  <c r="Q772" i="1"/>
  <c r="AD772" i="1" s="1"/>
  <c r="Y773" i="1"/>
  <c r="AL773" i="1" s="1"/>
  <c r="Q774" i="1"/>
  <c r="AD774" i="1" s="1"/>
  <c r="Y775" i="1"/>
  <c r="AL775" i="1" s="1"/>
  <c r="Q776" i="1"/>
  <c r="AD776" i="1" s="1"/>
  <c r="Y777" i="1"/>
  <c r="AL777" i="1" s="1"/>
  <c r="Q778" i="1"/>
  <c r="AD778" i="1" s="1"/>
  <c r="Y779" i="1"/>
  <c r="AL779" i="1" s="1"/>
  <c r="Q780" i="1"/>
  <c r="AD780" i="1" s="1"/>
  <c r="Y781" i="1"/>
  <c r="AL781" i="1" s="1"/>
  <c r="Q782" i="1"/>
  <c r="AD782" i="1" s="1"/>
  <c r="Y783" i="1"/>
  <c r="AL783" i="1" s="1"/>
  <c r="Q784" i="1"/>
  <c r="AD784" i="1" s="1"/>
  <c r="Y785" i="1"/>
  <c r="AL785" i="1" s="1"/>
  <c r="Q786" i="1"/>
  <c r="AD786" i="1" s="1"/>
  <c r="Y787" i="1"/>
  <c r="AL787" i="1" s="1"/>
  <c r="Q788" i="1"/>
  <c r="AD788" i="1" s="1"/>
  <c r="Y789" i="1"/>
  <c r="AL789" i="1" s="1"/>
  <c r="Q790" i="1"/>
  <c r="AD790" i="1" s="1"/>
  <c r="Y791" i="1"/>
  <c r="AL791" i="1" s="1"/>
  <c r="Q792" i="1"/>
  <c r="AD792" i="1" s="1"/>
  <c r="Z524" i="1"/>
  <c r="AM524" i="1" s="1"/>
  <c r="V626" i="1"/>
  <c r="AI626" i="1" s="1"/>
  <c r="S634" i="1"/>
  <c r="AF634" i="1" s="1"/>
  <c r="V647" i="1"/>
  <c r="AI647" i="1" s="1"/>
  <c r="Q665" i="1"/>
  <c r="AD665" i="1" s="1"/>
  <c r="Y670" i="1"/>
  <c r="AL670" i="1" s="1"/>
  <c r="Q681" i="1"/>
  <c r="AD681" i="1" s="1"/>
  <c r="Z684" i="1"/>
  <c r="AM684" i="1" s="1"/>
  <c r="P691" i="1"/>
  <c r="AC691" i="1" s="1"/>
  <c r="O692" i="1"/>
  <c r="AB692" i="1" s="1"/>
  <c r="R693" i="1"/>
  <c r="AE693" i="1" s="1"/>
  <c r="Q694" i="1"/>
  <c r="AD694" i="1" s="1"/>
  <c r="T695" i="1"/>
  <c r="AG695" i="1" s="1"/>
  <c r="X696" i="1"/>
  <c r="AK696" i="1" s="1"/>
  <c r="W697" i="1"/>
  <c r="AJ697" i="1" s="1"/>
  <c r="Z698" i="1"/>
  <c r="AM698" i="1" s="1"/>
  <c r="Y699" i="1"/>
  <c r="AL699" i="1" s="1"/>
  <c r="X709" i="1"/>
  <c r="AK709" i="1" s="1"/>
  <c r="T710" i="1"/>
  <c r="AG710" i="1" s="1"/>
  <c r="X712" i="1"/>
  <c r="AK712" i="1" s="1"/>
  <c r="Q713" i="1"/>
  <c r="AD713" i="1" s="1"/>
  <c r="T715" i="1"/>
  <c r="AG715" i="1" s="1"/>
  <c r="X717" i="1"/>
  <c r="AK717" i="1" s="1"/>
  <c r="Q718" i="1"/>
  <c r="AD718" i="1" s="1"/>
  <c r="T720" i="1"/>
  <c r="AG720" i="1" s="1"/>
  <c r="W722" i="1"/>
  <c r="AJ722" i="1" s="1"/>
  <c r="P723" i="1"/>
  <c r="AC723" i="1" s="1"/>
  <c r="Z724" i="1"/>
  <c r="AM724" i="1" s="1"/>
  <c r="S725" i="1"/>
  <c r="AF725" i="1" s="1"/>
  <c r="W727" i="1"/>
  <c r="AJ727" i="1" s="1"/>
  <c r="P728" i="1"/>
  <c r="AC728" i="1" s="1"/>
  <c r="Z729" i="1"/>
  <c r="AM729" i="1" s="1"/>
  <c r="R730" i="1"/>
  <c r="AE730" i="1" s="1"/>
  <c r="Z731" i="1"/>
  <c r="AM731" i="1" s="1"/>
  <c r="R732" i="1"/>
  <c r="AE732" i="1" s="1"/>
  <c r="Z733" i="1"/>
  <c r="AM733" i="1" s="1"/>
  <c r="R734" i="1"/>
  <c r="AE734" i="1" s="1"/>
  <c r="Z735" i="1"/>
  <c r="AM735" i="1" s="1"/>
  <c r="R736" i="1"/>
  <c r="AE736" i="1" s="1"/>
  <c r="Z737" i="1"/>
  <c r="AM737" i="1" s="1"/>
  <c r="R738" i="1"/>
  <c r="AE738" i="1" s="1"/>
  <c r="Z739" i="1"/>
  <c r="AM739" i="1" s="1"/>
  <c r="R740" i="1"/>
  <c r="AE740" i="1" s="1"/>
  <c r="Z741" i="1"/>
  <c r="AM741" i="1" s="1"/>
  <c r="R742" i="1"/>
  <c r="AE742" i="1" s="1"/>
  <c r="Z743" i="1"/>
  <c r="AM743" i="1" s="1"/>
  <c r="R744" i="1"/>
  <c r="AE744" i="1" s="1"/>
  <c r="Z745" i="1"/>
  <c r="AM745" i="1" s="1"/>
  <c r="R746" i="1"/>
  <c r="AE746" i="1" s="1"/>
  <c r="Z747" i="1"/>
  <c r="AM747" i="1" s="1"/>
  <c r="R748" i="1"/>
  <c r="AE748" i="1" s="1"/>
  <c r="Z749" i="1"/>
  <c r="AM749" i="1" s="1"/>
  <c r="R750" i="1"/>
  <c r="AE750" i="1" s="1"/>
  <c r="Z751" i="1"/>
  <c r="AM751" i="1" s="1"/>
  <c r="R752" i="1"/>
  <c r="AE752" i="1" s="1"/>
  <c r="Z753" i="1"/>
  <c r="AM753" i="1" s="1"/>
  <c r="R754" i="1"/>
  <c r="AE754" i="1" s="1"/>
  <c r="Z755" i="1"/>
  <c r="AM755" i="1" s="1"/>
  <c r="R756" i="1"/>
  <c r="AE756" i="1" s="1"/>
  <c r="Z757" i="1"/>
  <c r="AM757" i="1" s="1"/>
  <c r="R758" i="1"/>
  <c r="AE758" i="1" s="1"/>
  <c r="Z759" i="1"/>
  <c r="AM759" i="1" s="1"/>
  <c r="R760" i="1"/>
  <c r="AE760" i="1" s="1"/>
  <c r="Z761" i="1"/>
  <c r="AM761" i="1" s="1"/>
  <c r="R762" i="1"/>
  <c r="AE762" i="1" s="1"/>
  <c r="Z763" i="1"/>
  <c r="AM763" i="1" s="1"/>
  <c r="R764" i="1"/>
  <c r="AE764" i="1" s="1"/>
  <c r="Z765" i="1"/>
  <c r="AM765" i="1" s="1"/>
  <c r="R766" i="1"/>
  <c r="AE766" i="1" s="1"/>
  <c r="Z767" i="1"/>
  <c r="AM767" i="1" s="1"/>
  <c r="R768" i="1"/>
  <c r="AE768" i="1" s="1"/>
  <c r="Z769" i="1"/>
  <c r="AM769" i="1" s="1"/>
  <c r="R770" i="1"/>
  <c r="AE770" i="1" s="1"/>
  <c r="Z771" i="1"/>
  <c r="AM771" i="1" s="1"/>
  <c r="R772" i="1"/>
  <c r="AE772" i="1" s="1"/>
  <c r="Z773" i="1"/>
  <c r="AM773" i="1" s="1"/>
  <c r="R774" i="1"/>
  <c r="AE774" i="1" s="1"/>
  <c r="Z775" i="1"/>
  <c r="AM775" i="1" s="1"/>
  <c r="R776" i="1"/>
  <c r="AE776" i="1" s="1"/>
  <c r="Z777" i="1"/>
  <c r="AM777" i="1" s="1"/>
  <c r="R778" i="1"/>
  <c r="AE778" i="1" s="1"/>
  <c r="Z779" i="1"/>
  <c r="AM779" i="1" s="1"/>
  <c r="R780" i="1"/>
  <c r="AE780" i="1" s="1"/>
  <c r="Z781" i="1"/>
  <c r="AM781" i="1" s="1"/>
  <c r="R782" i="1"/>
  <c r="AE782" i="1" s="1"/>
  <c r="Z783" i="1"/>
  <c r="AM783" i="1" s="1"/>
  <c r="R784" i="1"/>
  <c r="AE784" i="1" s="1"/>
  <c r="Z785" i="1"/>
  <c r="AM785" i="1" s="1"/>
  <c r="R786" i="1"/>
  <c r="AE786" i="1" s="1"/>
  <c r="Z787" i="1"/>
  <c r="AM787" i="1" s="1"/>
  <c r="R788" i="1"/>
  <c r="AE788" i="1" s="1"/>
  <c r="Z789" i="1"/>
  <c r="AM789" i="1" s="1"/>
  <c r="R790" i="1"/>
  <c r="AE790" i="1" s="1"/>
  <c r="Z791" i="1"/>
  <c r="AM791" i="1" s="1"/>
  <c r="R792" i="1"/>
  <c r="AE792" i="1" s="1"/>
  <c r="Z793" i="1"/>
  <c r="AM793" i="1" s="1"/>
  <c r="Z626" i="1"/>
  <c r="AM626" i="1" s="1"/>
  <c r="T634" i="1"/>
  <c r="AG634" i="1" s="1"/>
  <c r="W647" i="1"/>
  <c r="AJ647" i="1" s="1"/>
  <c r="R665" i="1"/>
  <c r="AE665" i="1" s="1"/>
  <c r="Z670" i="1"/>
  <c r="AM670" i="1" s="1"/>
  <c r="R681" i="1"/>
  <c r="AE681" i="1" s="1"/>
  <c r="Q691" i="1"/>
  <c r="AD691" i="1" s="1"/>
  <c r="P692" i="1"/>
  <c r="AC692" i="1" s="1"/>
  <c r="S693" i="1"/>
  <c r="AF693" i="1" s="1"/>
  <c r="R694" i="1"/>
  <c r="AE694" i="1" s="1"/>
  <c r="V695" i="1"/>
  <c r="AI695" i="1" s="1"/>
  <c r="Y696" i="1"/>
  <c r="AL696" i="1" s="1"/>
  <c r="X697" i="1"/>
  <c r="AK697" i="1" s="1"/>
  <c r="Z699" i="1"/>
  <c r="AM699" i="1" s="1"/>
  <c r="O707" i="1"/>
  <c r="AB707" i="1" s="1"/>
  <c r="Y709" i="1"/>
  <c r="AL709" i="1" s="1"/>
  <c r="U710" i="1"/>
  <c r="AH710" i="1" s="1"/>
  <c r="O711" i="1"/>
  <c r="AB711" i="1" s="1"/>
  <c r="Y712" i="1"/>
  <c r="AL712" i="1" s="1"/>
  <c r="R713" i="1"/>
  <c r="AE713" i="1" s="1"/>
  <c r="V715" i="1"/>
  <c r="AI715" i="1" s="1"/>
  <c r="O716" i="1"/>
  <c r="AB716" i="1" s="1"/>
  <c r="Y717" i="1"/>
  <c r="AL717" i="1" s="1"/>
  <c r="R718" i="1"/>
  <c r="AE718" i="1" s="1"/>
  <c r="U720" i="1"/>
  <c r="AH720" i="1" s="1"/>
  <c r="X722" i="1"/>
  <c r="AK722" i="1" s="1"/>
  <c r="Q723" i="1"/>
  <c r="AD723" i="1" s="1"/>
  <c r="T725" i="1"/>
  <c r="AG725" i="1" s="1"/>
  <c r="X727" i="1"/>
  <c r="AK727" i="1" s="1"/>
  <c r="Q728" i="1"/>
  <c r="AD728" i="1" s="1"/>
  <c r="S730" i="1"/>
  <c r="AF730" i="1" s="1"/>
  <c r="S732" i="1"/>
  <c r="AF732" i="1" s="1"/>
  <c r="S734" i="1"/>
  <c r="AF734" i="1" s="1"/>
  <c r="S736" i="1"/>
  <c r="AF736" i="1" s="1"/>
  <c r="S738" i="1"/>
  <c r="AF738" i="1" s="1"/>
  <c r="S740" i="1"/>
  <c r="AF740" i="1" s="1"/>
  <c r="S742" i="1"/>
  <c r="AF742" i="1" s="1"/>
  <c r="S744" i="1"/>
  <c r="AF744" i="1" s="1"/>
  <c r="S746" i="1"/>
  <c r="AF746" i="1" s="1"/>
  <c r="S748" i="1"/>
  <c r="AF748" i="1" s="1"/>
  <c r="S750" i="1"/>
  <c r="AF750" i="1" s="1"/>
  <c r="S752" i="1"/>
  <c r="AF752" i="1" s="1"/>
  <c r="S754" i="1"/>
  <c r="AF754" i="1" s="1"/>
  <c r="S756" i="1"/>
  <c r="AF756" i="1" s="1"/>
  <c r="S758" i="1"/>
  <c r="AF758" i="1" s="1"/>
  <c r="S760" i="1"/>
  <c r="AF760" i="1" s="1"/>
  <c r="S762" i="1"/>
  <c r="AF762" i="1" s="1"/>
  <c r="O596" i="1"/>
  <c r="AB596" i="1" s="1"/>
  <c r="P635" i="1"/>
  <c r="AC635" i="1" s="1"/>
  <c r="S648" i="1"/>
  <c r="AF648" i="1" s="1"/>
  <c r="V660" i="1"/>
  <c r="AI660" i="1" s="1"/>
  <c r="R671" i="1"/>
  <c r="AE671" i="1" s="1"/>
  <c r="Z676" i="1"/>
  <c r="AM676" i="1" s="1"/>
  <c r="Q685" i="1"/>
  <c r="AD685" i="1" s="1"/>
  <c r="Q689" i="1"/>
  <c r="AD689" i="1" s="1"/>
  <c r="P690" i="1"/>
  <c r="AC690" i="1" s="1"/>
  <c r="S691" i="1"/>
  <c r="AF691" i="1" s="1"/>
  <c r="R692" i="1"/>
  <c r="AE692" i="1" s="1"/>
  <c r="V693" i="1"/>
  <c r="AI693" i="1" s="1"/>
  <c r="Y694" i="1"/>
  <c r="AL694" i="1" s="1"/>
  <c r="X695" i="1"/>
  <c r="AK695" i="1" s="1"/>
  <c r="Z697" i="1"/>
  <c r="AM697" i="1" s="1"/>
  <c r="Q705" i="1"/>
  <c r="AD705" i="1" s="1"/>
  <c r="P706" i="1"/>
  <c r="AC706" i="1" s="1"/>
  <c r="Q707" i="1"/>
  <c r="AD707" i="1" s="1"/>
  <c r="X710" i="1"/>
  <c r="AK710" i="1" s="1"/>
  <c r="Q711" i="1"/>
  <c r="AD711" i="1" s="1"/>
  <c r="T713" i="1"/>
  <c r="AG713" i="1" s="1"/>
  <c r="X715" i="1"/>
  <c r="AK715" i="1" s="1"/>
  <c r="Q716" i="1"/>
  <c r="AD716" i="1" s="1"/>
  <c r="T718" i="1"/>
  <c r="AG718" i="1" s="1"/>
  <c r="W720" i="1"/>
  <c r="AJ720" i="1" s="1"/>
  <c r="P721" i="1"/>
  <c r="AC721" i="1" s="1"/>
  <c r="Z722" i="1"/>
  <c r="AM722" i="1" s="1"/>
  <c r="S723" i="1"/>
  <c r="AF723" i="1" s="1"/>
  <c r="W725" i="1"/>
  <c r="AJ725" i="1" s="1"/>
  <c r="P726" i="1"/>
  <c r="AC726" i="1" s="1"/>
  <c r="Z727" i="1"/>
  <c r="AM727" i="1" s="1"/>
  <c r="S728" i="1"/>
  <c r="AF728" i="1" s="1"/>
  <c r="U730" i="1"/>
  <c r="AH730" i="1" s="1"/>
  <c r="U732" i="1"/>
  <c r="AH732" i="1" s="1"/>
  <c r="U734" i="1"/>
  <c r="AH734" i="1" s="1"/>
  <c r="U736" i="1"/>
  <c r="AH736" i="1" s="1"/>
  <c r="U738" i="1"/>
  <c r="AH738" i="1" s="1"/>
  <c r="U740" i="1"/>
  <c r="AH740" i="1" s="1"/>
  <c r="U742" i="1"/>
  <c r="AH742" i="1" s="1"/>
  <c r="U744" i="1"/>
  <c r="AH744" i="1" s="1"/>
  <c r="U746" i="1"/>
  <c r="AH746" i="1" s="1"/>
  <c r="U748" i="1"/>
  <c r="AH748" i="1" s="1"/>
  <c r="U750" i="1"/>
  <c r="AH750" i="1" s="1"/>
  <c r="U752" i="1"/>
  <c r="AH752" i="1" s="1"/>
  <c r="U754" i="1"/>
  <c r="AH754" i="1" s="1"/>
  <c r="U756" i="1"/>
  <c r="AH756" i="1" s="1"/>
  <c r="U758" i="1"/>
  <c r="AH758" i="1" s="1"/>
  <c r="U760" i="1"/>
  <c r="AH760" i="1" s="1"/>
  <c r="U762" i="1"/>
  <c r="AH762" i="1" s="1"/>
  <c r="U764" i="1"/>
  <c r="AH764" i="1" s="1"/>
  <c r="U766" i="1"/>
  <c r="AH766" i="1" s="1"/>
  <c r="U768" i="1"/>
  <c r="AH768" i="1" s="1"/>
  <c r="Q620" i="1"/>
  <c r="AD620" i="1" s="1"/>
  <c r="U660" i="1"/>
  <c r="AH660" i="1" s="1"/>
  <c r="R685" i="1"/>
  <c r="AE685" i="1" s="1"/>
  <c r="V691" i="1"/>
  <c r="AI691" i="1" s="1"/>
  <c r="Y697" i="1"/>
  <c r="AL697" i="1" s="1"/>
  <c r="P703" i="1"/>
  <c r="AC703" i="1" s="1"/>
  <c r="O708" i="1"/>
  <c r="AB708" i="1" s="1"/>
  <c r="Z712" i="1"/>
  <c r="AM712" i="1" s="1"/>
  <c r="R716" i="1"/>
  <c r="AE716" i="1" s="1"/>
  <c r="O731" i="1"/>
  <c r="AB731" i="1" s="1"/>
  <c r="V738" i="1"/>
  <c r="AI738" i="1" s="1"/>
  <c r="W752" i="1"/>
  <c r="AJ752" i="1" s="1"/>
  <c r="T756" i="1"/>
  <c r="AG756" i="1" s="1"/>
  <c r="O763" i="1"/>
  <c r="AB763" i="1" s="1"/>
  <c r="S766" i="1"/>
  <c r="AF766" i="1" s="1"/>
  <c r="W772" i="1"/>
  <c r="AJ772" i="1" s="1"/>
  <c r="O775" i="1"/>
  <c r="AB775" i="1" s="1"/>
  <c r="W776" i="1"/>
  <c r="AJ776" i="1" s="1"/>
  <c r="Z782" i="1"/>
  <c r="AM782" i="1" s="1"/>
  <c r="Y784" i="1"/>
  <c r="AL784" i="1" s="1"/>
  <c r="X786" i="1"/>
  <c r="AK786" i="1" s="1"/>
  <c r="U787" i="1"/>
  <c r="AH787" i="1" s="1"/>
  <c r="W788" i="1"/>
  <c r="AJ788" i="1" s="1"/>
  <c r="T789" i="1"/>
  <c r="AG789" i="1" s="1"/>
  <c r="V790" i="1"/>
  <c r="AI790" i="1" s="1"/>
  <c r="S791" i="1"/>
  <c r="AF791" i="1" s="1"/>
  <c r="U792" i="1"/>
  <c r="AH792" i="1" s="1"/>
  <c r="R793" i="1"/>
  <c r="AE793" i="1" s="1"/>
  <c r="Q794" i="1"/>
  <c r="AD794" i="1" s="1"/>
  <c r="Z796" i="1"/>
  <c r="AM796" i="1" s="1"/>
  <c r="U797" i="1"/>
  <c r="AH797" i="1" s="1"/>
  <c r="R798" i="1"/>
  <c r="AE798" i="1" s="1"/>
  <c r="U800" i="1"/>
  <c r="AH800" i="1" s="1"/>
  <c r="U802" i="1"/>
  <c r="AH802" i="1" s="1"/>
  <c r="U804" i="1"/>
  <c r="AH804" i="1" s="1"/>
  <c r="U806" i="1"/>
  <c r="AH806" i="1" s="1"/>
  <c r="U808" i="1"/>
  <c r="AH808" i="1" s="1"/>
  <c r="U810" i="1"/>
  <c r="AH810" i="1" s="1"/>
  <c r="U812" i="1"/>
  <c r="AH812" i="1" s="1"/>
  <c r="U814" i="1"/>
  <c r="AH814" i="1" s="1"/>
  <c r="U816" i="1"/>
  <c r="AH816" i="1" s="1"/>
  <c r="U818" i="1"/>
  <c r="AH818" i="1" s="1"/>
  <c r="U820" i="1"/>
  <c r="AH820" i="1" s="1"/>
  <c r="U822" i="1"/>
  <c r="AH822" i="1" s="1"/>
  <c r="U824" i="1"/>
  <c r="AH824" i="1" s="1"/>
  <c r="U826" i="1"/>
  <c r="AH826" i="1" s="1"/>
  <c r="U828" i="1"/>
  <c r="AH828" i="1" s="1"/>
  <c r="U830" i="1"/>
  <c r="AH830" i="1" s="1"/>
  <c r="U832" i="1"/>
  <c r="AH832" i="1" s="1"/>
  <c r="U834" i="1"/>
  <c r="AH834" i="1" s="1"/>
  <c r="U836" i="1"/>
  <c r="AH836" i="1" s="1"/>
  <c r="U838" i="1"/>
  <c r="AH838" i="1" s="1"/>
  <c r="U840" i="1"/>
  <c r="AH840" i="1" s="1"/>
  <c r="U842" i="1"/>
  <c r="AH842" i="1" s="1"/>
  <c r="Z627" i="1"/>
  <c r="AM627" i="1" s="1"/>
  <c r="Z685" i="1"/>
  <c r="AM685" i="1" s="1"/>
  <c r="Q692" i="1"/>
  <c r="AD692" i="1" s="1"/>
  <c r="Q703" i="1"/>
  <c r="AD703" i="1" s="1"/>
  <c r="S716" i="1"/>
  <c r="AF716" i="1" s="1"/>
  <c r="V720" i="1"/>
  <c r="AI720" i="1" s="1"/>
  <c r="W738" i="1"/>
  <c r="AJ738" i="1" s="1"/>
  <c r="T742" i="1"/>
  <c r="AG742" i="1" s="1"/>
  <c r="O749" i="1"/>
  <c r="AB749" i="1" s="1"/>
  <c r="V756" i="1"/>
  <c r="AI756" i="1" s="1"/>
  <c r="T766" i="1"/>
  <c r="AG766" i="1" s="1"/>
  <c r="Y772" i="1"/>
  <c r="AL772" i="1" s="1"/>
  <c r="Q775" i="1"/>
  <c r="AD775" i="1" s="1"/>
  <c r="Y776" i="1"/>
  <c r="AL776" i="1" s="1"/>
  <c r="Z784" i="1"/>
  <c r="AM784" i="1" s="1"/>
  <c r="Y786" i="1"/>
  <c r="AL786" i="1" s="1"/>
  <c r="X788" i="1"/>
  <c r="AK788" i="1" s="1"/>
  <c r="U789" i="1"/>
  <c r="AH789" i="1" s="1"/>
  <c r="W790" i="1"/>
  <c r="AJ790" i="1" s="1"/>
  <c r="T791" i="1"/>
  <c r="AG791" i="1" s="1"/>
  <c r="V792" i="1"/>
  <c r="AI792" i="1" s="1"/>
  <c r="S793" i="1"/>
  <c r="AF793" i="1" s="1"/>
  <c r="R794" i="1"/>
  <c r="AE794" i="1" s="1"/>
  <c r="Y797" i="1"/>
  <c r="AL797" i="1" s="1"/>
  <c r="S798" i="1"/>
  <c r="AF798" i="1" s="1"/>
  <c r="V800" i="1"/>
  <c r="AI800" i="1" s="1"/>
  <c r="V802" i="1"/>
  <c r="AI802" i="1" s="1"/>
  <c r="V804" i="1"/>
  <c r="AI804" i="1" s="1"/>
  <c r="V806" i="1"/>
  <c r="AI806" i="1" s="1"/>
  <c r="V808" i="1"/>
  <c r="AI808" i="1" s="1"/>
  <c r="V810" i="1"/>
  <c r="AI810" i="1" s="1"/>
  <c r="V812" i="1"/>
  <c r="AI812" i="1" s="1"/>
  <c r="V814" i="1"/>
  <c r="AI814" i="1" s="1"/>
  <c r="V816" i="1"/>
  <c r="AI816" i="1" s="1"/>
  <c r="V818" i="1"/>
  <c r="AI818" i="1" s="1"/>
  <c r="V820" i="1"/>
  <c r="AI820" i="1" s="1"/>
  <c r="V822" i="1"/>
  <c r="AI822" i="1" s="1"/>
  <c r="V824" i="1"/>
  <c r="AI824" i="1" s="1"/>
  <c r="V826" i="1"/>
  <c r="AI826" i="1" s="1"/>
  <c r="V828" i="1"/>
  <c r="AI828" i="1" s="1"/>
  <c r="V830" i="1"/>
  <c r="AI830" i="1" s="1"/>
  <c r="V832" i="1"/>
  <c r="AI832" i="1" s="1"/>
  <c r="V834" i="1"/>
  <c r="AI834" i="1" s="1"/>
  <c r="V836" i="1"/>
  <c r="AI836" i="1" s="1"/>
  <c r="V838" i="1"/>
  <c r="AI838" i="1" s="1"/>
  <c r="V840" i="1"/>
  <c r="AI840" i="1" s="1"/>
  <c r="V842" i="1"/>
  <c r="AI842" i="1" s="1"/>
  <c r="O661" i="1"/>
  <c r="AB661" i="1" s="1"/>
  <c r="X692" i="1"/>
  <c r="AK692" i="1" s="1"/>
  <c r="X720" i="1"/>
  <c r="AK720" i="1" s="1"/>
  <c r="O724" i="1"/>
  <c r="AB724" i="1" s="1"/>
  <c r="R728" i="1"/>
  <c r="AE728" i="1" s="1"/>
  <c r="O735" i="1"/>
  <c r="AB735" i="1" s="1"/>
  <c r="V742" i="1"/>
  <c r="AI742" i="1" s="1"/>
  <c r="W756" i="1"/>
  <c r="AJ756" i="1" s="1"/>
  <c r="T760" i="1"/>
  <c r="AG760" i="1" s="1"/>
  <c r="V766" i="1"/>
  <c r="AI766" i="1" s="1"/>
  <c r="O771" i="1"/>
  <c r="AB771" i="1" s="1"/>
  <c r="Z772" i="1"/>
  <c r="AM772" i="1" s="1"/>
  <c r="R775" i="1"/>
  <c r="AE775" i="1" s="1"/>
  <c r="Z776" i="1"/>
  <c r="AM776" i="1" s="1"/>
  <c r="Z786" i="1"/>
  <c r="AM786" i="1" s="1"/>
  <c r="Y788" i="1"/>
  <c r="AL788" i="1" s="1"/>
  <c r="X790" i="1"/>
  <c r="AK790" i="1" s="1"/>
  <c r="U791" i="1"/>
  <c r="AH791" i="1" s="1"/>
  <c r="W792" i="1"/>
  <c r="AJ792" i="1" s="1"/>
  <c r="T793" i="1"/>
  <c r="AG793" i="1" s="1"/>
  <c r="S794" i="1"/>
  <c r="AF794" i="1" s="1"/>
  <c r="Z797" i="1"/>
  <c r="AM797" i="1" s="1"/>
  <c r="T798" i="1"/>
  <c r="AG798" i="1" s="1"/>
  <c r="W800" i="1"/>
  <c r="AJ800" i="1" s="1"/>
  <c r="O801" i="1"/>
  <c r="AB801" i="1" s="1"/>
  <c r="W802" i="1"/>
  <c r="AJ802" i="1" s="1"/>
  <c r="O803" i="1"/>
  <c r="AB803" i="1" s="1"/>
  <c r="W804" i="1"/>
  <c r="AJ804" i="1" s="1"/>
  <c r="O805" i="1"/>
  <c r="AB805" i="1" s="1"/>
  <c r="W806" i="1"/>
  <c r="AJ806" i="1" s="1"/>
  <c r="O807" i="1"/>
  <c r="AB807" i="1" s="1"/>
  <c r="W808" i="1"/>
  <c r="AJ808" i="1" s="1"/>
  <c r="O809" i="1"/>
  <c r="AB809" i="1" s="1"/>
  <c r="W810" i="1"/>
  <c r="AJ810" i="1" s="1"/>
  <c r="O811" i="1"/>
  <c r="AB811" i="1" s="1"/>
  <c r="W812" i="1"/>
  <c r="AJ812" i="1" s="1"/>
  <c r="O813" i="1"/>
  <c r="AB813" i="1" s="1"/>
  <c r="W814" i="1"/>
  <c r="AJ814" i="1" s="1"/>
  <c r="O815" i="1"/>
  <c r="AB815" i="1" s="1"/>
  <c r="W816" i="1"/>
  <c r="AJ816" i="1" s="1"/>
  <c r="O817" i="1"/>
  <c r="AB817" i="1" s="1"/>
  <c r="W818" i="1"/>
  <c r="AJ818" i="1" s="1"/>
  <c r="O819" i="1"/>
  <c r="AB819" i="1" s="1"/>
  <c r="W820" i="1"/>
  <c r="AJ820" i="1" s="1"/>
  <c r="O821" i="1"/>
  <c r="AB821" i="1" s="1"/>
  <c r="W822" i="1"/>
  <c r="AJ822" i="1" s="1"/>
  <c r="O823" i="1"/>
  <c r="AB823" i="1" s="1"/>
  <c r="W824" i="1"/>
  <c r="AJ824" i="1" s="1"/>
  <c r="O825" i="1"/>
  <c r="AB825" i="1" s="1"/>
  <c r="W826" i="1"/>
  <c r="AJ826" i="1" s="1"/>
  <c r="O827" i="1"/>
  <c r="AB827" i="1" s="1"/>
  <c r="W828" i="1"/>
  <c r="AJ828" i="1" s="1"/>
  <c r="O829" i="1"/>
  <c r="AB829" i="1" s="1"/>
  <c r="W830" i="1"/>
  <c r="AJ830" i="1" s="1"/>
  <c r="O831" i="1"/>
  <c r="AB831" i="1" s="1"/>
  <c r="W832" i="1"/>
  <c r="AJ832" i="1" s="1"/>
  <c r="O833" i="1"/>
  <c r="AB833" i="1" s="1"/>
  <c r="W834" i="1"/>
  <c r="AJ834" i="1" s="1"/>
  <c r="O835" i="1"/>
  <c r="AB835" i="1" s="1"/>
  <c r="W836" i="1"/>
  <c r="AJ836" i="1" s="1"/>
  <c r="O837" i="1"/>
  <c r="AB837" i="1" s="1"/>
  <c r="W838" i="1"/>
  <c r="AJ838" i="1" s="1"/>
  <c r="O839" i="1"/>
  <c r="AB839" i="1" s="1"/>
  <c r="W840" i="1"/>
  <c r="AJ840" i="1" s="1"/>
  <c r="O841" i="1"/>
  <c r="AB841" i="1" s="1"/>
  <c r="P687" i="1"/>
  <c r="AC687" i="1" s="1"/>
  <c r="Y692" i="1"/>
  <c r="AL692" i="1" s="1"/>
  <c r="O704" i="1"/>
  <c r="AB704" i="1" s="1"/>
  <c r="S713" i="1"/>
  <c r="AF713" i="1" s="1"/>
  <c r="Y720" i="1"/>
  <c r="AL720" i="1" s="1"/>
  <c r="T728" i="1"/>
  <c r="AG728" i="1" s="1"/>
  <c r="W742" i="1"/>
  <c r="AJ742" i="1" s="1"/>
  <c r="T746" i="1"/>
  <c r="AG746" i="1" s="1"/>
  <c r="O753" i="1"/>
  <c r="AB753" i="1" s="1"/>
  <c r="V760" i="1"/>
  <c r="AI760" i="1" s="1"/>
  <c r="W766" i="1"/>
  <c r="AJ766" i="1" s="1"/>
  <c r="O769" i="1"/>
  <c r="AB769" i="1" s="1"/>
  <c r="T771" i="1"/>
  <c r="AG771" i="1" s="1"/>
  <c r="T775" i="1"/>
  <c r="AG775" i="1" s="1"/>
  <c r="Z788" i="1"/>
  <c r="AM788" i="1" s="1"/>
  <c r="Y790" i="1"/>
  <c r="AL790" i="1" s="1"/>
  <c r="X792" i="1"/>
  <c r="AK792" i="1" s="1"/>
  <c r="U793" i="1"/>
  <c r="AH793" i="1" s="1"/>
  <c r="T794" i="1"/>
  <c r="AG794" i="1" s="1"/>
  <c r="O795" i="1"/>
  <c r="AB795" i="1" s="1"/>
  <c r="U798" i="1"/>
  <c r="AH798" i="1" s="1"/>
  <c r="X800" i="1"/>
  <c r="AK800" i="1" s="1"/>
  <c r="P801" i="1"/>
  <c r="AC801" i="1" s="1"/>
  <c r="X802" i="1"/>
  <c r="AK802" i="1" s="1"/>
  <c r="P803" i="1"/>
  <c r="AC803" i="1" s="1"/>
  <c r="X804" i="1"/>
  <c r="AK804" i="1" s="1"/>
  <c r="P805" i="1"/>
  <c r="AC805" i="1" s="1"/>
  <c r="X806" i="1"/>
  <c r="AK806" i="1" s="1"/>
  <c r="P807" i="1"/>
  <c r="AC807" i="1" s="1"/>
  <c r="X808" i="1"/>
  <c r="AK808" i="1" s="1"/>
  <c r="P809" i="1"/>
  <c r="AC809" i="1" s="1"/>
  <c r="X810" i="1"/>
  <c r="AK810" i="1" s="1"/>
  <c r="P811" i="1"/>
  <c r="AC811" i="1" s="1"/>
  <c r="X812" i="1"/>
  <c r="AK812" i="1" s="1"/>
  <c r="P813" i="1"/>
  <c r="AC813" i="1" s="1"/>
  <c r="X814" i="1"/>
  <c r="AK814" i="1" s="1"/>
  <c r="P815" i="1"/>
  <c r="AC815" i="1" s="1"/>
  <c r="X816" i="1"/>
  <c r="AK816" i="1" s="1"/>
  <c r="P817" i="1"/>
  <c r="AC817" i="1" s="1"/>
  <c r="X818" i="1"/>
  <c r="AK818" i="1" s="1"/>
  <c r="P819" i="1"/>
  <c r="AC819" i="1" s="1"/>
  <c r="X820" i="1"/>
  <c r="AK820" i="1" s="1"/>
  <c r="P821" i="1"/>
  <c r="AC821" i="1" s="1"/>
  <c r="X822" i="1"/>
  <c r="AK822" i="1" s="1"/>
  <c r="P823" i="1"/>
  <c r="AC823" i="1" s="1"/>
  <c r="X824" i="1"/>
  <c r="AK824" i="1" s="1"/>
  <c r="P825" i="1"/>
  <c r="AC825" i="1" s="1"/>
  <c r="X826" i="1"/>
  <c r="AK826" i="1" s="1"/>
  <c r="P827" i="1"/>
  <c r="AC827" i="1" s="1"/>
  <c r="X828" i="1"/>
  <c r="AK828" i="1" s="1"/>
  <c r="P829" i="1"/>
  <c r="AC829" i="1" s="1"/>
  <c r="X830" i="1"/>
  <c r="AK830" i="1" s="1"/>
  <c r="P831" i="1"/>
  <c r="AC831" i="1" s="1"/>
  <c r="X832" i="1"/>
  <c r="AK832" i="1" s="1"/>
  <c r="P833" i="1"/>
  <c r="AC833" i="1" s="1"/>
  <c r="X834" i="1"/>
  <c r="AK834" i="1" s="1"/>
  <c r="P835" i="1"/>
  <c r="AC835" i="1" s="1"/>
  <c r="X836" i="1"/>
  <c r="AK836" i="1" s="1"/>
  <c r="P837" i="1"/>
  <c r="AC837" i="1" s="1"/>
  <c r="X838" i="1"/>
  <c r="AK838" i="1" s="1"/>
  <c r="P839" i="1"/>
  <c r="AC839" i="1" s="1"/>
  <c r="X840" i="1"/>
  <c r="AK840" i="1" s="1"/>
  <c r="P841" i="1"/>
  <c r="AC841" i="1" s="1"/>
  <c r="X842" i="1"/>
  <c r="AK842" i="1" s="1"/>
  <c r="Y666" i="1"/>
  <c r="AL666" i="1" s="1"/>
  <c r="Q687" i="1"/>
  <c r="AD687" i="1" s="1"/>
  <c r="T693" i="1"/>
  <c r="AG693" i="1" s="1"/>
  <c r="P704" i="1"/>
  <c r="AC704" i="1" s="1"/>
  <c r="Z709" i="1"/>
  <c r="AM709" i="1" s="1"/>
  <c r="V713" i="1"/>
  <c r="AI713" i="1" s="1"/>
  <c r="O721" i="1"/>
  <c r="AB721" i="1" s="1"/>
  <c r="U728" i="1"/>
  <c r="AH728" i="1" s="1"/>
  <c r="T732" i="1"/>
  <c r="AG732" i="1" s="1"/>
  <c r="O739" i="1"/>
  <c r="AB739" i="1" s="1"/>
  <c r="V746" i="1"/>
  <c r="AI746" i="1" s="1"/>
  <c r="W760" i="1"/>
  <c r="AJ760" i="1" s="1"/>
  <c r="S764" i="1"/>
  <c r="AF764" i="1" s="1"/>
  <c r="S774" i="1"/>
  <c r="AF774" i="1" s="1"/>
  <c r="Z790" i="1"/>
  <c r="AM790" i="1" s="1"/>
  <c r="Y792" i="1"/>
  <c r="AL792" i="1" s="1"/>
  <c r="Y793" i="1"/>
  <c r="AL793" i="1" s="1"/>
  <c r="U794" i="1"/>
  <c r="AH794" i="1" s="1"/>
  <c r="P795" i="1"/>
  <c r="AC795" i="1" s="1"/>
  <c r="V798" i="1"/>
  <c r="AI798" i="1" s="1"/>
  <c r="O799" i="1"/>
  <c r="AB799" i="1" s="1"/>
  <c r="Y800" i="1"/>
  <c r="AL800" i="1" s="1"/>
  <c r="Q801" i="1"/>
  <c r="AD801" i="1" s="1"/>
  <c r="Y802" i="1"/>
  <c r="AL802" i="1" s="1"/>
  <c r="Q803" i="1"/>
  <c r="AD803" i="1" s="1"/>
  <c r="Y804" i="1"/>
  <c r="AL804" i="1" s="1"/>
  <c r="Q805" i="1"/>
  <c r="AD805" i="1" s="1"/>
  <c r="Y806" i="1"/>
  <c r="AL806" i="1" s="1"/>
  <c r="Q807" i="1"/>
  <c r="AD807" i="1" s="1"/>
  <c r="Y808" i="1"/>
  <c r="AL808" i="1" s="1"/>
  <c r="Q809" i="1"/>
  <c r="AD809" i="1" s="1"/>
  <c r="Y810" i="1"/>
  <c r="AL810" i="1" s="1"/>
  <c r="Q811" i="1"/>
  <c r="AD811" i="1" s="1"/>
  <c r="Y812" i="1"/>
  <c r="AL812" i="1" s="1"/>
  <c r="Q813" i="1"/>
  <c r="AD813" i="1" s="1"/>
  <c r="Y814" i="1"/>
  <c r="AL814" i="1" s="1"/>
  <c r="Q815" i="1"/>
  <c r="AD815" i="1" s="1"/>
  <c r="Y816" i="1"/>
  <c r="AL816" i="1" s="1"/>
  <c r="Q817" i="1"/>
  <c r="AD817" i="1" s="1"/>
  <c r="Y818" i="1"/>
  <c r="AL818" i="1" s="1"/>
  <c r="Q819" i="1"/>
  <c r="AD819" i="1" s="1"/>
  <c r="Y820" i="1"/>
  <c r="AL820" i="1" s="1"/>
  <c r="Q821" i="1"/>
  <c r="AD821" i="1" s="1"/>
  <c r="Y822" i="1"/>
  <c r="AL822" i="1" s="1"/>
  <c r="Q823" i="1"/>
  <c r="AD823" i="1" s="1"/>
  <c r="Y824" i="1"/>
  <c r="AL824" i="1" s="1"/>
  <c r="Q825" i="1"/>
  <c r="AD825" i="1" s="1"/>
  <c r="Y826" i="1"/>
  <c r="AL826" i="1" s="1"/>
  <c r="Q827" i="1"/>
  <c r="AD827" i="1" s="1"/>
  <c r="Y828" i="1"/>
  <c r="AL828" i="1" s="1"/>
  <c r="Q829" i="1"/>
  <c r="AD829" i="1" s="1"/>
  <c r="Y830" i="1"/>
  <c r="AL830" i="1" s="1"/>
  <c r="Q831" i="1"/>
  <c r="AD831" i="1" s="1"/>
  <c r="Y832" i="1"/>
  <c r="AL832" i="1" s="1"/>
  <c r="Q833" i="1"/>
  <c r="AD833" i="1" s="1"/>
  <c r="Y834" i="1"/>
  <c r="AL834" i="1" s="1"/>
  <c r="Q835" i="1"/>
  <c r="AD835" i="1" s="1"/>
  <c r="Y836" i="1"/>
  <c r="AL836" i="1" s="1"/>
  <c r="Q837" i="1"/>
  <c r="AD837" i="1" s="1"/>
  <c r="Y838" i="1"/>
  <c r="AL838" i="1" s="1"/>
  <c r="Q839" i="1"/>
  <c r="AD839" i="1" s="1"/>
  <c r="Y840" i="1"/>
  <c r="AL840" i="1" s="1"/>
  <c r="Q841" i="1"/>
  <c r="AD841" i="1" s="1"/>
  <c r="Y842" i="1"/>
  <c r="AL842" i="1" s="1"/>
  <c r="Q843" i="1"/>
  <c r="AD843" i="1" s="1"/>
  <c r="Y844" i="1"/>
  <c r="AL844" i="1" s="1"/>
  <c r="Q845" i="1"/>
  <c r="AD845" i="1" s="1"/>
  <c r="Y846" i="1"/>
  <c r="AL846" i="1" s="1"/>
  <c r="Z666" i="1"/>
  <c r="AM666" i="1" s="1"/>
  <c r="W693" i="1"/>
  <c r="AJ693" i="1" s="1"/>
  <c r="P705" i="1"/>
  <c r="AC705" i="1" s="1"/>
  <c r="W713" i="1"/>
  <c r="AJ713" i="1" s="1"/>
  <c r="Z717" i="1"/>
  <c r="AM717" i="1" s="1"/>
  <c r="Q721" i="1"/>
  <c r="AD721" i="1" s="1"/>
  <c r="V732" i="1"/>
  <c r="AI732" i="1" s="1"/>
  <c r="W746" i="1"/>
  <c r="AJ746" i="1" s="1"/>
  <c r="T750" i="1"/>
  <c r="AG750" i="1" s="1"/>
  <c r="O757" i="1"/>
  <c r="AB757" i="1" s="1"/>
  <c r="T764" i="1"/>
  <c r="AG764" i="1" s="1"/>
  <c r="T774" i="1"/>
  <c r="AG774" i="1" s="1"/>
  <c r="Z792" i="1"/>
  <c r="AM792" i="1" s="1"/>
  <c r="V794" i="1"/>
  <c r="AI794" i="1" s="1"/>
  <c r="Q795" i="1"/>
  <c r="AD795" i="1" s="1"/>
  <c r="W798" i="1"/>
  <c r="AJ798" i="1" s="1"/>
  <c r="P799" i="1"/>
  <c r="AC799" i="1" s="1"/>
  <c r="Z800" i="1"/>
  <c r="AM800" i="1" s="1"/>
  <c r="R801" i="1"/>
  <c r="AE801" i="1" s="1"/>
  <c r="Z802" i="1"/>
  <c r="AM802" i="1" s="1"/>
  <c r="R803" i="1"/>
  <c r="AE803" i="1" s="1"/>
  <c r="Z804" i="1"/>
  <c r="AM804" i="1" s="1"/>
  <c r="R805" i="1"/>
  <c r="AE805" i="1" s="1"/>
  <c r="Z806" i="1"/>
  <c r="AM806" i="1" s="1"/>
  <c r="R807" i="1"/>
  <c r="AE807" i="1" s="1"/>
  <c r="Z808" i="1"/>
  <c r="AM808" i="1" s="1"/>
  <c r="R809" i="1"/>
  <c r="AE809" i="1" s="1"/>
  <c r="Z810" i="1"/>
  <c r="AM810" i="1" s="1"/>
  <c r="R811" i="1"/>
  <c r="AE811" i="1" s="1"/>
  <c r="Z812" i="1"/>
  <c r="AM812" i="1" s="1"/>
  <c r="R813" i="1"/>
  <c r="AE813" i="1" s="1"/>
  <c r="Z814" i="1"/>
  <c r="AM814" i="1" s="1"/>
  <c r="R815" i="1"/>
  <c r="AE815" i="1" s="1"/>
  <c r="Z816" i="1"/>
  <c r="AM816" i="1" s="1"/>
  <c r="R817" i="1"/>
  <c r="AE817" i="1" s="1"/>
  <c r="Z818" i="1"/>
  <c r="AM818" i="1" s="1"/>
  <c r="R819" i="1"/>
  <c r="AE819" i="1" s="1"/>
  <c r="Z820" i="1"/>
  <c r="AM820" i="1" s="1"/>
  <c r="R821" i="1"/>
  <c r="AE821" i="1" s="1"/>
  <c r="Z822" i="1"/>
  <c r="AM822" i="1" s="1"/>
  <c r="R823" i="1"/>
  <c r="AE823" i="1" s="1"/>
  <c r="Z824" i="1"/>
  <c r="AM824" i="1" s="1"/>
  <c r="R825" i="1"/>
  <c r="AE825" i="1" s="1"/>
  <c r="Z826" i="1"/>
  <c r="AM826" i="1" s="1"/>
  <c r="R827" i="1"/>
  <c r="AE827" i="1" s="1"/>
  <c r="Z828" i="1"/>
  <c r="AM828" i="1" s="1"/>
  <c r="R829" i="1"/>
  <c r="AE829" i="1" s="1"/>
  <c r="Z830" i="1"/>
  <c r="AM830" i="1" s="1"/>
  <c r="R831" i="1"/>
  <c r="AE831" i="1" s="1"/>
  <c r="Z832" i="1"/>
  <c r="AM832" i="1" s="1"/>
  <c r="R833" i="1"/>
  <c r="AE833" i="1" s="1"/>
  <c r="Z834" i="1"/>
  <c r="AM834" i="1" s="1"/>
  <c r="R835" i="1"/>
  <c r="AE835" i="1" s="1"/>
  <c r="Z836" i="1"/>
  <c r="AM836" i="1" s="1"/>
  <c r="R837" i="1"/>
  <c r="AE837" i="1" s="1"/>
  <c r="Z838" i="1"/>
  <c r="AM838" i="1" s="1"/>
  <c r="R839" i="1"/>
  <c r="AE839" i="1" s="1"/>
  <c r="Z840" i="1"/>
  <c r="AM840" i="1" s="1"/>
  <c r="R841" i="1"/>
  <c r="AE841" i="1" s="1"/>
  <c r="Q671" i="1"/>
  <c r="AD671" i="1" s="1"/>
  <c r="O688" i="1"/>
  <c r="AB688" i="1" s="1"/>
  <c r="X693" i="1"/>
  <c r="AK693" i="1" s="1"/>
  <c r="R705" i="1"/>
  <c r="AE705" i="1" s="1"/>
  <c r="R721" i="1"/>
  <c r="AE721" i="1" s="1"/>
  <c r="V725" i="1"/>
  <c r="AI725" i="1" s="1"/>
  <c r="W732" i="1"/>
  <c r="AJ732" i="1" s="1"/>
  <c r="T736" i="1"/>
  <c r="AG736" i="1" s="1"/>
  <c r="O743" i="1"/>
  <c r="AB743" i="1" s="1"/>
  <c r="V750" i="1"/>
  <c r="AI750" i="1" s="1"/>
  <c r="V764" i="1"/>
  <c r="AI764" i="1" s="1"/>
  <c r="U774" i="1"/>
  <c r="AH774" i="1" s="1"/>
  <c r="O779" i="1"/>
  <c r="AB779" i="1" s="1"/>
  <c r="W794" i="1"/>
  <c r="AJ794" i="1" s="1"/>
  <c r="R795" i="1"/>
  <c r="AE795" i="1" s="1"/>
  <c r="X798" i="1"/>
  <c r="AK798" i="1" s="1"/>
  <c r="Q799" i="1"/>
  <c r="AD799" i="1" s="1"/>
  <c r="S801" i="1"/>
  <c r="AF801" i="1" s="1"/>
  <c r="S803" i="1"/>
  <c r="AF803" i="1" s="1"/>
  <c r="S805" i="1"/>
  <c r="AF805" i="1" s="1"/>
  <c r="S807" i="1"/>
  <c r="AF807" i="1" s="1"/>
  <c r="S809" i="1"/>
  <c r="AF809" i="1" s="1"/>
  <c r="S811" i="1"/>
  <c r="AF811" i="1" s="1"/>
  <c r="S813" i="1"/>
  <c r="AF813" i="1" s="1"/>
  <c r="S815" i="1"/>
  <c r="AF815" i="1" s="1"/>
  <c r="S817" i="1"/>
  <c r="AF817" i="1" s="1"/>
  <c r="S819" i="1"/>
  <c r="AF819" i="1" s="1"/>
  <c r="S821" i="1"/>
  <c r="AF821" i="1" s="1"/>
  <c r="S823" i="1"/>
  <c r="AF823" i="1" s="1"/>
  <c r="S825" i="1"/>
  <c r="AF825" i="1" s="1"/>
  <c r="S827" i="1"/>
  <c r="AF827" i="1" s="1"/>
  <c r="S829" i="1"/>
  <c r="AF829" i="1" s="1"/>
  <c r="S831" i="1"/>
  <c r="AF831" i="1" s="1"/>
  <c r="S833" i="1"/>
  <c r="AF833" i="1" s="1"/>
  <c r="S835" i="1"/>
  <c r="AF835" i="1" s="1"/>
  <c r="S837" i="1"/>
  <c r="AF837" i="1" s="1"/>
  <c r="S839" i="1"/>
  <c r="AF839" i="1" s="1"/>
  <c r="S841" i="1"/>
  <c r="AF841" i="1" s="1"/>
  <c r="P688" i="1"/>
  <c r="AC688" i="1" s="1"/>
  <c r="X694" i="1"/>
  <c r="AK694" i="1" s="1"/>
  <c r="S705" i="1"/>
  <c r="AF705" i="1" s="1"/>
  <c r="W710" i="1"/>
  <c r="AJ710" i="1" s="1"/>
  <c r="O714" i="1"/>
  <c r="AB714" i="1" s="1"/>
  <c r="X725" i="1"/>
  <c r="AK725" i="1" s="1"/>
  <c r="V736" i="1"/>
  <c r="AI736" i="1" s="1"/>
  <c r="W750" i="1"/>
  <c r="AJ750" i="1" s="1"/>
  <c r="T754" i="1"/>
  <c r="AG754" i="1" s="1"/>
  <c r="O761" i="1"/>
  <c r="AB761" i="1" s="1"/>
  <c r="W764" i="1"/>
  <c r="AJ764" i="1" s="1"/>
  <c r="O767" i="1"/>
  <c r="AB767" i="1" s="1"/>
  <c r="V774" i="1"/>
  <c r="AI774" i="1" s="1"/>
  <c r="S778" i="1"/>
  <c r="AF778" i="1" s="1"/>
  <c r="P779" i="1"/>
  <c r="AC779" i="1" s="1"/>
  <c r="O781" i="1"/>
  <c r="AB781" i="1" s="1"/>
  <c r="X794" i="1"/>
  <c r="AK794" i="1" s="1"/>
  <c r="S795" i="1"/>
  <c r="AF795" i="1" s="1"/>
  <c r="Q796" i="1"/>
  <c r="AD796" i="1" s="1"/>
  <c r="Y798" i="1"/>
  <c r="AL798" i="1" s="1"/>
  <c r="R799" i="1"/>
  <c r="AE799" i="1" s="1"/>
  <c r="T801" i="1"/>
  <c r="AG801" i="1" s="1"/>
  <c r="T803" i="1"/>
  <c r="AG803" i="1" s="1"/>
  <c r="T805" i="1"/>
  <c r="AG805" i="1" s="1"/>
  <c r="T807" i="1"/>
  <c r="AG807" i="1" s="1"/>
  <c r="T809" i="1"/>
  <c r="AG809" i="1" s="1"/>
  <c r="T811" i="1"/>
  <c r="AG811" i="1" s="1"/>
  <c r="T813" i="1"/>
  <c r="AG813" i="1" s="1"/>
  <c r="T815" i="1"/>
  <c r="AG815" i="1" s="1"/>
  <c r="T817" i="1"/>
  <c r="AG817" i="1" s="1"/>
  <c r="T819" i="1"/>
  <c r="AG819" i="1" s="1"/>
  <c r="T821" i="1"/>
  <c r="AG821" i="1" s="1"/>
  <c r="T823" i="1"/>
  <c r="AG823" i="1" s="1"/>
  <c r="T825" i="1"/>
  <c r="AG825" i="1" s="1"/>
  <c r="T827" i="1"/>
  <c r="AG827" i="1" s="1"/>
  <c r="T829" i="1"/>
  <c r="AG829" i="1" s="1"/>
  <c r="T831" i="1"/>
  <c r="AG831" i="1" s="1"/>
  <c r="T833" i="1"/>
  <c r="AG833" i="1" s="1"/>
  <c r="T835" i="1"/>
  <c r="AG835" i="1" s="1"/>
  <c r="T837" i="1"/>
  <c r="AG837" i="1" s="1"/>
  <c r="T839" i="1"/>
  <c r="AG839" i="1" s="1"/>
  <c r="T841" i="1"/>
  <c r="AG841" i="1" s="1"/>
  <c r="T843" i="1"/>
  <c r="AG843" i="1" s="1"/>
  <c r="T845" i="1"/>
  <c r="AG845" i="1" s="1"/>
  <c r="T847" i="1"/>
  <c r="AG847" i="1" s="1"/>
  <c r="T849" i="1"/>
  <c r="AG849" i="1" s="1"/>
  <c r="T851" i="1"/>
  <c r="AG851" i="1" s="1"/>
  <c r="T853" i="1"/>
  <c r="AG853" i="1" s="1"/>
  <c r="T855" i="1"/>
  <c r="AG855" i="1" s="1"/>
  <c r="T857" i="1"/>
  <c r="AG857" i="1" s="1"/>
  <c r="T859" i="1"/>
  <c r="AG859" i="1" s="1"/>
  <c r="T861" i="1"/>
  <c r="AG861" i="1" s="1"/>
  <c r="T863" i="1"/>
  <c r="AG863" i="1" s="1"/>
  <c r="T865" i="1"/>
  <c r="AG865" i="1" s="1"/>
  <c r="T867" i="1"/>
  <c r="AG867" i="1" s="1"/>
  <c r="T869" i="1"/>
  <c r="AG869" i="1" s="1"/>
  <c r="T871" i="1"/>
  <c r="AG871" i="1" s="1"/>
  <c r="T873" i="1"/>
  <c r="AG873" i="1" s="1"/>
  <c r="T875" i="1"/>
  <c r="AG875" i="1" s="1"/>
  <c r="T877" i="1"/>
  <c r="AG877" i="1" s="1"/>
  <c r="T879" i="1"/>
  <c r="AG879" i="1" s="1"/>
  <c r="X642" i="1"/>
  <c r="AK642" i="1" s="1"/>
  <c r="P689" i="1"/>
  <c r="AC689" i="1" s="1"/>
  <c r="Z694" i="1"/>
  <c r="AM694" i="1" s="1"/>
  <c r="O706" i="1"/>
  <c r="AB706" i="1" s="1"/>
  <c r="Y710" i="1"/>
  <c r="AL710" i="1" s="1"/>
  <c r="P714" i="1"/>
  <c r="AC714" i="1" s="1"/>
  <c r="S718" i="1"/>
  <c r="AF718" i="1" s="1"/>
  <c r="Y725" i="1"/>
  <c r="AL725" i="1" s="1"/>
  <c r="W736" i="1"/>
  <c r="AJ736" i="1" s="1"/>
  <c r="T740" i="1"/>
  <c r="AG740" i="1" s="1"/>
  <c r="O747" i="1"/>
  <c r="AB747" i="1" s="1"/>
  <c r="V754" i="1"/>
  <c r="AI754" i="1" s="1"/>
  <c r="S770" i="1"/>
  <c r="AF770" i="1" s="1"/>
  <c r="O773" i="1"/>
  <c r="AB773" i="1" s="1"/>
  <c r="W774" i="1"/>
  <c r="AJ774" i="1" s="1"/>
  <c r="O777" i="1"/>
  <c r="AB777" i="1" s="1"/>
  <c r="T778" i="1"/>
  <c r="AG778" i="1" s="1"/>
  <c r="Q779" i="1"/>
  <c r="AD779" i="1" s="1"/>
  <c r="S780" i="1"/>
  <c r="AF780" i="1" s="1"/>
  <c r="P781" i="1"/>
  <c r="AC781" i="1" s="1"/>
  <c r="O783" i="1"/>
  <c r="AB783" i="1" s="1"/>
  <c r="Y794" i="1"/>
  <c r="AL794" i="1" s="1"/>
  <c r="T795" i="1"/>
  <c r="AG795" i="1" s="1"/>
  <c r="R796" i="1"/>
  <c r="AE796" i="1" s="1"/>
  <c r="Z798" i="1"/>
  <c r="AM798" i="1" s="1"/>
  <c r="S799" i="1"/>
  <c r="AF799" i="1" s="1"/>
  <c r="U801" i="1"/>
  <c r="AH801" i="1" s="1"/>
  <c r="U803" i="1"/>
  <c r="AH803" i="1" s="1"/>
  <c r="U805" i="1"/>
  <c r="AH805" i="1" s="1"/>
  <c r="U807" i="1"/>
  <c r="AH807" i="1" s="1"/>
  <c r="U809" i="1"/>
  <c r="AH809" i="1" s="1"/>
  <c r="U811" i="1"/>
  <c r="AH811" i="1" s="1"/>
  <c r="U813" i="1"/>
  <c r="AH813" i="1" s="1"/>
  <c r="U815" i="1"/>
  <c r="AH815" i="1" s="1"/>
  <c r="U817" i="1"/>
  <c r="AH817" i="1" s="1"/>
  <c r="U819" i="1"/>
  <c r="AH819" i="1" s="1"/>
  <c r="U821" i="1"/>
  <c r="AH821" i="1" s="1"/>
  <c r="U823" i="1"/>
  <c r="AH823" i="1" s="1"/>
  <c r="U825" i="1"/>
  <c r="AH825" i="1" s="1"/>
  <c r="U827" i="1"/>
  <c r="AH827" i="1" s="1"/>
  <c r="U829" i="1"/>
  <c r="AH829" i="1" s="1"/>
  <c r="U831" i="1"/>
  <c r="AH831" i="1" s="1"/>
  <c r="U833" i="1"/>
  <c r="AH833" i="1" s="1"/>
  <c r="U835" i="1"/>
  <c r="AH835" i="1" s="1"/>
  <c r="U837" i="1"/>
  <c r="AH837" i="1" s="1"/>
  <c r="U839" i="1"/>
  <c r="AH839" i="1" s="1"/>
  <c r="U841" i="1"/>
  <c r="AH841" i="1" s="1"/>
  <c r="U843" i="1"/>
  <c r="AH843" i="1" s="1"/>
  <c r="U845" i="1"/>
  <c r="AH845" i="1" s="1"/>
  <c r="U847" i="1"/>
  <c r="AH847" i="1" s="1"/>
  <c r="U849" i="1"/>
  <c r="AH849" i="1" s="1"/>
  <c r="U851" i="1"/>
  <c r="AH851" i="1" s="1"/>
  <c r="U853" i="1"/>
  <c r="AH853" i="1" s="1"/>
  <c r="U855" i="1"/>
  <c r="AH855" i="1" s="1"/>
  <c r="U857" i="1"/>
  <c r="AH857" i="1" s="1"/>
  <c r="U859" i="1"/>
  <c r="AH859" i="1" s="1"/>
  <c r="U861" i="1"/>
  <c r="AH861" i="1" s="1"/>
  <c r="U863" i="1"/>
  <c r="AH863" i="1" s="1"/>
  <c r="U865" i="1"/>
  <c r="AH865" i="1" s="1"/>
  <c r="U867" i="1"/>
  <c r="AH867" i="1" s="1"/>
  <c r="R550" i="1"/>
  <c r="AE550" i="1" s="1"/>
  <c r="Y642" i="1"/>
  <c r="AL642" i="1" s="1"/>
  <c r="Y676" i="1"/>
  <c r="AL676" i="1" s="1"/>
  <c r="R689" i="1"/>
  <c r="AE689" i="1" s="1"/>
  <c r="Q706" i="1"/>
  <c r="AD706" i="1" s="1"/>
  <c r="Z710" i="1"/>
  <c r="AM710" i="1" s="1"/>
  <c r="U718" i="1"/>
  <c r="AH718" i="1" s="1"/>
  <c r="O726" i="1"/>
  <c r="AB726" i="1" s="1"/>
  <c r="O733" i="1"/>
  <c r="AB733" i="1" s="1"/>
  <c r="V740" i="1"/>
  <c r="AI740" i="1" s="1"/>
  <c r="W754" i="1"/>
  <c r="AJ754" i="1" s="1"/>
  <c r="T758" i="1"/>
  <c r="AG758" i="1" s="1"/>
  <c r="T770" i="1"/>
  <c r="AG770" i="1" s="1"/>
  <c r="Q773" i="1"/>
  <c r="AD773" i="1" s="1"/>
  <c r="Y774" i="1"/>
  <c r="AL774" i="1" s="1"/>
  <c r="Q777" i="1"/>
  <c r="AD777" i="1" s="1"/>
  <c r="U778" i="1"/>
  <c r="AH778" i="1" s="1"/>
  <c r="R779" i="1"/>
  <c r="AE779" i="1" s="1"/>
  <c r="T780" i="1"/>
  <c r="AG780" i="1" s="1"/>
  <c r="Q781" i="1"/>
  <c r="AD781" i="1" s="1"/>
  <c r="S782" i="1"/>
  <c r="AF782" i="1" s="1"/>
  <c r="P783" i="1"/>
  <c r="AC783" i="1" s="1"/>
  <c r="O785" i="1"/>
  <c r="AB785" i="1" s="1"/>
  <c r="Z794" i="1"/>
  <c r="AM794" i="1" s="1"/>
  <c r="U795" i="1"/>
  <c r="AH795" i="1" s="1"/>
  <c r="S796" i="1"/>
  <c r="AF796" i="1" s="1"/>
  <c r="T799" i="1"/>
  <c r="AG799" i="1" s="1"/>
  <c r="V801" i="1"/>
  <c r="AI801" i="1" s="1"/>
  <c r="V803" i="1"/>
  <c r="AI803" i="1" s="1"/>
  <c r="V805" i="1"/>
  <c r="AI805" i="1" s="1"/>
  <c r="V807" i="1"/>
  <c r="AI807" i="1" s="1"/>
  <c r="V809" i="1"/>
  <c r="AI809" i="1" s="1"/>
  <c r="V811" i="1"/>
  <c r="AI811" i="1" s="1"/>
  <c r="V813" i="1"/>
  <c r="AI813" i="1" s="1"/>
  <c r="V815" i="1"/>
  <c r="AI815" i="1" s="1"/>
  <c r="V817" i="1"/>
  <c r="AI817" i="1" s="1"/>
  <c r="V819" i="1"/>
  <c r="AI819" i="1" s="1"/>
  <c r="V821" i="1"/>
  <c r="AI821" i="1" s="1"/>
  <c r="V823" i="1"/>
  <c r="AI823" i="1" s="1"/>
  <c r="V825" i="1"/>
  <c r="AI825" i="1" s="1"/>
  <c r="V827" i="1"/>
  <c r="AI827" i="1" s="1"/>
  <c r="V829" i="1"/>
  <c r="AI829" i="1" s="1"/>
  <c r="V831" i="1"/>
  <c r="AI831" i="1" s="1"/>
  <c r="V833" i="1"/>
  <c r="AI833" i="1" s="1"/>
  <c r="V835" i="1"/>
  <c r="AI835" i="1" s="1"/>
  <c r="V837" i="1"/>
  <c r="AI837" i="1" s="1"/>
  <c r="V839" i="1"/>
  <c r="AI839" i="1" s="1"/>
  <c r="V841" i="1"/>
  <c r="AI841" i="1" s="1"/>
  <c r="V843" i="1"/>
  <c r="AI843" i="1" s="1"/>
  <c r="V845" i="1"/>
  <c r="AI845" i="1" s="1"/>
  <c r="V847" i="1"/>
  <c r="AI847" i="1" s="1"/>
  <c r="V849" i="1"/>
  <c r="AI849" i="1" s="1"/>
  <c r="V851" i="1"/>
  <c r="AI851" i="1" s="1"/>
  <c r="V853" i="1"/>
  <c r="AI853" i="1" s="1"/>
  <c r="V855" i="1"/>
  <c r="AI855" i="1" s="1"/>
  <c r="V857" i="1"/>
  <c r="AI857" i="1" s="1"/>
  <c r="V859" i="1"/>
  <c r="AI859" i="1" s="1"/>
  <c r="V861" i="1"/>
  <c r="AI861" i="1" s="1"/>
  <c r="V863" i="1"/>
  <c r="AI863" i="1" s="1"/>
  <c r="V865" i="1"/>
  <c r="AI865" i="1" s="1"/>
  <c r="V867" i="1"/>
  <c r="AI867" i="1" s="1"/>
  <c r="V869" i="1"/>
  <c r="AI869" i="1" s="1"/>
  <c r="V871" i="1"/>
  <c r="AI871" i="1" s="1"/>
  <c r="V873" i="1"/>
  <c r="AI873" i="1" s="1"/>
  <c r="V875" i="1"/>
  <c r="AI875" i="1" s="1"/>
  <c r="W550" i="1"/>
  <c r="AJ550" i="1" s="1"/>
  <c r="R648" i="1"/>
  <c r="AE648" i="1" s="1"/>
  <c r="Q677" i="1"/>
  <c r="AD677" i="1" s="1"/>
  <c r="S689" i="1"/>
  <c r="AF689" i="1" s="1"/>
  <c r="W695" i="1"/>
  <c r="AJ695" i="1" s="1"/>
  <c r="R706" i="1"/>
  <c r="AE706" i="1" s="1"/>
  <c r="P711" i="1"/>
  <c r="AC711" i="1" s="1"/>
  <c r="V718" i="1"/>
  <c r="AI718" i="1" s="1"/>
  <c r="Y722" i="1"/>
  <c r="AL722" i="1" s="1"/>
  <c r="Q726" i="1"/>
  <c r="AD726" i="1" s="1"/>
  <c r="W740" i="1"/>
  <c r="AJ740" i="1" s="1"/>
  <c r="T744" i="1"/>
  <c r="AG744" i="1" s="1"/>
  <c r="O751" i="1"/>
  <c r="AB751" i="1" s="1"/>
  <c r="V758" i="1"/>
  <c r="AI758" i="1" s="1"/>
  <c r="U770" i="1"/>
  <c r="AH770" i="1" s="1"/>
  <c r="R773" i="1"/>
  <c r="AE773" i="1" s="1"/>
  <c r="Z774" i="1"/>
  <c r="AM774" i="1" s="1"/>
  <c r="R777" i="1"/>
  <c r="AE777" i="1" s="1"/>
  <c r="V778" i="1"/>
  <c r="AI778" i="1" s="1"/>
  <c r="S779" i="1"/>
  <c r="AF779" i="1" s="1"/>
  <c r="U780" i="1"/>
  <c r="AH780" i="1" s="1"/>
  <c r="R781" i="1"/>
  <c r="AE781" i="1" s="1"/>
  <c r="T782" i="1"/>
  <c r="AG782" i="1" s="1"/>
  <c r="Q783" i="1"/>
  <c r="AD783" i="1" s="1"/>
  <c r="S784" i="1"/>
  <c r="AF784" i="1" s="1"/>
  <c r="P785" i="1"/>
  <c r="AC785" i="1" s="1"/>
  <c r="O787" i="1"/>
  <c r="AB787" i="1" s="1"/>
  <c r="Y795" i="1"/>
  <c r="AL795" i="1" s="1"/>
  <c r="T796" i="1"/>
  <c r="AG796" i="1" s="1"/>
  <c r="O797" i="1"/>
  <c r="AB797" i="1" s="1"/>
  <c r="U799" i="1"/>
  <c r="AH799" i="1" s="1"/>
  <c r="O800" i="1"/>
  <c r="AB800" i="1" s="1"/>
  <c r="W801" i="1"/>
  <c r="AJ801" i="1" s="1"/>
  <c r="O802" i="1"/>
  <c r="AB802" i="1" s="1"/>
  <c r="W803" i="1"/>
  <c r="AJ803" i="1" s="1"/>
  <c r="O804" i="1"/>
  <c r="AB804" i="1" s="1"/>
  <c r="W805" i="1"/>
  <c r="AJ805" i="1" s="1"/>
  <c r="O806" i="1"/>
  <c r="AB806" i="1" s="1"/>
  <c r="W807" i="1"/>
  <c r="AJ807" i="1" s="1"/>
  <c r="O808" i="1"/>
  <c r="AB808" i="1" s="1"/>
  <c r="W809" i="1"/>
  <c r="AJ809" i="1" s="1"/>
  <c r="O810" i="1"/>
  <c r="AB810" i="1" s="1"/>
  <c r="W811" i="1"/>
  <c r="AJ811" i="1" s="1"/>
  <c r="O812" i="1"/>
  <c r="AB812" i="1" s="1"/>
  <c r="W813" i="1"/>
  <c r="AJ813" i="1" s="1"/>
  <c r="O814" i="1"/>
  <c r="AB814" i="1" s="1"/>
  <c r="W815" i="1"/>
  <c r="AJ815" i="1" s="1"/>
  <c r="O816" i="1"/>
  <c r="AB816" i="1" s="1"/>
  <c r="W817" i="1"/>
  <c r="AJ817" i="1" s="1"/>
  <c r="O818" i="1"/>
  <c r="AB818" i="1" s="1"/>
  <c r="W819" i="1"/>
  <c r="AJ819" i="1" s="1"/>
  <c r="O820" i="1"/>
  <c r="AB820" i="1" s="1"/>
  <c r="W821" i="1"/>
  <c r="AJ821" i="1" s="1"/>
  <c r="O822" i="1"/>
  <c r="AB822" i="1" s="1"/>
  <c r="W823" i="1"/>
  <c r="AJ823" i="1" s="1"/>
  <c r="O824" i="1"/>
  <c r="AB824" i="1" s="1"/>
  <c r="W825" i="1"/>
  <c r="AJ825" i="1" s="1"/>
  <c r="O826" i="1"/>
  <c r="AB826" i="1" s="1"/>
  <c r="W827" i="1"/>
  <c r="AJ827" i="1" s="1"/>
  <c r="O828" i="1"/>
  <c r="AB828" i="1" s="1"/>
  <c r="W829" i="1"/>
  <c r="AJ829" i="1" s="1"/>
  <c r="O830" i="1"/>
  <c r="AB830" i="1" s="1"/>
  <c r="W831" i="1"/>
  <c r="AJ831" i="1" s="1"/>
  <c r="O832" i="1"/>
  <c r="AB832" i="1" s="1"/>
  <c r="W833" i="1"/>
  <c r="AJ833" i="1" s="1"/>
  <c r="O834" i="1"/>
  <c r="AB834" i="1" s="1"/>
  <c r="W835" i="1"/>
  <c r="AJ835" i="1" s="1"/>
  <c r="O836" i="1"/>
  <c r="AB836" i="1" s="1"/>
  <c r="W837" i="1"/>
  <c r="AJ837" i="1" s="1"/>
  <c r="O838" i="1"/>
  <c r="AB838" i="1" s="1"/>
  <c r="W839" i="1"/>
  <c r="AJ839" i="1" s="1"/>
  <c r="O840" i="1"/>
  <c r="AB840" i="1" s="1"/>
  <c r="W841" i="1"/>
  <c r="AJ841" i="1" s="1"/>
  <c r="O842" i="1"/>
  <c r="AB842" i="1" s="1"/>
  <c r="W843" i="1"/>
  <c r="AJ843" i="1" s="1"/>
  <c r="O844" i="1"/>
  <c r="AB844" i="1" s="1"/>
  <c r="W845" i="1"/>
  <c r="AJ845" i="1" s="1"/>
  <c r="O846" i="1"/>
  <c r="AB846" i="1" s="1"/>
  <c r="W847" i="1"/>
  <c r="AJ847" i="1" s="1"/>
  <c r="O848" i="1"/>
  <c r="AB848" i="1" s="1"/>
  <c r="W849" i="1"/>
  <c r="AJ849" i="1" s="1"/>
  <c r="O850" i="1"/>
  <c r="AB850" i="1" s="1"/>
  <c r="W851" i="1"/>
  <c r="AJ851" i="1" s="1"/>
  <c r="O852" i="1"/>
  <c r="AB852" i="1" s="1"/>
  <c r="W853" i="1"/>
  <c r="AJ853" i="1" s="1"/>
  <c r="O854" i="1"/>
  <c r="AB854" i="1" s="1"/>
  <c r="W855" i="1"/>
  <c r="AJ855" i="1" s="1"/>
  <c r="O856" i="1"/>
  <c r="AB856" i="1" s="1"/>
  <c r="W857" i="1"/>
  <c r="AJ857" i="1" s="1"/>
  <c r="O858" i="1"/>
  <c r="AB858" i="1" s="1"/>
  <c r="W859" i="1"/>
  <c r="AJ859" i="1" s="1"/>
  <c r="O860" i="1"/>
  <c r="AB860" i="1" s="1"/>
  <c r="W861" i="1"/>
  <c r="AJ861" i="1" s="1"/>
  <c r="O862" i="1"/>
  <c r="AB862" i="1" s="1"/>
  <c r="W863" i="1"/>
  <c r="AJ863" i="1" s="1"/>
  <c r="O864" i="1"/>
  <c r="AB864" i="1" s="1"/>
  <c r="W865" i="1"/>
  <c r="AJ865" i="1" s="1"/>
  <c r="O866" i="1"/>
  <c r="AB866" i="1" s="1"/>
  <c r="R677" i="1"/>
  <c r="AE677" i="1" s="1"/>
  <c r="O690" i="1"/>
  <c r="AB690" i="1" s="1"/>
  <c r="Y695" i="1"/>
  <c r="AL695" i="1" s="1"/>
  <c r="P707" i="1"/>
  <c r="AC707" i="1" s="1"/>
  <c r="R711" i="1"/>
  <c r="AE711" i="1" s="1"/>
  <c r="R726" i="1"/>
  <c r="AE726" i="1" s="1"/>
  <c r="T730" i="1"/>
  <c r="AG730" i="1" s="1"/>
  <c r="O737" i="1"/>
  <c r="AB737" i="1" s="1"/>
  <c r="V744" i="1"/>
  <c r="AI744" i="1" s="1"/>
  <c r="W758" i="1"/>
  <c r="AJ758" i="1" s="1"/>
  <c r="T762" i="1"/>
  <c r="AG762" i="1" s="1"/>
  <c r="O765" i="1"/>
  <c r="AB765" i="1" s="1"/>
  <c r="V770" i="1"/>
  <c r="AI770" i="1" s="1"/>
  <c r="T773" i="1"/>
  <c r="AG773" i="1" s="1"/>
  <c r="T777" i="1"/>
  <c r="AG777" i="1" s="1"/>
  <c r="W778" i="1"/>
  <c r="AJ778" i="1" s="1"/>
  <c r="T779" i="1"/>
  <c r="AG779" i="1" s="1"/>
  <c r="V780" i="1"/>
  <c r="AI780" i="1" s="1"/>
  <c r="S781" i="1"/>
  <c r="AF781" i="1" s="1"/>
  <c r="U782" i="1"/>
  <c r="AH782" i="1" s="1"/>
  <c r="R783" i="1"/>
  <c r="AE783" i="1" s="1"/>
  <c r="T784" i="1"/>
  <c r="AG784" i="1" s="1"/>
  <c r="Q785" i="1"/>
  <c r="AD785" i="1" s="1"/>
  <c r="S786" i="1"/>
  <c r="AF786" i="1" s="1"/>
  <c r="P787" i="1"/>
  <c r="AC787" i="1" s="1"/>
  <c r="O789" i="1"/>
  <c r="AB789" i="1" s="1"/>
  <c r="Z795" i="1"/>
  <c r="AM795" i="1" s="1"/>
  <c r="U796" i="1"/>
  <c r="AH796" i="1" s="1"/>
  <c r="P797" i="1"/>
  <c r="AC797" i="1" s="1"/>
  <c r="W799" i="1"/>
  <c r="AJ799" i="1" s="1"/>
  <c r="P800" i="1"/>
  <c r="AC800" i="1" s="1"/>
  <c r="X801" i="1"/>
  <c r="AK801" i="1" s="1"/>
  <c r="P802" i="1"/>
  <c r="AC802" i="1" s="1"/>
  <c r="X803" i="1"/>
  <c r="AK803" i="1" s="1"/>
  <c r="P804" i="1"/>
  <c r="AC804" i="1" s="1"/>
  <c r="X805" i="1"/>
  <c r="AK805" i="1" s="1"/>
  <c r="P806" i="1"/>
  <c r="AC806" i="1" s="1"/>
  <c r="X807" i="1"/>
  <c r="AK807" i="1" s="1"/>
  <c r="P808" i="1"/>
  <c r="AC808" i="1" s="1"/>
  <c r="X809" i="1"/>
  <c r="AK809" i="1" s="1"/>
  <c r="P810" i="1"/>
  <c r="AC810" i="1" s="1"/>
  <c r="X811" i="1"/>
  <c r="AK811" i="1" s="1"/>
  <c r="P812" i="1"/>
  <c r="AC812" i="1" s="1"/>
  <c r="X813" i="1"/>
  <c r="AK813" i="1" s="1"/>
  <c r="P814" i="1"/>
  <c r="AC814" i="1" s="1"/>
  <c r="X815" i="1"/>
  <c r="AK815" i="1" s="1"/>
  <c r="P816" i="1"/>
  <c r="AC816" i="1" s="1"/>
  <c r="X817" i="1"/>
  <c r="AK817" i="1" s="1"/>
  <c r="P818" i="1"/>
  <c r="AC818" i="1" s="1"/>
  <c r="X819" i="1"/>
  <c r="AK819" i="1" s="1"/>
  <c r="P820" i="1"/>
  <c r="AC820" i="1" s="1"/>
  <c r="X821" i="1"/>
  <c r="AK821" i="1" s="1"/>
  <c r="P822" i="1"/>
  <c r="AC822" i="1" s="1"/>
  <c r="X823" i="1"/>
  <c r="AK823" i="1" s="1"/>
  <c r="P824" i="1"/>
  <c r="AC824" i="1" s="1"/>
  <c r="X825" i="1"/>
  <c r="AK825" i="1" s="1"/>
  <c r="P826" i="1"/>
  <c r="AC826" i="1" s="1"/>
  <c r="X827" i="1"/>
  <c r="AK827" i="1" s="1"/>
  <c r="P828" i="1"/>
  <c r="AC828" i="1" s="1"/>
  <c r="X829" i="1"/>
  <c r="AK829" i="1" s="1"/>
  <c r="P830" i="1"/>
  <c r="AC830" i="1" s="1"/>
  <c r="X831" i="1"/>
  <c r="AK831" i="1" s="1"/>
  <c r="P832" i="1"/>
  <c r="AC832" i="1" s="1"/>
  <c r="X833" i="1"/>
  <c r="AK833" i="1" s="1"/>
  <c r="P834" i="1"/>
  <c r="AC834" i="1" s="1"/>
  <c r="X835" i="1"/>
  <c r="AK835" i="1" s="1"/>
  <c r="P836" i="1"/>
  <c r="AC836" i="1" s="1"/>
  <c r="X837" i="1"/>
  <c r="AK837" i="1" s="1"/>
  <c r="P838" i="1"/>
  <c r="AC838" i="1" s="1"/>
  <c r="X839" i="1"/>
  <c r="AK839" i="1" s="1"/>
  <c r="P840" i="1"/>
  <c r="AC840" i="1" s="1"/>
  <c r="X841" i="1"/>
  <c r="AK841" i="1" s="1"/>
  <c r="P842" i="1"/>
  <c r="AC842" i="1" s="1"/>
  <c r="X843" i="1"/>
  <c r="AK843" i="1" s="1"/>
  <c r="P844" i="1"/>
  <c r="AC844" i="1" s="1"/>
  <c r="X845" i="1"/>
  <c r="AK845" i="1" s="1"/>
  <c r="P846" i="1"/>
  <c r="AC846" i="1" s="1"/>
  <c r="X847" i="1"/>
  <c r="AK847" i="1" s="1"/>
  <c r="P848" i="1"/>
  <c r="AC848" i="1" s="1"/>
  <c r="X849" i="1"/>
  <c r="AK849" i="1" s="1"/>
  <c r="P850" i="1"/>
  <c r="AC850" i="1" s="1"/>
  <c r="X851" i="1"/>
  <c r="AK851" i="1" s="1"/>
  <c r="P852" i="1"/>
  <c r="AC852" i="1" s="1"/>
  <c r="X853" i="1"/>
  <c r="AK853" i="1" s="1"/>
  <c r="P854" i="1"/>
  <c r="AC854" i="1" s="1"/>
  <c r="X855" i="1"/>
  <c r="AK855" i="1" s="1"/>
  <c r="P856" i="1"/>
  <c r="AC856" i="1" s="1"/>
  <c r="X857" i="1"/>
  <c r="AK857" i="1" s="1"/>
  <c r="P858" i="1"/>
  <c r="AC858" i="1" s="1"/>
  <c r="X859" i="1"/>
  <c r="AK859" i="1" s="1"/>
  <c r="P860" i="1"/>
  <c r="AC860" i="1" s="1"/>
  <c r="X861" i="1"/>
  <c r="AK861" i="1" s="1"/>
  <c r="P862" i="1"/>
  <c r="AC862" i="1" s="1"/>
  <c r="X863" i="1"/>
  <c r="AK863" i="1" s="1"/>
  <c r="P864" i="1"/>
  <c r="AC864" i="1" s="1"/>
  <c r="X865" i="1"/>
  <c r="AK865" i="1" s="1"/>
  <c r="P866" i="1"/>
  <c r="AC866" i="1" s="1"/>
  <c r="V601" i="1"/>
  <c r="AI601" i="1" s="1"/>
  <c r="Q690" i="1"/>
  <c r="AD690" i="1" s="1"/>
  <c r="Z695" i="1"/>
  <c r="AM695" i="1" s="1"/>
  <c r="R707" i="1"/>
  <c r="AE707" i="1" s="1"/>
  <c r="S711" i="1"/>
  <c r="AF711" i="1" s="1"/>
  <c r="W715" i="1"/>
  <c r="AJ715" i="1" s="1"/>
  <c r="V730" i="1"/>
  <c r="AI730" i="1" s="1"/>
  <c r="W744" i="1"/>
  <c r="AJ744" i="1" s="1"/>
  <c r="T748" i="1"/>
  <c r="AG748" i="1" s="1"/>
  <c r="O755" i="1"/>
  <c r="AB755" i="1" s="1"/>
  <c r="V762" i="1"/>
  <c r="AI762" i="1" s="1"/>
  <c r="S768" i="1"/>
  <c r="AF768" i="1" s="1"/>
  <c r="W770" i="1"/>
  <c r="AJ770" i="1" s="1"/>
  <c r="S772" i="1"/>
  <c r="AF772" i="1" s="1"/>
  <c r="S776" i="1"/>
  <c r="AF776" i="1" s="1"/>
  <c r="X778" i="1"/>
  <c r="AK778" i="1" s="1"/>
  <c r="U779" i="1"/>
  <c r="AH779" i="1" s="1"/>
  <c r="W780" i="1"/>
  <c r="AJ780" i="1" s="1"/>
  <c r="T781" i="1"/>
  <c r="AG781" i="1" s="1"/>
  <c r="V782" i="1"/>
  <c r="AI782" i="1" s="1"/>
  <c r="S783" i="1"/>
  <c r="AF783" i="1" s="1"/>
  <c r="U784" i="1"/>
  <c r="AH784" i="1" s="1"/>
  <c r="R785" i="1"/>
  <c r="AE785" i="1" s="1"/>
  <c r="T786" i="1"/>
  <c r="AG786" i="1" s="1"/>
  <c r="Q787" i="1"/>
  <c r="AD787" i="1" s="1"/>
  <c r="S788" i="1"/>
  <c r="AF788" i="1" s="1"/>
  <c r="P789" i="1"/>
  <c r="AC789" i="1" s="1"/>
  <c r="O791" i="1"/>
  <c r="AB791" i="1" s="1"/>
  <c r="V796" i="1"/>
  <c r="AI796" i="1" s="1"/>
  <c r="Q797" i="1"/>
  <c r="AD797" i="1" s="1"/>
  <c r="X799" i="1"/>
  <c r="AK799" i="1" s="1"/>
  <c r="Q800" i="1"/>
  <c r="AD800" i="1" s="1"/>
  <c r="Y801" i="1"/>
  <c r="AL801" i="1" s="1"/>
  <c r="Q802" i="1"/>
  <c r="AD802" i="1" s="1"/>
  <c r="Y803" i="1"/>
  <c r="AL803" i="1" s="1"/>
  <c r="Q804" i="1"/>
  <c r="AD804" i="1" s="1"/>
  <c r="Y805" i="1"/>
  <c r="AL805" i="1" s="1"/>
  <c r="Q806" i="1"/>
  <c r="AD806" i="1" s="1"/>
  <c r="Y807" i="1"/>
  <c r="AL807" i="1" s="1"/>
  <c r="Q808" i="1"/>
  <c r="AD808" i="1" s="1"/>
  <c r="Y809" i="1"/>
  <c r="AL809" i="1" s="1"/>
  <c r="Q810" i="1"/>
  <c r="AD810" i="1" s="1"/>
  <c r="Y811" i="1"/>
  <c r="AL811" i="1" s="1"/>
  <c r="Q812" i="1"/>
  <c r="AD812" i="1" s="1"/>
  <c r="Y813" i="1"/>
  <c r="AL813" i="1" s="1"/>
  <c r="Q814" i="1"/>
  <c r="AD814" i="1" s="1"/>
  <c r="Y815" i="1"/>
  <c r="AL815" i="1" s="1"/>
  <c r="Q816" i="1"/>
  <c r="AD816" i="1" s="1"/>
  <c r="Y817" i="1"/>
  <c r="AL817" i="1" s="1"/>
  <c r="Q818" i="1"/>
  <c r="AD818" i="1" s="1"/>
  <c r="Y819" i="1"/>
  <c r="AL819" i="1" s="1"/>
  <c r="Q820" i="1"/>
  <c r="AD820" i="1" s="1"/>
  <c r="Y821" i="1"/>
  <c r="AL821" i="1" s="1"/>
  <c r="Q822" i="1"/>
  <c r="AD822" i="1" s="1"/>
  <c r="Y823" i="1"/>
  <c r="AL823" i="1" s="1"/>
  <c r="Q824" i="1"/>
  <c r="AD824" i="1" s="1"/>
  <c r="Y825" i="1"/>
  <c r="AL825" i="1" s="1"/>
  <c r="Q826" i="1"/>
  <c r="AD826" i="1" s="1"/>
  <c r="Y827" i="1"/>
  <c r="AL827" i="1" s="1"/>
  <c r="Q828" i="1"/>
  <c r="AD828" i="1" s="1"/>
  <c r="Y829" i="1"/>
  <c r="AL829" i="1" s="1"/>
  <c r="Q830" i="1"/>
  <c r="AD830" i="1" s="1"/>
  <c r="Y831" i="1"/>
  <c r="AL831" i="1" s="1"/>
  <c r="Q832" i="1"/>
  <c r="AD832" i="1" s="1"/>
  <c r="Y833" i="1"/>
  <c r="AL833" i="1" s="1"/>
  <c r="Q834" i="1"/>
  <c r="AD834" i="1" s="1"/>
  <c r="Y835" i="1"/>
  <c r="AL835" i="1" s="1"/>
  <c r="Q836" i="1"/>
  <c r="AD836" i="1" s="1"/>
  <c r="Y837" i="1"/>
  <c r="AL837" i="1" s="1"/>
  <c r="Q838" i="1"/>
  <c r="AD838" i="1" s="1"/>
  <c r="Y839" i="1"/>
  <c r="AL839" i="1" s="1"/>
  <c r="Q840" i="1"/>
  <c r="AD840" i="1" s="1"/>
  <c r="Y841" i="1"/>
  <c r="AL841" i="1" s="1"/>
  <c r="Q842" i="1"/>
  <c r="AD842" i="1" s="1"/>
  <c r="Y843" i="1"/>
  <c r="AL843" i="1" s="1"/>
  <c r="Q844" i="1"/>
  <c r="AD844" i="1" s="1"/>
  <c r="Y845" i="1"/>
  <c r="AL845" i="1" s="1"/>
  <c r="Q846" i="1"/>
  <c r="AD846" i="1" s="1"/>
  <c r="Y847" i="1"/>
  <c r="AL847" i="1" s="1"/>
  <c r="Q848" i="1"/>
  <c r="AD848" i="1" s="1"/>
  <c r="Y849" i="1"/>
  <c r="AL849" i="1" s="1"/>
  <c r="Q850" i="1"/>
  <c r="AD850" i="1" s="1"/>
  <c r="Y851" i="1"/>
  <c r="AL851" i="1" s="1"/>
  <c r="Q852" i="1"/>
  <c r="AD852" i="1" s="1"/>
  <c r="Y853" i="1"/>
  <c r="AL853" i="1" s="1"/>
  <c r="Q854" i="1"/>
  <c r="AD854" i="1" s="1"/>
  <c r="Y855" i="1"/>
  <c r="AL855" i="1" s="1"/>
  <c r="Q856" i="1"/>
  <c r="AD856" i="1" s="1"/>
  <c r="Y857" i="1"/>
  <c r="AL857" i="1" s="1"/>
  <c r="Q858" i="1"/>
  <c r="AD858" i="1" s="1"/>
  <c r="Y859" i="1"/>
  <c r="AL859" i="1" s="1"/>
  <c r="Q860" i="1"/>
  <c r="AD860" i="1" s="1"/>
  <c r="Y861" i="1"/>
  <c r="AL861" i="1" s="1"/>
  <c r="Q862" i="1"/>
  <c r="AD862" i="1" s="1"/>
  <c r="Y863" i="1"/>
  <c r="AL863" i="1" s="1"/>
  <c r="Q864" i="1"/>
  <c r="AD864" i="1" s="1"/>
  <c r="Y865" i="1"/>
  <c r="AL865" i="1" s="1"/>
  <c r="W601" i="1"/>
  <c r="AJ601" i="1" s="1"/>
  <c r="Y682" i="1"/>
  <c r="AL682" i="1" s="1"/>
  <c r="R690" i="1"/>
  <c r="AE690" i="1" s="1"/>
  <c r="Z696" i="1"/>
  <c r="AM696" i="1" s="1"/>
  <c r="S707" i="1"/>
  <c r="AF707" i="1" s="1"/>
  <c r="Y715" i="1"/>
  <c r="AL715" i="1" s="1"/>
  <c r="O719" i="1"/>
  <c r="AB719" i="1" s="1"/>
  <c r="R723" i="1"/>
  <c r="AE723" i="1" s="1"/>
  <c r="W730" i="1"/>
  <c r="AJ730" i="1" s="1"/>
  <c r="T734" i="1"/>
  <c r="AG734" i="1" s="1"/>
  <c r="O741" i="1"/>
  <c r="AB741" i="1" s="1"/>
  <c r="V748" i="1"/>
  <c r="AI748" i="1" s="1"/>
  <c r="W762" i="1"/>
  <c r="AJ762" i="1" s="1"/>
  <c r="T768" i="1"/>
  <c r="AG768" i="1" s="1"/>
  <c r="T772" i="1"/>
  <c r="AG772" i="1" s="1"/>
  <c r="T776" i="1"/>
  <c r="AG776" i="1" s="1"/>
  <c r="Y778" i="1"/>
  <c r="AL778" i="1" s="1"/>
  <c r="X780" i="1"/>
  <c r="AK780" i="1" s="1"/>
  <c r="U781" i="1"/>
  <c r="AH781" i="1" s="1"/>
  <c r="W782" i="1"/>
  <c r="AJ782" i="1" s="1"/>
  <c r="T783" i="1"/>
  <c r="AG783" i="1" s="1"/>
  <c r="V784" i="1"/>
  <c r="AI784" i="1" s="1"/>
  <c r="S785" i="1"/>
  <c r="AF785" i="1" s="1"/>
  <c r="U786" i="1"/>
  <c r="AH786" i="1" s="1"/>
  <c r="R787" i="1"/>
  <c r="AE787" i="1" s="1"/>
  <c r="T788" i="1"/>
  <c r="AG788" i="1" s="1"/>
  <c r="Q789" i="1"/>
  <c r="AD789" i="1" s="1"/>
  <c r="S790" i="1"/>
  <c r="AF790" i="1" s="1"/>
  <c r="P791" i="1"/>
  <c r="AC791" i="1" s="1"/>
  <c r="O793" i="1"/>
  <c r="AB793" i="1" s="1"/>
  <c r="W796" i="1"/>
  <c r="AJ796" i="1" s="1"/>
  <c r="R797" i="1"/>
  <c r="AE797" i="1" s="1"/>
  <c r="Y799" i="1"/>
  <c r="AL799" i="1" s="1"/>
  <c r="R800" i="1"/>
  <c r="AE800" i="1" s="1"/>
  <c r="Z801" i="1"/>
  <c r="AM801" i="1" s="1"/>
  <c r="R802" i="1"/>
  <c r="AE802" i="1" s="1"/>
  <c r="Z803" i="1"/>
  <c r="AM803" i="1" s="1"/>
  <c r="R804" i="1"/>
  <c r="AE804" i="1" s="1"/>
  <c r="Z805" i="1"/>
  <c r="AM805" i="1" s="1"/>
  <c r="R806" i="1"/>
  <c r="AE806" i="1" s="1"/>
  <c r="Z807" i="1"/>
  <c r="AM807" i="1" s="1"/>
  <c r="R808" i="1"/>
  <c r="AE808" i="1" s="1"/>
  <c r="Z809" i="1"/>
  <c r="AM809" i="1" s="1"/>
  <c r="R810" i="1"/>
  <c r="AE810" i="1" s="1"/>
  <c r="Z811" i="1"/>
  <c r="AM811" i="1" s="1"/>
  <c r="R812" i="1"/>
  <c r="AE812" i="1" s="1"/>
  <c r="Z813" i="1"/>
  <c r="AM813" i="1" s="1"/>
  <c r="R814" i="1"/>
  <c r="AE814" i="1" s="1"/>
  <c r="Z815" i="1"/>
  <c r="AM815" i="1" s="1"/>
  <c r="R816" i="1"/>
  <c r="AE816" i="1" s="1"/>
  <c r="Z817" i="1"/>
  <c r="AM817" i="1" s="1"/>
  <c r="R818" i="1"/>
  <c r="AE818" i="1" s="1"/>
  <c r="Z819" i="1"/>
  <c r="AM819" i="1" s="1"/>
  <c r="R820" i="1"/>
  <c r="AE820" i="1" s="1"/>
  <c r="Z821" i="1"/>
  <c r="AM821" i="1" s="1"/>
  <c r="R822" i="1"/>
  <c r="AE822" i="1" s="1"/>
  <c r="Z823" i="1"/>
  <c r="AM823" i="1" s="1"/>
  <c r="R824" i="1"/>
  <c r="AE824" i="1" s="1"/>
  <c r="Z825" i="1"/>
  <c r="AM825" i="1" s="1"/>
  <c r="R826" i="1"/>
  <c r="AE826" i="1" s="1"/>
  <c r="Z827" i="1"/>
  <c r="AM827" i="1" s="1"/>
  <c r="R828" i="1"/>
  <c r="AE828" i="1" s="1"/>
  <c r="Z829" i="1"/>
  <c r="AM829" i="1" s="1"/>
  <c r="R830" i="1"/>
  <c r="AE830" i="1" s="1"/>
  <c r="Z831" i="1"/>
  <c r="AM831" i="1" s="1"/>
  <c r="R832" i="1"/>
  <c r="AE832" i="1" s="1"/>
  <c r="Z833" i="1"/>
  <c r="AM833" i="1" s="1"/>
  <c r="R834" i="1"/>
  <c r="AE834" i="1" s="1"/>
  <c r="Z835" i="1"/>
  <c r="AM835" i="1" s="1"/>
  <c r="R836" i="1"/>
  <c r="AE836" i="1" s="1"/>
  <c r="Z837" i="1"/>
  <c r="AM837" i="1" s="1"/>
  <c r="R838" i="1"/>
  <c r="AE838" i="1" s="1"/>
  <c r="Z839" i="1"/>
  <c r="AM839" i="1" s="1"/>
  <c r="R840" i="1"/>
  <c r="AE840" i="1" s="1"/>
  <c r="O759" i="1"/>
  <c r="AB759" i="1" s="1"/>
  <c r="U776" i="1"/>
  <c r="AH776" i="1" s="1"/>
  <c r="W784" i="1"/>
  <c r="AJ784" i="1" s="1"/>
  <c r="S792" i="1"/>
  <c r="AF792" i="1" s="1"/>
  <c r="S804" i="1"/>
  <c r="AF804" i="1" s="1"/>
  <c r="S820" i="1"/>
  <c r="AF820" i="1" s="1"/>
  <c r="S836" i="1"/>
  <c r="AF836" i="1" s="1"/>
  <c r="Z841" i="1"/>
  <c r="AM841" i="1" s="1"/>
  <c r="P843" i="1"/>
  <c r="AC843" i="1" s="1"/>
  <c r="W844" i="1"/>
  <c r="AJ844" i="1" s="1"/>
  <c r="O851" i="1"/>
  <c r="AB851" i="1" s="1"/>
  <c r="S852" i="1"/>
  <c r="AF852" i="1" s="1"/>
  <c r="Q853" i="1"/>
  <c r="AD853" i="1" s="1"/>
  <c r="U854" i="1"/>
  <c r="AH854" i="1" s="1"/>
  <c r="S855" i="1"/>
  <c r="AF855" i="1" s="1"/>
  <c r="W856" i="1"/>
  <c r="AJ856" i="1" s="1"/>
  <c r="Y858" i="1"/>
  <c r="AL858" i="1" s="1"/>
  <c r="W869" i="1"/>
  <c r="AJ869" i="1" s="1"/>
  <c r="Q870" i="1"/>
  <c r="AD870" i="1" s="1"/>
  <c r="W872" i="1"/>
  <c r="AJ872" i="1" s="1"/>
  <c r="Q873" i="1"/>
  <c r="AD873" i="1" s="1"/>
  <c r="Y875" i="1"/>
  <c r="AL875" i="1" s="1"/>
  <c r="S876" i="1"/>
  <c r="AF876" i="1" s="1"/>
  <c r="W878" i="1"/>
  <c r="AJ878" i="1" s="1"/>
  <c r="P879" i="1"/>
  <c r="AC879" i="1" s="1"/>
  <c r="Z880" i="1"/>
  <c r="AM880" i="1" s="1"/>
  <c r="S881" i="1"/>
  <c r="AF881" i="1" s="1"/>
  <c r="S883" i="1"/>
  <c r="AF883" i="1" s="1"/>
  <c r="S885" i="1"/>
  <c r="AF885" i="1" s="1"/>
  <c r="S887" i="1"/>
  <c r="AF887" i="1" s="1"/>
  <c r="S889" i="1"/>
  <c r="AF889" i="1" s="1"/>
  <c r="S891" i="1"/>
  <c r="AF891" i="1" s="1"/>
  <c r="S893" i="1"/>
  <c r="AF893" i="1" s="1"/>
  <c r="S895" i="1"/>
  <c r="AF895" i="1" s="1"/>
  <c r="S897" i="1"/>
  <c r="AF897" i="1" s="1"/>
  <c r="S899" i="1"/>
  <c r="AF899" i="1" s="1"/>
  <c r="S901" i="1"/>
  <c r="AF901" i="1" s="1"/>
  <c r="S903" i="1"/>
  <c r="AF903" i="1" s="1"/>
  <c r="S905" i="1"/>
  <c r="AF905" i="1" s="1"/>
  <c r="S907" i="1"/>
  <c r="AF907" i="1" s="1"/>
  <c r="S909" i="1"/>
  <c r="AF909" i="1" s="1"/>
  <c r="S911" i="1"/>
  <c r="AF911" i="1" s="1"/>
  <c r="S913" i="1"/>
  <c r="AF913" i="1" s="1"/>
  <c r="S915" i="1"/>
  <c r="AF915" i="1" s="1"/>
  <c r="S917" i="1"/>
  <c r="AF917" i="1" s="1"/>
  <c r="S919" i="1"/>
  <c r="AF919" i="1" s="1"/>
  <c r="S921" i="1"/>
  <c r="AF921" i="1" s="1"/>
  <c r="S923" i="1"/>
  <c r="AF923" i="1" s="1"/>
  <c r="S925" i="1"/>
  <c r="AF925" i="1" s="1"/>
  <c r="S927" i="1"/>
  <c r="AF927" i="1" s="1"/>
  <c r="S929" i="1"/>
  <c r="AF929" i="1" s="1"/>
  <c r="S931" i="1"/>
  <c r="AF931" i="1" s="1"/>
  <c r="S933" i="1"/>
  <c r="AF933" i="1" s="1"/>
  <c r="S935" i="1"/>
  <c r="AF935" i="1" s="1"/>
  <c r="S937" i="1"/>
  <c r="AF937" i="1" s="1"/>
  <c r="S939" i="1"/>
  <c r="AF939" i="1" s="1"/>
  <c r="S941" i="1"/>
  <c r="AF941" i="1" s="1"/>
  <c r="S943" i="1"/>
  <c r="AF943" i="1" s="1"/>
  <c r="S945" i="1"/>
  <c r="AF945" i="1" s="1"/>
  <c r="S947" i="1"/>
  <c r="AF947" i="1" s="1"/>
  <c r="S949" i="1"/>
  <c r="AF949" i="1" s="1"/>
  <c r="S951" i="1"/>
  <c r="AF951" i="1" s="1"/>
  <c r="S953" i="1"/>
  <c r="AF953" i="1" s="1"/>
  <c r="S955" i="1"/>
  <c r="AF955" i="1" s="1"/>
  <c r="S957" i="1"/>
  <c r="AF957" i="1" s="1"/>
  <c r="S959" i="1"/>
  <c r="AF959" i="1" s="1"/>
  <c r="S961" i="1"/>
  <c r="AF961" i="1" s="1"/>
  <c r="S963" i="1"/>
  <c r="AF963" i="1" s="1"/>
  <c r="S965" i="1"/>
  <c r="AF965" i="1" s="1"/>
  <c r="S967" i="1"/>
  <c r="AF967" i="1" s="1"/>
  <c r="S969" i="1"/>
  <c r="AF969" i="1" s="1"/>
  <c r="S971" i="1"/>
  <c r="AF971" i="1" s="1"/>
  <c r="S973" i="1"/>
  <c r="AF973" i="1" s="1"/>
  <c r="S975" i="1"/>
  <c r="AF975" i="1" s="1"/>
  <c r="S977" i="1"/>
  <c r="AF977" i="1" s="1"/>
  <c r="V776" i="1"/>
  <c r="AI776" i="1" s="1"/>
  <c r="X784" i="1"/>
  <c r="AK784" i="1" s="1"/>
  <c r="T792" i="1"/>
  <c r="AG792" i="1" s="1"/>
  <c r="T804" i="1"/>
  <c r="AG804" i="1" s="1"/>
  <c r="T820" i="1"/>
  <c r="AG820" i="1" s="1"/>
  <c r="T836" i="1"/>
  <c r="AG836" i="1" s="1"/>
  <c r="R843" i="1"/>
  <c r="AE843" i="1" s="1"/>
  <c r="X844" i="1"/>
  <c r="AK844" i="1" s="1"/>
  <c r="R850" i="1"/>
  <c r="AE850" i="1" s="1"/>
  <c r="P851" i="1"/>
  <c r="AC851" i="1" s="1"/>
  <c r="T852" i="1"/>
  <c r="AG852" i="1" s="1"/>
  <c r="R853" i="1"/>
  <c r="AE853" i="1" s="1"/>
  <c r="V854" i="1"/>
  <c r="AI854" i="1" s="1"/>
  <c r="Z855" i="1"/>
  <c r="AM855" i="1" s="1"/>
  <c r="X856" i="1"/>
  <c r="AK856" i="1" s="1"/>
  <c r="Z858" i="1"/>
  <c r="AM858" i="1" s="1"/>
  <c r="Q866" i="1"/>
  <c r="AD866" i="1" s="1"/>
  <c r="X869" i="1"/>
  <c r="AK869" i="1" s="1"/>
  <c r="R870" i="1"/>
  <c r="AE870" i="1" s="1"/>
  <c r="X872" i="1"/>
  <c r="AK872" i="1" s="1"/>
  <c r="R873" i="1"/>
  <c r="AE873" i="1" s="1"/>
  <c r="Z875" i="1"/>
  <c r="AM875" i="1" s="1"/>
  <c r="T876" i="1"/>
  <c r="AG876" i="1" s="1"/>
  <c r="X878" i="1"/>
  <c r="AK878" i="1" s="1"/>
  <c r="Q879" i="1"/>
  <c r="AD879" i="1" s="1"/>
  <c r="T881" i="1"/>
  <c r="AG881" i="1" s="1"/>
  <c r="T883" i="1"/>
  <c r="AG883" i="1" s="1"/>
  <c r="T885" i="1"/>
  <c r="AG885" i="1" s="1"/>
  <c r="T887" i="1"/>
  <c r="AG887" i="1" s="1"/>
  <c r="T889" i="1"/>
  <c r="AG889" i="1" s="1"/>
  <c r="T891" i="1"/>
  <c r="AG891" i="1" s="1"/>
  <c r="T893" i="1"/>
  <c r="AG893" i="1" s="1"/>
  <c r="T895" i="1"/>
  <c r="AG895" i="1" s="1"/>
  <c r="T897" i="1"/>
  <c r="AG897" i="1" s="1"/>
  <c r="T899" i="1"/>
  <c r="AG899" i="1" s="1"/>
  <c r="T901" i="1"/>
  <c r="AG901" i="1" s="1"/>
  <c r="T903" i="1"/>
  <c r="AG903" i="1" s="1"/>
  <c r="T905" i="1"/>
  <c r="AG905" i="1" s="1"/>
  <c r="T907" i="1"/>
  <c r="AG907" i="1" s="1"/>
  <c r="T909" i="1"/>
  <c r="AG909" i="1" s="1"/>
  <c r="T911" i="1"/>
  <c r="AG911" i="1" s="1"/>
  <c r="T913" i="1"/>
  <c r="AG913" i="1" s="1"/>
  <c r="T915" i="1"/>
  <c r="AG915" i="1" s="1"/>
  <c r="T917" i="1"/>
  <c r="AG917" i="1" s="1"/>
  <c r="T919" i="1"/>
  <c r="AG919" i="1" s="1"/>
  <c r="T921" i="1"/>
  <c r="AG921" i="1" s="1"/>
  <c r="T923" i="1"/>
  <c r="AG923" i="1" s="1"/>
  <c r="V734" i="1"/>
  <c r="AI734" i="1" s="1"/>
  <c r="T785" i="1"/>
  <c r="AG785" i="1" s="1"/>
  <c r="P793" i="1"/>
  <c r="AC793" i="1" s="1"/>
  <c r="Z799" i="1"/>
  <c r="AM799" i="1" s="1"/>
  <c r="S810" i="1"/>
  <c r="AF810" i="1" s="1"/>
  <c r="S826" i="1"/>
  <c r="AF826" i="1" s="1"/>
  <c r="S843" i="1"/>
  <c r="AF843" i="1" s="1"/>
  <c r="Z844" i="1"/>
  <c r="AM844" i="1" s="1"/>
  <c r="O849" i="1"/>
  <c r="AB849" i="1" s="1"/>
  <c r="S850" i="1"/>
  <c r="AF850" i="1" s="1"/>
  <c r="Q851" i="1"/>
  <c r="AD851" i="1" s="1"/>
  <c r="U852" i="1"/>
  <c r="AH852" i="1" s="1"/>
  <c r="S853" i="1"/>
  <c r="AF853" i="1" s="1"/>
  <c r="W854" i="1"/>
  <c r="AJ854" i="1" s="1"/>
  <c r="Y856" i="1"/>
  <c r="AL856" i="1" s="1"/>
  <c r="O865" i="1"/>
  <c r="AB865" i="1" s="1"/>
  <c r="R866" i="1"/>
  <c r="AE866" i="1" s="1"/>
  <c r="O867" i="1"/>
  <c r="AB867" i="1" s="1"/>
  <c r="Y869" i="1"/>
  <c r="AL869" i="1" s="1"/>
  <c r="S870" i="1"/>
  <c r="AF870" i="1" s="1"/>
  <c r="Y872" i="1"/>
  <c r="AL872" i="1" s="1"/>
  <c r="S873" i="1"/>
  <c r="AF873" i="1" s="1"/>
  <c r="O874" i="1"/>
  <c r="AB874" i="1" s="1"/>
  <c r="U876" i="1"/>
  <c r="AH876" i="1" s="1"/>
  <c r="O877" i="1"/>
  <c r="AB877" i="1" s="1"/>
  <c r="Y878" i="1"/>
  <c r="AL878" i="1" s="1"/>
  <c r="R879" i="1"/>
  <c r="AE879" i="1" s="1"/>
  <c r="U881" i="1"/>
  <c r="AH881" i="1" s="1"/>
  <c r="U883" i="1"/>
  <c r="AH883" i="1" s="1"/>
  <c r="U885" i="1"/>
  <c r="AH885" i="1" s="1"/>
  <c r="U887" i="1"/>
  <c r="AH887" i="1" s="1"/>
  <c r="U889" i="1"/>
  <c r="AH889" i="1" s="1"/>
  <c r="U891" i="1"/>
  <c r="AH891" i="1" s="1"/>
  <c r="U893" i="1"/>
  <c r="AH893" i="1" s="1"/>
  <c r="U895" i="1"/>
  <c r="AH895" i="1" s="1"/>
  <c r="U897" i="1"/>
  <c r="AH897" i="1" s="1"/>
  <c r="U899" i="1"/>
  <c r="AH899" i="1" s="1"/>
  <c r="U901" i="1"/>
  <c r="AH901" i="1" s="1"/>
  <c r="U903" i="1"/>
  <c r="AH903" i="1" s="1"/>
  <c r="U905" i="1"/>
  <c r="AH905" i="1" s="1"/>
  <c r="U907" i="1"/>
  <c r="AH907" i="1" s="1"/>
  <c r="U909" i="1"/>
  <c r="AH909" i="1" s="1"/>
  <c r="U911" i="1"/>
  <c r="AH911" i="1" s="1"/>
  <c r="U913" i="1"/>
  <c r="AH913" i="1" s="1"/>
  <c r="U915" i="1"/>
  <c r="AH915" i="1" s="1"/>
  <c r="U917" i="1"/>
  <c r="AH917" i="1" s="1"/>
  <c r="U919" i="1"/>
  <c r="AH919" i="1" s="1"/>
  <c r="U921" i="1"/>
  <c r="AH921" i="1" s="1"/>
  <c r="U923" i="1"/>
  <c r="AH923" i="1" s="1"/>
  <c r="W734" i="1"/>
  <c r="AJ734" i="1" s="1"/>
  <c r="U785" i="1"/>
  <c r="AH785" i="1" s="1"/>
  <c r="Q793" i="1"/>
  <c r="AD793" i="1" s="1"/>
  <c r="T810" i="1"/>
  <c r="AG810" i="1" s="1"/>
  <c r="T826" i="1"/>
  <c r="AG826" i="1" s="1"/>
  <c r="Z843" i="1"/>
  <c r="AM843" i="1" s="1"/>
  <c r="R848" i="1"/>
  <c r="AE848" i="1" s="1"/>
  <c r="P849" i="1"/>
  <c r="AC849" i="1" s="1"/>
  <c r="T850" i="1"/>
  <c r="AG850" i="1" s="1"/>
  <c r="R851" i="1"/>
  <c r="AE851" i="1" s="1"/>
  <c r="V852" i="1"/>
  <c r="AI852" i="1" s="1"/>
  <c r="Z853" i="1"/>
  <c r="AM853" i="1" s="1"/>
  <c r="X854" i="1"/>
  <c r="AK854" i="1" s="1"/>
  <c r="Z856" i="1"/>
  <c r="AM856" i="1" s="1"/>
  <c r="R864" i="1"/>
  <c r="AE864" i="1" s="1"/>
  <c r="P865" i="1"/>
  <c r="AC865" i="1" s="1"/>
  <c r="S866" i="1"/>
  <c r="AF866" i="1" s="1"/>
  <c r="P867" i="1"/>
  <c r="AC867" i="1" s="1"/>
  <c r="Z869" i="1"/>
  <c r="AM869" i="1" s="1"/>
  <c r="T870" i="1"/>
  <c r="AG870" i="1" s="1"/>
  <c r="Z872" i="1"/>
  <c r="AM872" i="1" s="1"/>
  <c r="U873" i="1"/>
  <c r="AH873" i="1" s="1"/>
  <c r="P874" i="1"/>
  <c r="AC874" i="1" s="1"/>
  <c r="V876" i="1"/>
  <c r="AI876" i="1" s="1"/>
  <c r="P877" i="1"/>
  <c r="AC877" i="1" s="1"/>
  <c r="Z878" i="1"/>
  <c r="AM878" i="1" s="1"/>
  <c r="S879" i="1"/>
  <c r="AF879" i="1" s="1"/>
  <c r="V881" i="1"/>
  <c r="AI881" i="1" s="1"/>
  <c r="V883" i="1"/>
  <c r="AI883" i="1" s="1"/>
  <c r="V885" i="1"/>
  <c r="AI885" i="1" s="1"/>
  <c r="V887" i="1"/>
  <c r="AI887" i="1" s="1"/>
  <c r="V889" i="1"/>
  <c r="AI889" i="1" s="1"/>
  <c r="V891" i="1"/>
  <c r="AI891" i="1" s="1"/>
  <c r="V893" i="1"/>
  <c r="AI893" i="1" s="1"/>
  <c r="V895" i="1"/>
  <c r="AI895" i="1" s="1"/>
  <c r="V897" i="1"/>
  <c r="AI897" i="1" s="1"/>
  <c r="V899" i="1"/>
  <c r="AI899" i="1" s="1"/>
  <c r="V901" i="1"/>
  <c r="AI901" i="1" s="1"/>
  <c r="V903" i="1"/>
  <c r="AI903" i="1" s="1"/>
  <c r="V905" i="1"/>
  <c r="AI905" i="1" s="1"/>
  <c r="V907" i="1"/>
  <c r="AI907" i="1" s="1"/>
  <c r="V909" i="1"/>
  <c r="AI909" i="1" s="1"/>
  <c r="V911" i="1"/>
  <c r="AI911" i="1" s="1"/>
  <c r="V913" i="1"/>
  <c r="AI913" i="1" s="1"/>
  <c r="V915" i="1"/>
  <c r="AI915" i="1" s="1"/>
  <c r="V917" i="1"/>
  <c r="AI917" i="1" s="1"/>
  <c r="V919" i="1"/>
  <c r="AI919" i="1" s="1"/>
  <c r="V921" i="1"/>
  <c r="AI921" i="1" s="1"/>
  <c r="V923" i="1"/>
  <c r="AI923" i="1" s="1"/>
  <c r="Z778" i="1"/>
  <c r="AM778" i="1" s="1"/>
  <c r="V786" i="1"/>
  <c r="AI786" i="1" s="1"/>
  <c r="S800" i="1"/>
  <c r="AF800" i="1" s="1"/>
  <c r="S816" i="1"/>
  <c r="AF816" i="1" s="1"/>
  <c r="S832" i="1"/>
  <c r="AF832" i="1" s="1"/>
  <c r="O847" i="1"/>
  <c r="AB847" i="1" s="1"/>
  <c r="S848" i="1"/>
  <c r="AF848" i="1" s="1"/>
  <c r="Q849" i="1"/>
  <c r="AD849" i="1" s="1"/>
  <c r="U850" i="1"/>
  <c r="AH850" i="1" s="1"/>
  <c r="S851" i="1"/>
  <c r="AF851" i="1" s="1"/>
  <c r="W852" i="1"/>
  <c r="AJ852" i="1" s="1"/>
  <c r="Y854" i="1"/>
  <c r="AL854" i="1" s="1"/>
  <c r="O863" i="1"/>
  <c r="AB863" i="1" s="1"/>
  <c r="S864" i="1"/>
  <c r="AF864" i="1" s="1"/>
  <c r="Q865" i="1"/>
  <c r="AD865" i="1" s="1"/>
  <c r="T866" i="1"/>
  <c r="AG866" i="1" s="1"/>
  <c r="Q867" i="1"/>
  <c r="AD867" i="1" s="1"/>
  <c r="O868" i="1"/>
  <c r="AB868" i="1" s="1"/>
  <c r="U870" i="1"/>
  <c r="AH870" i="1" s="1"/>
  <c r="O871" i="1"/>
  <c r="AB871" i="1" s="1"/>
  <c r="W873" i="1"/>
  <c r="AJ873" i="1" s="1"/>
  <c r="Q874" i="1"/>
  <c r="AD874" i="1" s="1"/>
  <c r="W876" i="1"/>
  <c r="AJ876" i="1" s="1"/>
  <c r="Q877" i="1"/>
  <c r="AD877" i="1" s="1"/>
  <c r="U879" i="1"/>
  <c r="AH879" i="1" s="1"/>
  <c r="W881" i="1"/>
  <c r="AJ881" i="1" s="1"/>
  <c r="O882" i="1"/>
  <c r="AB882" i="1" s="1"/>
  <c r="W883" i="1"/>
  <c r="AJ883" i="1" s="1"/>
  <c r="O884" i="1"/>
  <c r="AB884" i="1" s="1"/>
  <c r="W885" i="1"/>
  <c r="AJ885" i="1" s="1"/>
  <c r="O886" i="1"/>
  <c r="AB886" i="1" s="1"/>
  <c r="W887" i="1"/>
  <c r="AJ887" i="1" s="1"/>
  <c r="O888" i="1"/>
  <c r="AB888" i="1" s="1"/>
  <c r="W889" i="1"/>
  <c r="AJ889" i="1" s="1"/>
  <c r="O890" i="1"/>
  <c r="AB890" i="1" s="1"/>
  <c r="W891" i="1"/>
  <c r="AJ891" i="1" s="1"/>
  <c r="O892" i="1"/>
  <c r="AB892" i="1" s="1"/>
  <c r="W893" i="1"/>
  <c r="AJ893" i="1" s="1"/>
  <c r="O894" i="1"/>
  <c r="AB894" i="1" s="1"/>
  <c r="W895" i="1"/>
  <c r="AJ895" i="1" s="1"/>
  <c r="O896" i="1"/>
  <c r="AB896" i="1" s="1"/>
  <c r="W897" i="1"/>
  <c r="AJ897" i="1" s="1"/>
  <c r="O898" i="1"/>
  <c r="AB898" i="1" s="1"/>
  <c r="W899" i="1"/>
  <c r="AJ899" i="1" s="1"/>
  <c r="O900" i="1"/>
  <c r="AB900" i="1" s="1"/>
  <c r="W901" i="1"/>
  <c r="AJ901" i="1" s="1"/>
  <c r="O902" i="1"/>
  <c r="AB902" i="1" s="1"/>
  <c r="W903" i="1"/>
  <c r="AJ903" i="1" s="1"/>
  <c r="O904" i="1"/>
  <c r="AB904" i="1" s="1"/>
  <c r="W905" i="1"/>
  <c r="AJ905" i="1" s="1"/>
  <c r="O906" i="1"/>
  <c r="AB906" i="1" s="1"/>
  <c r="W907" i="1"/>
  <c r="AJ907" i="1" s="1"/>
  <c r="O908" i="1"/>
  <c r="AB908" i="1" s="1"/>
  <c r="W909" i="1"/>
  <c r="AJ909" i="1" s="1"/>
  <c r="O910" i="1"/>
  <c r="AB910" i="1" s="1"/>
  <c r="W911" i="1"/>
  <c r="AJ911" i="1" s="1"/>
  <c r="O912" i="1"/>
  <c r="AB912" i="1" s="1"/>
  <c r="W913" i="1"/>
  <c r="AJ913" i="1" s="1"/>
  <c r="O914" i="1"/>
  <c r="AB914" i="1" s="1"/>
  <c r="W915" i="1"/>
  <c r="AJ915" i="1" s="1"/>
  <c r="O916" i="1"/>
  <c r="AB916" i="1" s="1"/>
  <c r="W917" i="1"/>
  <c r="AJ917" i="1" s="1"/>
  <c r="O918" i="1"/>
  <c r="AB918" i="1" s="1"/>
  <c r="W919" i="1"/>
  <c r="AJ919" i="1" s="1"/>
  <c r="O920" i="1"/>
  <c r="AB920" i="1" s="1"/>
  <c r="W921" i="1"/>
  <c r="AJ921" i="1" s="1"/>
  <c r="O922" i="1"/>
  <c r="AB922" i="1" s="1"/>
  <c r="T738" i="1"/>
  <c r="AG738" i="1" s="1"/>
  <c r="W786" i="1"/>
  <c r="AJ786" i="1" s="1"/>
  <c r="T800" i="1"/>
  <c r="AG800" i="1" s="1"/>
  <c r="T816" i="1"/>
  <c r="AG816" i="1" s="1"/>
  <c r="T832" i="1"/>
  <c r="AG832" i="1" s="1"/>
  <c r="R842" i="1"/>
  <c r="AE842" i="1" s="1"/>
  <c r="P847" i="1"/>
  <c r="AC847" i="1" s="1"/>
  <c r="T848" i="1"/>
  <c r="AG848" i="1" s="1"/>
  <c r="R849" i="1"/>
  <c r="AE849" i="1" s="1"/>
  <c r="V850" i="1"/>
  <c r="AI850" i="1" s="1"/>
  <c r="Z851" i="1"/>
  <c r="AM851" i="1" s="1"/>
  <c r="X852" i="1"/>
  <c r="AK852" i="1" s="1"/>
  <c r="Z854" i="1"/>
  <c r="AM854" i="1" s="1"/>
  <c r="R862" i="1"/>
  <c r="AE862" i="1" s="1"/>
  <c r="P863" i="1"/>
  <c r="AC863" i="1" s="1"/>
  <c r="T864" i="1"/>
  <c r="AG864" i="1" s="1"/>
  <c r="R865" i="1"/>
  <c r="AE865" i="1" s="1"/>
  <c r="U866" i="1"/>
  <c r="AH866" i="1" s="1"/>
  <c r="R867" i="1"/>
  <c r="AE867" i="1" s="1"/>
  <c r="P868" i="1"/>
  <c r="AC868" i="1" s="1"/>
  <c r="V870" i="1"/>
  <c r="AI870" i="1" s="1"/>
  <c r="P871" i="1"/>
  <c r="AC871" i="1" s="1"/>
  <c r="X873" i="1"/>
  <c r="AK873" i="1" s="1"/>
  <c r="R874" i="1"/>
  <c r="AE874" i="1" s="1"/>
  <c r="X876" i="1"/>
  <c r="AK876" i="1" s="1"/>
  <c r="R877" i="1"/>
  <c r="AE877" i="1" s="1"/>
  <c r="V879" i="1"/>
  <c r="AI879" i="1" s="1"/>
  <c r="O880" i="1"/>
  <c r="AB880" i="1" s="1"/>
  <c r="X881" i="1"/>
  <c r="AK881" i="1" s="1"/>
  <c r="P882" i="1"/>
  <c r="AC882" i="1" s="1"/>
  <c r="X883" i="1"/>
  <c r="AK883" i="1" s="1"/>
  <c r="P884" i="1"/>
  <c r="AC884" i="1" s="1"/>
  <c r="X885" i="1"/>
  <c r="AK885" i="1" s="1"/>
  <c r="P886" i="1"/>
  <c r="AC886" i="1" s="1"/>
  <c r="X887" i="1"/>
  <c r="AK887" i="1" s="1"/>
  <c r="P888" i="1"/>
  <c r="AC888" i="1" s="1"/>
  <c r="X889" i="1"/>
  <c r="AK889" i="1" s="1"/>
  <c r="P890" i="1"/>
  <c r="AC890" i="1" s="1"/>
  <c r="X891" i="1"/>
  <c r="AK891" i="1" s="1"/>
  <c r="P892" i="1"/>
  <c r="AC892" i="1" s="1"/>
  <c r="X893" i="1"/>
  <c r="AK893" i="1" s="1"/>
  <c r="P894" i="1"/>
  <c r="AC894" i="1" s="1"/>
  <c r="X895" i="1"/>
  <c r="AK895" i="1" s="1"/>
  <c r="P896" i="1"/>
  <c r="AC896" i="1" s="1"/>
  <c r="X897" i="1"/>
  <c r="AK897" i="1" s="1"/>
  <c r="P898" i="1"/>
  <c r="AC898" i="1" s="1"/>
  <c r="X899" i="1"/>
  <c r="AK899" i="1" s="1"/>
  <c r="P900" i="1"/>
  <c r="AC900" i="1" s="1"/>
  <c r="X901" i="1"/>
  <c r="AK901" i="1" s="1"/>
  <c r="P902" i="1"/>
  <c r="AC902" i="1" s="1"/>
  <c r="X903" i="1"/>
  <c r="AK903" i="1" s="1"/>
  <c r="P904" i="1"/>
  <c r="AC904" i="1" s="1"/>
  <c r="X905" i="1"/>
  <c r="AK905" i="1" s="1"/>
  <c r="P906" i="1"/>
  <c r="AC906" i="1" s="1"/>
  <c r="X907" i="1"/>
  <c r="AK907" i="1" s="1"/>
  <c r="P908" i="1"/>
  <c r="AC908" i="1" s="1"/>
  <c r="X909" i="1"/>
  <c r="AK909" i="1" s="1"/>
  <c r="P910" i="1"/>
  <c r="AC910" i="1" s="1"/>
  <c r="X911" i="1"/>
  <c r="AK911" i="1" s="1"/>
  <c r="P912" i="1"/>
  <c r="AC912" i="1" s="1"/>
  <c r="X913" i="1"/>
  <c r="AK913" i="1" s="1"/>
  <c r="P914" i="1"/>
  <c r="AC914" i="1" s="1"/>
  <c r="X915" i="1"/>
  <c r="AK915" i="1" s="1"/>
  <c r="P916" i="1"/>
  <c r="AC916" i="1" s="1"/>
  <c r="X917" i="1"/>
  <c r="AK917" i="1" s="1"/>
  <c r="P918" i="1"/>
  <c r="AC918" i="1" s="1"/>
  <c r="X919" i="1"/>
  <c r="AK919" i="1" s="1"/>
  <c r="P920" i="1"/>
  <c r="AC920" i="1" s="1"/>
  <c r="X921" i="1"/>
  <c r="AK921" i="1" s="1"/>
  <c r="P922" i="1"/>
  <c r="AC922" i="1" s="1"/>
  <c r="X923" i="1"/>
  <c r="AK923" i="1" s="1"/>
  <c r="P924" i="1"/>
  <c r="AC924" i="1" s="1"/>
  <c r="X925" i="1"/>
  <c r="AK925" i="1" s="1"/>
  <c r="P926" i="1"/>
  <c r="AC926" i="1" s="1"/>
  <c r="X927" i="1"/>
  <c r="AK927" i="1" s="1"/>
  <c r="P928" i="1"/>
  <c r="AC928" i="1" s="1"/>
  <c r="V768" i="1"/>
  <c r="AI768" i="1" s="1"/>
  <c r="S787" i="1"/>
  <c r="AF787" i="1" s="1"/>
  <c r="S806" i="1"/>
  <c r="AF806" i="1" s="1"/>
  <c r="S822" i="1"/>
  <c r="AF822" i="1" s="1"/>
  <c r="S838" i="1"/>
  <c r="AF838" i="1" s="1"/>
  <c r="S842" i="1"/>
  <c r="AF842" i="1" s="1"/>
  <c r="R846" i="1"/>
  <c r="AE846" i="1" s="1"/>
  <c r="Q847" i="1"/>
  <c r="AD847" i="1" s="1"/>
  <c r="U848" i="1"/>
  <c r="AH848" i="1" s="1"/>
  <c r="S849" i="1"/>
  <c r="AF849" i="1" s="1"/>
  <c r="W850" i="1"/>
  <c r="AJ850" i="1" s="1"/>
  <c r="Y852" i="1"/>
  <c r="AL852" i="1" s="1"/>
  <c r="O861" i="1"/>
  <c r="AB861" i="1" s="1"/>
  <c r="S862" i="1"/>
  <c r="AF862" i="1" s="1"/>
  <c r="Q863" i="1"/>
  <c r="AD863" i="1" s="1"/>
  <c r="U864" i="1"/>
  <c r="AH864" i="1" s="1"/>
  <c r="S865" i="1"/>
  <c r="AF865" i="1" s="1"/>
  <c r="V866" i="1"/>
  <c r="AI866" i="1" s="1"/>
  <c r="S867" i="1"/>
  <c r="AF867" i="1" s="1"/>
  <c r="Q868" i="1"/>
  <c r="AD868" i="1" s="1"/>
  <c r="W870" i="1"/>
  <c r="AJ870" i="1" s="1"/>
  <c r="Q871" i="1"/>
  <c r="AD871" i="1" s="1"/>
  <c r="Y873" i="1"/>
  <c r="AL873" i="1" s="1"/>
  <c r="S874" i="1"/>
  <c r="AF874" i="1" s="1"/>
  <c r="Y876" i="1"/>
  <c r="AL876" i="1" s="1"/>
  <c r="S877" i="1"/>
  <c r="AF877" i="1" s="1"/>
  <c r="W879" i="1"/>
  <c r="AJ879" i="1" s="1"/>
  <c r="P880" i="1"/>
  <c r="AC880" i="1" s="1"/>
  <c r="Y881" i="1"/>
  <c r="AL881" i="1" s="1"/>
  <c r="Q882" i="1"/>
  <c r="AD882" i="1" s="1"/>
  <c r="Y883" i="1"/>
  <c r="AL883" i="1" s="1"/>
  <c r="Q884" i="1"/>
  <c r="AD884" i="1" s="1"/>
  <c r="Y885" i="1"/>
  <c r="AL885" i="1" s="1"/>
  <c r="Q886" i="1"/>
  <c r="AD886" i="1" s="1"/>
  <c r="Y887" i="1"/>
  <c r="AL887" i="1" s="1"/>
  <c r="Q888" i="1"/>
  <c r="AD888" i="1" s="1"/>
  <c r="Y889" i="1"/>
  <c r="AL889" i="1" s="1"/>
  <c r="Q890" i="1"/>
  <c r="AD890" i="1" s="1"/>
  <c r="Y891" i="1"/>
  <c r="AL891" i="1" s="1"/>
  <c r="Q892" i="1"/>
  <c r="AD892" i="1" s="1"/>
  <c r="Y893" i="1"/>
  <c r="AL893" i="1" s="1"/>
  <c r="Q894" i="1"/>
  <c r="AD894" i="1" s="1"/>
  <c r="Y895" i="1"/>
  <c r="AL895" i="1" s="1"/>
  <c r="Q896" i="1"/>
  <c r="AD896" i="1" s="1"/>
  <c r="Y897" i="1"/>
  <c r="AL897" i="1" s="1"/>
  <c r="Q898" i="1"/>
  <c r="AD898" i="1" s="1"/>
  <c r="Y899" i="1"/>
  <c r="AL899" i="1" s="1"/>
  <c r="Q900" i="1"/>
  <c r="AD900" i="1" s="1"/>
  <c r="Y901" i="1"/>
  <c r="AL901" i="1" s="1"/>
  <c r="Q902" i="1"/>
  <c r="AD902" i="1" s="1"/>
  <c r="Y903" i="1"/>
  <c r="AL903" i="1" s="1"/>
  <c r="Q904" i="1"/>
  <c r="AD904" i="1" s="1"/>
  <c r="Y905" i="1"/>
  <c r="AL905" i="1" s="1"/>
  <c r="Q906" i="1"/>
  <c r="AD906" i="1" s="1"/>
  <c r="Y907" i="1"/>
  <c r="AL907" i="1" s="1"/>
  <c r="Q908" i="1"/>
  <c r="AD908" i="1" s="1"/>
  <c r="Y909" i="1"/>
  <c r="AL909" i="1" s="1"/>
  <c r="Q910" i="1"/>
  <c r="AD910" i="1" s="1"/>
  <c r="Y911" i="1"/>
  <c r="AL911" i="1" s="1"/>
  <c r="Q912" i="1"/>
  <c r="AD912" i="1" s="1"/>
  <c r="Y913" i="1"/>
  <c r="AL913" i="1" s="1"/>
  <c r="Q914" i="1"/>
  <c r="AD914" i="1" s="1"/>
  <c r="Y915" i="1"/>
  <c r="AL915" i="1" s="1"/>
  <c r="Q916" i="1"/>
  <c r="AD916" i="1" s="1"/>
  <c r="Y917" i="1"/>
  <c r="AL917" i="1" s="1"/>
  <c r="Q918" i="1"/>
  <c r="AD918" i="1" s="1"/>
  <c r="Y919" i="1"/>
  <c r="AL919" i="1" s="1"/>
  <c r="Q920" i="1"/>
  <c r="AD920" i="1" s="1"/>
  <c r="Y921" i="1"/>
  <c r="AL921" i="1" s="1"/>
  <c r="Q922" i="1"/>
  <c r="AD922" i="1" s="1"/>
  <c r="Y923" i="1"/>
  <c r="AL923" i="1" s="1"/>
  <c r="Q924" i="1"/>
  <c r="AD924" i="1" s="1"/>
  <c r="W768" i="1"/>
  <c r="AJ768" i="1" s="1"/>
  <c r="T787" i="1"/>
  <c r="AG787" i="1" s="1"/>
  <c r="T806" i="1"/>
  <c r="AG806" i="1" s="1"/>
  <c r="T822" i="1"/>
  <c r="AG822" i="1" s="1"/>
  <c r="T838" i="1"/>
  <c r="AG838" i="1" s="1"/>
  <c r="T842" i="1"/>
  <c r="AG842" i="1" s="1"/>
  <c r="S846" i="1"/>
  <c r="AF846" i="1" s="1"/>
  <c r="R847" i="1"/>
  <c r="AE847" i="1" s="1"/>
  <c r="V848" i="1"/>
  <c r="AI848" i="1" s="1"/>
  <c r="Z849" i="1"/>
  <c r="AM849" i="1" s="1"/>
  <c r="X850" i="1"/>
  <c r="AK850" i="1" s="1"/>
  <c r="Z852" i="1"/>
  <c r="AM852" i="1" s="1"/>
  <c r="R860" i="1"/>
  <c r="AE860" i="1" s="1"/>
  <c r="P861" i="1"/>
  <c r="AC861" i="1" s="1"/>
  <c r="T862" i="1"/>
  <c r="AG862" i="1" s="1"/>
  <c r="R863" i="1"/>
  <c r="AE863" i="1" s="1"/>
  <c r="V864" i="1"/>
  <c r="AI864" i="1" s="1"/>
  <c r="Z865" i="1"/>
  <c r="AM865" i="1" s="1"/>
  <c r="W866" i="1"/>
  <c r="AJ866" i="1" s="1"/>
  <c r="W867" i="1"/>
  <c r="AJ867" i="1" s="1"/>
  <c r="R868" i="1"/>
  <c r="AE868" i="1" s="1"/>
  <c r="X870" i="1"/>
  <c r="AK870" i="1" s="1"/>
  <c r="R871" i="1"/>
  <c r="AE871" i="1" s="1"/>
  <c r="Z873" i="1"/>
  <c r="AM873" i="1" s="1"/>
  <c r="T874" i="1"/>
  <c r="AG874" i="1" s="1"/>
  <c r="Z876" i="1"/>
  <c r="AM876" i="1" s="1"/>
  <c r="U877" i="1"/>
  <c r="AH877" i="1" s="1"/>
  <c r="X879" i="1"/>
  <c r="AK879" i="1" s="1"/>
  <c r="Q880" i="1"/>
  <c r="AD880" i="1" s="1"/>
  <c r="Z881" i="1"/>
  <c r="AM881" i="1" s="1"/>
  <c r="R882" i="1"/>
  <c r="AE882" i="1" s="1"/>
  <c r="Z883" i="1"/>
  <c r="AM883" i="1" s="1"/>
  <c r="R884" i="1"/>
  <c r="AE884" i="1" s="1"/>
  <c r="Z885" i="1"/>
  <c r="AM885" i="1" s="1"/>
  <c r="R886" i="1"/>
  <c r="AE886" i="1" s="1"/>
  <c r="Z887" i="1"/>
  <c r="AM887" i="1" s="1"/>
  <c r="R888" i="1"/>
  <c r="AE888" i="1" s="1"/>
  <c r="Z889" i="1"/>
  <c r="AM889" i="1" s="1"/>
  <c r="R890" i="1"/>
  <c r="AE890" i="1" s="1"/>
  <c r="Z891" i="1"/>
  <c r="AM891" i="1" s="1"/>
  <c r="R892" i="1"/>
  <c r="AE892" i="1" s="1"/>
  <c r="Z893" i="1"/>
  <c r="AM893" i="1" s="1"/>
  <c r="R894" i="1"/>
  <c r="AE894" i="1" s="1"/>
  <c r="Z895" i="1"/>
  <c r="AM895" i="1" s="1"/>
  <c r="R896" i="1"/>
  <c r="AE896" i="1" s="1"/>
  <c r="Z897" i="1"/>
  <c r="AM897" i="1" s="1"/>
  <c r="R898" i="1"/>
  <c r="AE898" i="1" s="1"/>
  <c r="Z899" i="1"/>
  <c r="AM899" i="1" s="1"/>
  <c r="R900" i="1"/>
  <c r="AE900" i="1" s="1"/>
  <c r="Z901" i="1"/>
  <c r="AM901" i="1" s="1"/>
  <c r="R902" i="1"/>
  <c r="AE902" i="1" s="1"/>
  <c r="Z903" i="1"/>
  <c r="AM903" i="1" s="1"/>
  <c r="R904" i="1"/>
  <c r="AE904" i="1" s="1"/>
  <c r="Z905" i="1"/>
  <c r="AM905" i="1" s="1"/>
  <c r="R906" i="1"/>
  <c r="AE906" i="1" s="1"/>
  <c r="Z907" i="1"/>
  <c r="AM907" i="1" s="1"/>
  <c r="R908" i="1"/>
  <c r="AE908" i="1" s="1"/>
  <c r="Z909" i="1"/>
  <c r="AM909" i="1" s="1"/>
  <c r="R910" i="1"/>
  <c r="AE910" i="1" s="1"/>
  <c r="Z911" i="1"/>
  <c r="AM911" i="1" s="1"/>
  <c r="R912" i="1"/>
  <c r="AE912" i="1" s="1"/>
  <c r="Z913" i="1"/>
  <c r="AM913" i="1" s="1"/>
  <c r="R914" i="1"/>
  <c r="AE914" i="1" s="1"/>
  <c r="Z915" i="1"/>
  <c r="AM915" i="1" s="1"/>
  <c r="R916" i="1"/>
  <c r="AE916" i="1" s="1"/>
  <c r="Z917" i="1"/>
  <c r="AM917" i="1" s="1"/>
  <c r="R918" i="1"/>
  <c r="AE918" i="1" s="1"/>
  <c r="Z919" i="1"/>
  <c r="AM919" i="1" s="1"/>
  <c r="R920" i="1"/>
  <c r="AE920" i="1" s="1"/>
  <c r="Z921" i="1"/>
  <c r="AM921" i="1" s="1"/>
  <c r="R922" i="1"/>
  <c r="AE922" i="1" s="1"/>
  <c r="Z923" i="1"/>
  <c r="AM923" i="1" s="1"/>
  <c r="R924" i="1"/>
  <c r="AE924" i="1" s="1"/>
  <c r="Z925" i="1"/>
  <c r="AM925" i="1" s="1"/>
  <c r="R926" i="1"/>
  <c r="AE926" i="1" s="1"/>
  <c r="Z927" i="1"/>
  <c r="AM927" i="1" s="1"/>
  <c r="R928" i="1"/>
  <c r="AE928" i="1" s="1"/>
  <c r="Z929" i="1"/>
  <c r="AM929" i="1" s="1"/>
  <c r="R930" i="1"/>
  <c r="AE930" i="1" s="1"/>
  <c r="Z931" i="1"/>
  <c r="AM931" i="1" s="1"/>
  <c r="R932" i="1"/>
  <c r="AE932" i="1" s="1"/>
  <c r="Z933" i="1"/>
  <c r="AM933" i="1" s="1"/>
  <c r="R934" i="1"/>
  <c r="AE934" i="1" s="1"/>
  <c r="Z935" i="1"/>
  <c r="AM935" i="1" s="1"/>
  <c r="R936" i="1"/>
  <c r="AE936" i="1" s="1"/>
  <c r="Z937" i="1"/>
  <c r="AM937" i="1" s="1"/>
  <c r="R938" i="1"/>
  <c r="AE938" i="1" s="1"/>
  <c r="Z939" i="1"/>
  <c r="AM939" i="1" s="1"/>
  <c r="R940" i="1"/>
  <c r="AE940" i="1" s="1"/>
  <c r="Z941" i="1"/>
  <c r="AM941" i="1" s="1"/>
  <c r="R942" i="1"/>
  <c r="AE942" i="1" s="1"/>
  <c r="Z943" i="1"/>
  <c r="AM943" i="1" s="1"/>
  <c r="R944" i="1"/>
  <c r="AE944" i="1" s="1"/>
  <c r="Z945" i="1"/>
  <c r="AM945" i="1" s="1"/>
  <c r="R946" i="1"/>
  <c r="AE946" i="1" s="1"/>
  <c r="Z947" i="1"/>
  <c r="AM947" i="1" s="1"/>
  <c r="R948" i="1"/>
  <c r="AE948" i="1" s="1"/>
  <c r="Z949" i="1"/>
  <c r="AM949" i="1" s="1"/>
  <c r="R950" i="1"/>
  <c r="AE950" i="1" s="1"/>
  <c r="Z951" i="1"/>
  <c r="AM951" i="1" s="1"/>
  <c r="R952" i="1"/>
  <c r="AE952" i="1" s="1"/>
  <c r="Z953" i="1"/>
  <c r="AM953" i="1" s="1"/>
  <c r="Z715" i="1"/>
  <c r="AM715" i="1" s="1"/>
  <c r="Y780" i="1"/>
  <c r="AL780" i="1" s="1"/>
  <c r="U788" i="1"/>
  <c r="AH788" i="1" s="1"/>
  <c r="S812" i="1"/>
  <c r="AF812" i="1" s="1"/>
  <c r="S828" i="1"/>
  <c r="AF828" i="1" s="1"/>
  <c r="W842" i="1"/>
  <c r="AJ842" i="1" s="1"/>
  <c r="T846" i="1"/>
  <c r="AG846" i="1" s="1"/>
  <c r="S847" i="1"/>
  <c r="AF847" i="1" s="1"/>
  <c r="W848" i="1"/>
  <c r="AJ848" i="1" s="1"/>
  <c r="Y850" i="1"/>
  <c r="AL850" i="1" s="1"/>
  <c r="O859" i="1"/>
  <c r="AB859" i="1" s="1"/>
  <c r="S860" i="1"/>
  <c r="AF860" i="1" s="1"/>
  <c r="Q861" i="1"/>
  <c r="AD861" i="1" s="1"/>
  <c r="U862" i="1"/>
  <c r="AH862" i="1" s="1"/>
  <c r="S863" i="1"/>
  <c r="AF863" i="1" s="1"/>
  <c r="W864" i="1"/>
  <c r="AJ864" i="1" s="1"/>
  <c r="X866" i="1"/>
  <c r="AK866" i="1" s="1"/>
  <c r="X867" i="1"/>
  <c r="AK867" i="1" s="1"/>
  <c r="S868" i="1"/>
  <c r="AF868" i="1" s="1"/>
  <c r="Y870" i="1"/>
  <c r="AL870" i="1" s="1"/>
  <c r="S871" i="1"/>
  <c r="AF871" i="1" s="1"/>
  <c r="O872" i="1"/>
  <c r="AB872" i="1" s="1"/>
  <c r="U874" i="1"/>
  <c r="AH874" i="1" s="1"/>
  <c r="O875" i="1"/>
  <c r="AB875" i="1" s="1"/>
  <c r="V877" i="1"/>
  <c r="AI877" i="1" s="1"/>
  <c r="O878" i="1"/>
  <c r="AB878" i="1" s="1"/>
  <c r="Y879" i="1"/>
  <c r="AL879" i="1" s="1"/>
  <c r="R880" i="1"/>
  <c r="AE880" i="1" s="1"/>
  <c r="S882" i="1"/>
  <c r="AF882" i="1" s="1"/>
  <c r="S884" i="1"/>
  <c r="AF884" i="1" s="1"/>
  <c r="S886" i="1"/>
  <c r="AF886" i="1" s="1"/>
  <c r="S888" i="1"/>
  <c r="AF888" i="1" s="1"/>
  <c r="S890" i="1"/>
  <c r="AF890" i="1" s="1"/>
  <c r="S892" i="1"/>
  <c r="AF892" i="1" s="1"/>
  <c r="S894" i="1"/>
  <c r="AF894" i="1" s="1"/>
  <c r="S896" i="1"/>
  <c r="AF896" i="1" s="1"/>
  <c r="S898" i="1"/>
  <c r="AF898" i="1" s="1"/>
  <c r="S900" i="1"/>
  <c r="AF900" i="1" s="1"/>
  <c r="S902" i="1"/>
  <c r="AF902" i="1" s="1"/>
  <c r="S904" i="1"/>
  <c r="AF904" i="1" s="1"/>
  <c r="S906" i="1"/>
  <c r="AF906" i="1" s="1"/>
  <c r="S908" i="1"/>
  <c r="AF908" i="1" s="1"/>
  <c r="S910" i="1"/>
  <c r="AF910" i="1" s="1"/>
  <c r="S912" i="1"/>
  <c r="AF912" i="1" s="1"/>
  <c r="S914" i="1"/>
  <c r="AF914" i="1" s="1"/>
  <c r="S916" i="1"/>
  <c r="AF916" i="1" s="1"/>
  <c r="S918" i="1"/>
  <c r="AF918" i="1" s="1"/>
  <c r="S920" i="1"/>
  <c r="AF920" i="1" s="1"/>
  <c r="S922" i="1"/>
  <c r="AF922" i="1" s="1"/>
  <c r="S924" i="1"/>
  <c r="AF924" i="1" s="1"/>
  <c r="S926" i="1"/>
  <c r="AF926" i="1" s="1"/>
  <c r="S928" i="1"/>
  <c r="AF928" i="1" s="1"/>
  <c r="S930" i="1"/>
  <c r="AF930" i="1" s="1"/>
  <c r="S932" i="1"/>
  <c r="AF932" i="1" s="1"/>
  <c r="S934" i="1"/>
  <c r="AF934" i="1" s="1"/>
  <c r="S936" i="1"/>
  <c r="AF936" i="1" s="1"/>
  <c r="S938" i="1"/>
  <c r="AF938" i="1" s="1"/>
  <c r="S940" i="1"/>
  <c r="AF940" i="1" s="1"/>
  <c r="S942" i="1"/>
  <c r="AF942" i="1" s="1"/>
  <c r="S944" i="1"/>
  <c r="AF944" i="1" s="1"/>
  <c r="S946" i="1"/>
  <c r="AF946" i="1" s="1"/>
  <c r="S948" i="1"/>
  <c r="AF948" i="1" s="1"/>
  <c r="S950" i="1"/>
  <c r="AF950" i="1" s="1"/>
  <c r="S952" i="1"/>
  <c r="AF952" i="1" s="1"/>
  <c r="S954" i="1"/>
  <c r="AF954" i="1" s="1"/>
  <c r="S956" i="1"/>
  <c r="AF956" i="1" s="1"/>
  <c r="O620" i="1"/>
  <c r="AB620" i="1" s="1"/>
  <c r="P716" i="1"/>
  <c r="AC716" i="1" s="1"/>
  <c r="O745" i="1"/>
  <c r="AB745" i="1" s="1"/>
  <c r="Z780" i="1"/>
  <c r="AM780" i="1" s="1"/>
  <c r="V788" i="1"/>
  <c r="AI788" i="1" s="1"/>
  <c r="T812" i="1"/>
  <c r="AG812" i="1" s="1"/>
  <c r="T828" i="1"/>
  <c r="AG828" i="1" s="1"/>
  <c r="Z842" i="1"/>
  <c r="AM842" i="1" s="1"/>
  <c r="O845" i="1"/>
  <c r="AB845" i="1" s="1"/>
  <c r="U846" i="1"/>
  <c r="AH846" i="1" s="1"/>
  <c r="Z847" i="1"/>
  <c r="AM847" i="1" s="1"/>
  <c r="X848" i="1"/>
  <c r="AK848" i="1" s="1"/>
  <c r="Z850" i="1"/>
  <c r="AM850" i="1" s="1"/>
  <c r="R858" i="1"/>
  <c r="AE858" i="1" s="1"/>
  <c r="P859" i="1"/>
  <c r="AC859" i="1" s="1"/>
  <c r="T860" i="1"/>
  <c r="AG860" i="1" s="1"/>
  <c r="R861" i="1"/>
  <c r="AE861" i="1" s="1"/>
  <c r="V862" i="1"/>
  <c r="AI862" i="1" s="1"/>
  <c r="Z863" i="1"/>
  <c r="AM863" i="1" s="1"/>
  <c r="X864" i="1"/>
  <c r="AK864" i="1" s="1"/>
  <c r="Y866" i="1"/>
  <c r="AL866" i="1" s="1"/>
  <c r="Y867" i="1"/>
  <c r="AL867" i="1" s="1"/>
  <c r="T868" i="1"/>
  <c r="AG868" i="1" s="1"/>
  <c r="Z870" i="1"/>
  <c r="AM870" i="1" s="1"/>
  <c r="U871" i="1"/>
  <c r="AH871" i="1" s="1"/>
  <c r="P872" i="1"/>
  <c r="AC872" i="1" s="1"/>
  <c r="V874" i="1"/>
  <c r="AI874" i="1" s="1"/>
  <c r="P875" i="1"/>
  <c r="AC875" i="1" s="1"/>
  <c r="W877" i="1"/>
  <c r="AJ877" i="1" s="1"/>
  <c r="P878" i="1"/>
  <c r="AC878" i="1" s="1"/>
  <c r="Z879" i="1"/>
  <c r="AM879" i="1" s="1"/>
  <c r="S880" i="1"/>
  <c r="AF880" i="1" s="1"/>
  <c r="T882" i="1"/>
  <c r="AG882" i="1" s="1"/>
  <c r="T884" i="1"/>
  <c r="AG884" i="1" s="1"/>
  <c r="T886" i="1"/>
  <c r="AG886" i="1" s="1"/>
  <c r="T888" i="1"/>
  <c r="AG888" i="1" s="1"/>
  <c r="T890" i="1"/>
  <c r="AG890" i="1" s="1"/>
  <c r="T892" i="1"/>
  <c r="AG892" i="1" s="1"/>
  <c r="T894" i="1"/>
  <c r="AG894" i="1" s="1"/>
  <c r="T896" i="1"/>
  <c r="AG896" i="1" s="1"/>
  <c r="T898" i="1"/>
  <c r="AG898" i="1" s="1"/>
  <c r="T900" i="1"/>
  <c r="AG900" i="1" s="1"/>
  <c r="T902" i="1"/>
  <c r="AG902" i="1" s="1"/>
  <c r="T904" i="1"/>
  <c r="AG904" i="1" s="1"/>
  <c r="T906" i="1"/>
  <c r="AG906" i="1" s="1"/>
  <c r="T908" i="1"/>
  <c r="AG908" i="1" s="1"/>
  <c r="T910" i="1"/>
  <c r="AG910" i="1" s="1"/>
  <c r="T912" i="1"/>
  <c r="AG912" i="1" s="1"/>
  <c r="T914" i="1"/>
  <c r="AG914" i="1" s="1"/>
  <c r="T916" i="1"/>
  <c r="AG916" i="1" s="1"/>
  <c r="T918" i="1"/>
  <c r="AG918" i="1" s="1"/>
  <c r="T920" i="1"/>
  <c r="AG920" i="1" s="1"/>
  <c r="T922" i="1"/>
  <c r="AG922" i="1" s="1"/>
  <c r="T924" i="1"/>
  <c r="AG924" i="1" s="1"/>
  <c r="U655" i="1"/>
  <c r="AH655" i="1" s="1"/>
  <c r="W748" i="1"/>
  <c r="AJ748" i="1" s="1"/>
  <c r="U772" i="1"/>
  <c r="AH772" i="1" s="1"/>
  <c r="R789" i="1"/>
  <c r="AE789" i="1" s="1"/>
  <c r="X796" i="1"/>
  <c r="AK796" i="1" s="1"/>
  <c r="S802" i="1"/>
  <c r="AF802" i="1" s="1"/>
  <c r="S818" i="1"/>
  <c r="AF818" i="1" s="1"/>
  <c r="S834" i="1"/>
  <c r="AF834" i="1" s="1"/>
  <c r="P845" i="1"/>
  <c r="AC845" i="1" s="1"/>
  <c r="V846" i="1"/>
  <c r="AI846" i="1" s="1"/>
  <c r="Y848" i="1"/>
  <c r="AL848" i="1" s="1"/>
  <c r="O857" i="1"/>
  <c r="AB857" i="1" s="1"/>
  <c r="S858" i="1"/>
  <c r="AF858" i="1" s="1"/>
  <c r="Q859" i="1"/>
  <c r="AD859" i="1" s="1"/>
  <c r="U860" i="1"/>
  <c r="AH860" i="1" s="1"/>
  <c r="S861" i="1"/>
  <c r="AF861" i="1" s="1"/>
  <c r="W862" i="1"/>
  <c r="AJ862" i="1" s="1"/>
  <c r="Y864" i="1"/>
  <c r="AL864" i="1" s="1"/>
  <c r="Z866" i="1"/>
  <c r="AM866" i="1" s="1"/>
  <c r="Z867" i="1"/>
  <c r="AM867" i="1" s="1"/>
  <c r="U868" i="1"/>
  <c r="AH868" i="1" s="1"/>
  <c r="O869" i="1"/>
  <c r="AB869" i="1" s="1"/>
  <c r="W871" i="1"/>
  <c r="AJ871" i="1" s="1"/>
  <c r="Q872" i="1"/>
  <c r="AD872" i="1" s="1"/>
  <c r="W874" i="1"/>
  <c r="AJ874" i="1" s="1"/>
  <c r="Q875" i="1"/>
  <c r="AD875" i="1" s="1"/>
  <c r="X877" i="1"/>
  <c r="AK877" i="1" s="1"/>
  <c r="Q878" i="1"/>
  <c r="AD878" i="1" s="1"/>
  <c r="T880" i="1"/>
  <c r="AG880" i="1" s="1"/>
  <c r="U882" i="1"/>
  <c r="AH882" i="1" s="1"/>
  <c r="U884" i="1"/>
  <c r="AH884" i="1" s="1"/>
  <c r="U886" i="1"/>
  <c r="AH886" i="1" s="1"/>
  <c r="U888" i="1"/>
  <c r="AH888" i="1" s="1"/>
  <c r="U890" i="1"/>
  <c r="AH890" i="1" s="1"/>
  <c r="U892" i="1"/>
  <c r="AH892" i="1" s="1"/>
  <c r="U894" i="1"/>
  <c r="AH894" i="1" s="1"/>
  <c r="U896" i="1"/>
  <c r="AH896" i="1" s="1"/>
  <c r="U898" i="1"/>
  <c r="AH898" i="1" s="1"/>
  <c r="U900" i="1"/>
  <c r="AH900" i="1" s="1"/>
  <c r="U902" i="1"/>
  <c r="AH902" i="1" s="1"/>
  <c r="U904" i="1"/>
  <c r="AH904" i="1" s="1"/>
  <c r="U906" i="1"/>
  <c r="AH906" i="1" s="1"/>
  <c r="U908" i="1"/>
  <c r="AH908" i="1" s="1"/>
  <c r="U910" i="1"/>
  <c r="AH910" i="1" s="1"/>
  <c r="U912" i="1"/>
  <c r="AH912" i="1" s="1"/>
  <c r="U914" i="1"/>
  <c r="AH914" i="1" s="1"/>
  <c r="U916" i="1"/>
  <c r="AH916" i="1" s="1"/>
  <c r="U918" i="1"/>
  <c r="AH918" i="1" s="1"/>
  <c r="U920" i="1"/>
  <c r="AH920" i="1" s="1"/>
  <c r="U922" i="1"/>
  <c r="AH922" i="1" s="1"/>
  <c r="U924" i="1"/>
  <c r="AH924" i="1" s="1"/>
  <c r="U926" i="1"/>
  <c r="AH926" i="1" s="1"/>
  <c r="U928" i="1"/>
  <c r="AH928" i="1" s="1"/>
  <c r="U930" i="1"/>
  <c r="AH930" i="1" s="1"/>
  <c r="U932" i="1"/>
  <c r="AH932" i="1" s="1"/>
  <c r="U934" i="1"/>
  <c r="AH934" i="1" s="1"/>
  <c r="U936" i="1"/>
  <c r="AH936" i="1" s="1"/>
  <c r="U938" i="1"/>
  <c r="AH938" i="1" s="1"/>
  <c r="U940" i="1"/>
  <c r="AH940" i="1" s="1"/>
  <c r="U942" i="1"/>
  <c r="AH942" i="1" s="1"/>
  <c r="U944" i="1"/>
  <c r="AH944" i="1" s="1"/>
  <c r="U946" i="1"/>
  <c r="AH946" i="1" s="1"/>
  <c r="U948" i="1"/>
  <c r="AH948" i="1" s="1"/>
  <c r="U950" i="1"/>
  <c r="AH950" i="1" s="1"/>
  <c r="U952" i="1"/>
  <c r="AH952" i="1" s="1"/>
  <c r="U954" i="1"/>
  <c r="AH954" i="1" s="1"/>
  <c r="V655" i="1"/>
  <c r="AI655" i="1" s="1"/>
  <c r="V772" i="1"/>
  <c r="AI772" i="1" s="1"/>
  <c r="S789" i="1"/>
  <c r="AF789" i="1" s="1"/>
  <c r="Y796" i="1"/>
  <c r="AL796" i="1" s="1"/>
  <c r="T802" i="1"/>
  <c r="AG802" i="1" s="1"/>
  <c r="T818" i="1"/>
  <c r="AG818" i="1" s="1"/>
  <c r="T834" i="1"/>
  <c r="AG834" i="1" s="1"/>
  <c r="R844" i="1"/>
  <c r="AE844" i="1" s="1"/>
  <c r="R845" i="1"/>
  <c r="AE845" i="1" s="1"/>
  <c r="W846" i="1"/>
  <c r="AJ846" i="1" s="1"/>
  <c r="Z848" i="1"/>
  <c r="AM848" i="1" s="1"/>
  <c r="R856" i="1"/>
  <c r="AE856" i="1" s="1"/>
  <c r="P857" i="1"/>
  <c r="AC857" i="1" s="1"/>
  <c r="T858" i="1"/>
  <c r="AG858" i="1" s="1"/>
  <c r="R859" i="1"/>
  <c r="AE859" i="1" s="1"/>
  <c r="V860" i="1"/>
  <c r="AI860" i="1" s="1"/>
  <c r="Z861" i="1"/>
  <c r="AM861" i="1" s="1"/>
  <c r="X862" i="1"/>
  <c r="AK862" i="1" s="1"/>
  <c r="Z864" i="1"/>
  <c r="AM864" i="1" s="1"/>
  <c r="V868" i="1"/>
  <c r="AI868" i="1" s="1"/>
  <c r="P869" i="1"/>
  <c r="AC869" i="1" s="1"/>
  <c r="X871" i="1"/>
  <c r="AK871" i="1" s="1"/>
  <c r="R872" i="1"/>
  <c r="AE872" i="1" s="1"/>
  <c r="X874" i="1"/>
  <c r="AK874" i="1" s="1"/>
  <c r="R875" i="1"/>
  <c r="AE875" i="1" s="1"/>
  <c r="Y877" i="1"/>
  <c r="AL877" i="1" s="1"/>
  <c r="R878" i="1"/>
  <c r="AE878" i="1" s="1"/>
  <c r="U880" i="1"/>
  <c r="AH880" i="1" s="1"/>
  <c r="V882" i="1"/>
  <c r="AI882" i="1" s="1"/>
  <c r="V884" i="1"/>
  <c r="AI884" i="1" s="1"/>
  <c r="V886" i="1"/>
  <c r="AI886" i="1" s="1"/>
  <c r="V888" i="1"/>
  <c r="AI888" i="1" s="1"/>
  <c r="V890" i="1"/>
  <c r="AI890" i="1" s="1"/>
  <c r="V892" i="1"/>
  <c r="AI892" i="1" s="1"/>
  <c r="V894" i="1"/>
  <c r="AI894" i="1" s="1"/>
  <c r="V896" i="1"/>
  <c r="AI896" i="1" s="1"/>
  <c r="V898" i="1"/>
  <c r="AI898" i="1" s="1"/>
  <c r="V900" i="1"/>
  <c r="AI900" i="1" s="1"/>
  <c r="V902" i="1"/>
  <c r="AI902" i="1" s="1"/>
  <c r="V904" i="1"/>
  <c r="AI904" i="1" s="1"/>
  <c r="V906" i="1"/>
  <c r="AI906" i="1" s="1"/>
  <c r="V908" i="1"/>
  <c r="AI908" i="1" s="1"/>
  <c r="V910" i="1"/>
  <c r="AI910" i="1" s="1"/>
  <c r="V912" i="1"/>
  <c r="AI912" i="1" s="1"/>
  <c r="V914" i="1"/>
  <c r="AI914" i="1" s="1"/>
  <c r="V916" i="1"/>
  <c r="AI916" i="1" s="1"/>
  <c r="V918" i="1"/>
  <c r="AI918" i="1" s="1"/>
  <c r="V920" i="1"/>
  <c r="AI920" i="1" s="1"/>
  <c r="V922" i="1"/>
  <c r="AI922" i="1" s="1"/>
  <c r="V924" i="1"/>
  <c r="AI924" i="1" s="1"/>
  <c r="V926" i="1"/>
  <c r="AI926" i="1" s="1"/>
  <c r="V928" i="1"/>
  <c r="AI928" i="1" s="1"/>
  <c r="V930" i="1"/>
  <c r="AI930" i="1" s="1"/>
  <c r="V932" i="1"/>
  <c r="AI932" i="1" s="1"/>
  <c r="V934" i="1"/>
  <c r="AI934" i="1" s="1"/>
  <c r="V936" i="1"/>
  <c r="AI936" i="1" s="1"/>
  <c r="V938" i="1"/>
  <c r="AI938" i="1" s="1"/>
  <c r="V940" i="1"/>
  <c r="AI940" i="1" s="1"/>
  <c r="V942" i="1"/>
  <c r="AI942" i="1" s="1"/>
  <c r="V944" i="1"/>
  <c r="AI944" i="1" s="1"/>
  <c r="V946" i="1"/>
  <c r="AI946" i="1" s="1"/>
  <c r="V948" i="1"/>
  <c r="AI948" i="1" s="1"/>
  <c r="V950" i="1"/>
  <c r="AI950" i="1" s="1"/>
  <c r="V952" i="1"/>
  <c r="AI952" i="1" s="1"/>
  <c r="V954" i="1"/>
  <c r="AI954" i="1" s="1"/>
  <c r="V956" i="1"/>
  <c r="AI956" i="1" s="1"/>
  <c r="V958" i="1"/>
  <c r="AI958" i="1" s="1"/>
  <c r="V960" i="1"/>
  <c r="AI960" i="1" s="1"/>
  <c r="V962" i="1"/>
  <c r="AI962" i="1" s="1"/>
  <c r="V964" i="1"/>
  <c r="AI964" i="1" s="1"/>
  <c r="V966" i="1"/>
  <c r="AI966" i="1" s="1"/>
  <c r="Z682" i="1"/>
  <c r="AM682" i="1" s="1"/>
  <c r="T723" i="1"/>
  <c r="AG723" i="1" s="1"/>
  <c r="T752" i="1"/>
  <c r="AG752" i="1" s="1"/>
  <c r="X782" i="1"/>
  <c r="AK782" i="1" s="1"/>
  <c r="T790" i="1"/>
  <c r="AG790" i="1" s="1"/>
  <c r="S797" i="1"/>
  <c r="AF797" i="1" s="1"/>
  <c r="S808" i="1"/>
  <c r="AF808" i="1" s="1"/>
  <c r="S824" i="1"/>
  <c r="AF824" i="1" s="1"/>
  <c r="S840" i="1"/>
  <c r="AF840" i="1" s="1"/>
  <c r="S844" i="1"/>
  <c r="AF844" i="1" s="1"/>
  <c r="S845" i="1"/>
  <c r="AF845" i="1" s="1"/>
  <c r="X846" i="1"/>
  <c r="AK846" i="1" s="1"/>
  <c r="O855" i="1"/>
  <c r="AB855" i="1" s="1"/>
  <c r="S856" i="1"/>
  <c r="AF856" i="1" s="1"/>
  <c r="Q857" i="1"/>
  <c r="AD857" i="1" s="1"/>
  <c r="U858" i="1"/>
  <c r="AH858" i="1" s="1"/>
  <c r="S859" i="1"/>
  <c r="AF859" i="1" s="1"/>
  <c r="W860" i="1"/>
  <c r="AJ860" i="1" s="1"/>
  <c r="Y862" i="1"/>
  <c r="AL862" i="1" s="1"/>
  <c r="W868" i="1"/>
  <c r="AJ868" i="1" s="1"/>
  <c r="Q869" i="1"/>
  <c r="AD869" i="1" s="1"/>
  <c r="Y871" i="1"/>
  <c r="AL871" i="1" s="1"/>
  <c r="S872" i="1"/>
  <c r="AF872" i="1" s="1"/>
  <c r="Y874" i="1"/>
  <c r="AL874" i="1" s="1"/>
  <c r="S875" i="1"/>
  <c r="AF875" i="1" s="1"/>
  <c r="O876" i="1"/>
  <c r="AB876" i="1" s="1"/>
  <c r="Z877" i="1"/>
  <c r="AM877" i="1" s="1"/>
  <c r="S878" i="1"/>
  <c r="AF878" i="1" s="1"/>
  <c r="V880" i="1"/>
  <c r="AI880" i="1" s="1"/>
  <c r="O881" i="1"/>
  <c r="AB881" i="1" s="1"/>
  <c r="W882" i="1"/>
  <c r="AJ882" i="1" s="1"/>
  <c r="O883" i="1"/>
  <c r="AB883" i="1" s="1"/>
  <c r="W884" i="1"/>
  <c r="AJ884" i="1" s="1"/>
  <c r="O885" i="1"/>
  <c r="AB885" i="1" s="1"/>
  <c r="W886" i="1"/>
  <c r="AJ886" i="1" s="1"/>
  <c r="O887" i="1"/>
  <c r="AB887" i="1" s="1"/>
  <c r="W888" i="1"/>
  <c r="AJ888" i="1" s="1"/>
  <c r="O889" i="1"/>
  <c r="AB889" i="1" s="1"/>
  <c r="W890" i="1"/>
  <c r="AJ890" i="1" s="1"/>
  <c r="O891" i="1"/>
  <c r="AB891" i="1" s="1"/>
  <c r="W892" i="1"/>
  <c r="AJ892" i="1" s="1"/>
  <c r="O893" i="1"/>
  <c r="AB893" i="1" s="1"/>
  <c r="W894" i="1"/>
  <c r="AJ894" i="1" s="1"/>
  <c r="O895" i="1"/>
  <c r="AB895" i="1" s="1"/>
  <c r="W896" i="1"/>
  <c r="AJ896" i="1" s="1"/>
  <c r="O897" i="1"/>
  <c r="AB897" i="1" s="1"/>
  <c r="W898" i="1"/>
  <c r="AJ898" i="1" s="1"/>
  <c r="O899" i="1"/>
  <c r="AB899" i="1" s="1"/>
  <c r="W900" i="1"/>
  <c r="AJ900" i="1" s="1"/>
  <c r="O901" i="1"/>
  <c r="AB901" i="1" s="1"/>
  <c r="W902" i="1"/>
  <c r="AJ902" i="1" s="1"/>
  <c r="O903" i="1"/>
  <c r="AB903" i="1" s="1"/>
  <c r="W904" i="1"/>
  <c r="AJ904" i="1" s="1"/>
  <c r="O905" i="1"/>
  <c r="AB905" i="1" s="1"/>
  <c r="W906" i="1"/>
  <c r="AJ906" i="1" s="1"/>
  <c r="O907" i="1"/>
  <c r="AB907" i="1" s="1"/>
  <c r="W908" i="1"/>
  <c r="AJ908" i="1" s="1"/>
  <c r="O909" i="1"/>
  <c r="AB909" i="1" s="1"/>
  <c r="W910" i="1"/>
  <c r="AJ910" i="1" s="1"/>
  <c r="O911" i="1"/>
  <c r="AB911" i="1" s="1"/>
  <c r="W912" i="1"/>
  <c r="AJ912" i="1" s="1"/>
  <c r="O913" i="1"/>
  <c r="AB913" i="1" s="1"/>
  <c r="W914" i="1"/>
  <c r="AJ914" i="1" s="1"/>
  <c r="O915" i="1"/>
  <c r="AB915" i="1" s="1"/>
  <c r="W916" i="1"/>
  <c r="AJ916" i="1" s="1"/>
  <c r="O917" i="1"/>
  <c r="AB917" i="1" s="1"/>
  <c r="W918" i="1"/>
  <c r="AJ918" i="1" s="1"/>
  <c r="O919" i="1"/>
  <c r="AB919" i="1" s="1"/>
  <c r="W920" i="1"/>
  <c r="AJ920" i="1" s="1"/>
  <c r="O921" i="1"/>
  <c r="AB921" i="1" s="1"/>
  <c r="W922" i="1"/>
  <c r="AJ922" i="1" s="1"/>
  <c r="O923" i="1"/>
  <c r="AB923" i="1" s="1"/>
  <c r="W924" i="1"/>
  <c r="AJ924" i="1" s="1"/>
  <c r="O925" i="1"/>
  <c r="AB925" i="1" s="1"/>
  <c r="W926" i="1"/>
  <c r="AJ926" i="1" s="1"/>
  <c r="O927" i="1"/>
  <c r="AB927" i="1" s="1"/>
  <c r="W928" i="1"/>
  <c r="AJ928" i="1" s="1"/>
  <c r="O929" i="1"/>
  <c r="AB929" i="1" s="1"/>
  <c r="W930" i="1"/>
  <c r="AJ930" i="1" s="1"/>
  <c r="O931" i="1"/>
  <c r="AB931" i="1" s="1"/>
  <c r="W932" i="1"/>
  <c r="AJ932" i="1" s="1"/>
  <c r="O933" i="1"/>
  <c r="AB933" i="1" s="1"/>
  <c r="W934" i="1"/>
  <c r="AJ934" i="1" s="1"/>
  <c r="O935" i="1"/>
  <c r="AB935" i="1" s="1"/>
  <c r="W936" i="1"/>
  <c r="AJ936" i="1" s="1"/>
  <c r="O937" i="1"/>
  <c r="AB937" i="1" s="1"/>
  <c r="W938" i="1"/>
  <c r="AJ938" i="1" s="1"/>
  <c r="O939" i="1"/>
  <c r="AB939" i="1" s="1"/>
  <c r="W940" i="1"/>
  <c r="AJ940" i="1" s="1"/>
  <c r="O941" i="1"/>
  <c r="AB941" i="1" s="1"/>
  <c r="W942" i="1"/>
  <c r="AJ942" i="1" s="1"/>
  <c r="O943" i="1"/>
  <c r="AB943" i="1" s="1"/>
  <c r="W944" i="1"/>
  <c r="AJ944" i="1" s="1"/>
  <c r="O945" i="1"/>
  <c r="AB945" i="1" s="1"/>
  <c r="W946" i="1"/>
  <c r="AJ946" i="1" s="1"/>
  <c r="O947" i="1"/>
  <c r="AB947" i="1" s="1"/>
  <c r="W948" i="1"/>
  <c r="AJ948" i="1" s="1"/>
  <c r="O949" i="1"/>
  <c r="AB949" i="1" s="1"/>
  <c r="P685" i="1"/>
  <c r="AC685" i="1" s="1"/>
  <c r="V723" i="1"/>
  <c r="AI723" i="1" s="1"/>
  <c r="V752" i="1"/>
  <c r="AI752" i="1" s="1"/>
  <c r="Y782" i="1"/>
  <c r="AL782" i="1" s="1"/>
  <c r="U790" i="1"/>
  <c r="AH790" i="1" s="1"/>
  <c r="T797" i="1"/>
  <c r="AG797" i="1" s="1"/>
  <c r="T808" i="1"/>
  <c r="AG808" i="1" s="1"/>
  <c r="T824" i="1"/>
  <c r="AG824" i="1" s="1"/>
  <c r="T840" i="1"/>
  <c r="AG840" i="1" s="1"/>
  <c r="T844" i="1"/>
  <c r="AG844" i="1" s="1"/>
  <c r="Z845" i="1"/>
  <c r="AM845" i="1" s="1"/>
  <c r="Z846" i="1"/>
  <c r="AM846" i="1" s="1"/>
  <c r="R854" i="1"/>
  <c r="AE854" i="1" s="1"/>
  <c r="P855" i="1"/>
  <c r="AC855" i="1" s="1"/>
  <c r="T856" i="1"/>
  <c r="AG856" i="1" s="1"/>
  <c r="R857" i="1"/>
  <c r="AE857" i="1" s="1"/>
  <c r="V858" i="1"/>
  <c r="AI858" i="1" s="1"/>
  <c r="Z859" i="1"/>
  <c r="AM859" i="1" s="1"/>
  <c r="X860" i="1"/>
  <c r="AK860" i="1" s="1"/>
  <c r="Z862" i="1"/>
  <c r="AM862" i="1" s="1"/>
  <c r="X868" i="1"/>
  <c r="AK868" i="1" s="1"/>
  <c r="R869" i="1"/>
  <c r="AE869" i="1" s="1"/>
  <c r="Z871" i="1"/>
  <c r="AM871" i="1" s="1"/>
  <c r="T872" i="1"/>
  <c r="AG872" i="1" s="1"/>
  <c r="Z874" i="1"/>
  <c r="AM874" i="1" s="1"/>
  <c r="U875" i="1"/>
  <c r="AH875" i="1" s="1"/>
  <c r="P876" i="1"/>
  <c r="AC876" i="1" s="1"/>
  <c r="T878" i="1"/>
  <c r="AG878" i="1" s="1"/>
  <c r="W880" i="1"/>
  <c r="AJ880" i="1" s="1"/>
  <c r="P881" i="1"/>
  <c r="AC881" i="1" s="1"/>
  <c r="X882" i="1"/>
  <c r="AK882" i="1" s="1"/>
  <c r="P883" i="1"/>
  <c r="AC883" i="1" s="1"/>
  <c r="X884" i="1"/>
  <c r="AK884" i="1" s="1"/>
  <c r="P885" i="1"/>
  <c r="AC885" i="1" s="1"/>
  <c r="X886" i="1"/>
  <c r="AK886" i="1" s="1"/>
  <c r="P887" i="1"/>
  <c r="AC887" i="1" s="1"/>
  <c r="X888" i="1"/>
  <c r="AK888" i="1" s="1"/>
  <c r="P889" i="1"/>
  <c r="AC889" i="1" s="1"/>
  <c r="X890" i="1"/>
  <c r="AK890" i="1" s="1"/>
  <c r="P891" i="1"/>
  <c r="AC891" i="1" s="1"/>
  <c r="X892" i="1"/>
  <c r="AK892" i="1" s="1"/>
  <c r="P893" i="1"/>
  <c r="AC893" i="1" s="1"/>
  <c r="X894" i="1"/>
  <c r="AK894" i="1" s="1"/>
  <c r="P895" i="1"/>
  <c r="AC895" i="1" s="1"/>
  <c r="X896" i="1"/>
  <c r="AK896" i="1" s="1"/>
  <c r="P897" i="1"/>
  <c r="AC897" i="1" s="1"/>
  <c r="X898" i="1"/>
  <c r="AK898" i="1" s="1"/>
  <c r="P899" i="1"/>
  <c r="AC899" i="1" s="1"/>
  <c r="X900" i="1"/>
  <c r="AK900" i="1" s="1"/>
  <c r="P901" i="1"/>
  <c r="AC901" i="1" s="1"/>
  <c r="X902" i="1"/>
  <c r="AK902" i="1" s="1"/>
  <c r="P903" i="1"/>
  <c r="AC903" i="1" s="1"/>
  <c r="X904" i="1"/>
  <c r="AK904" i="1" s="1"/>
  <c r="P905" i="1"/>
  <c r="AC905" i="1" s="1"/>
  <c r="X906" i="1"/>
  <c r="AK906" i="1" s="1"/>
  <c r="P907" i="1"/>
  <c r="AC907" i="1" s="1"/>
  <c r="X908" i="1"/>
  <c r="AK908" i="1" s="1"/>
  <c r="P909" i="1"/>
  <c r="AC909" i="1" s="1"/>
  <c r="X910" i="1"/>
  <c r="AK910" i="1" s="1"/>
  <c r="P911" i="1"/>
  <c r="AC911" i="1" s="1"/>
  <c r="X912" i="1"/>
  <c r="AK912" i="1" s="1"/>
  <c r="P913" i="1"/>
  <c r="AC913" i="1" s="1"/>
  <c r="X914" i="1"/>
  <c r="AK914" i="1" s="1"/>
  <c r="P915" i="1"/>
  <c r="AC915" i="1" s="1"/>
  <c r="X916" i="1"/>
  <c r="AK916" i="1" s="1"/>
  <c r="P917" i="1"/>
  <c r="AC917" i="1" s="1"/>
  <c r="X918" i="1"/>
  <c r="AK918" i="1" s="1"/>
  <c r="P919" i="1"/>
  <c r="AC919" i="1" s="1"/>
  <c r="X920" i="1"/>
  <c r="AK920" i="1" s="1"/>
  <c r="P921" i="1"/>
  <c r="AC921" i="1" s="1"/>
  <c r="X922" i="1"/>
  <c r="AK922" i="1" s="1"/>
  <c r="P923" i="1"/>
  <c r="AC923" i="1" s="1"/>
  <c r="U783" i="1"/>
  <c r="AH783" i="1" s="1"/>
  <c r="S830" i="1"/>
  <c r="AF830" i="1" s="1"/>
  <c r="S857" i="1"/>
  <c r="AF857" i="1" s="1"/>
  <c r="U872" i="1"/>
  <c r="AH872" i="1" s="1"/>
  <c r="U878" i="1"/>
  <c r="AH878" i="1" s="1"/>
  <c r="Q889" i="1"/>
  <c r="AD889" i="1" s="1"/>
  <c r="Y894" i="1"/>
  <c r="AL894" i="1" s="1"/>
  <c r="Q905" i="1"/>
  <c r="AD905" i="1" s="1"/>
  <c r="Y910" i="1"/>
  <c r="AL910" i="1" s="1"/>
  <c r="Q921" i="1"/>
  <c r="AD921" i="1" s="1"/>
  <c r="P927" i="1"/>
  <c r="AC927" i="1" s="1"/>
  <c r="Q928" i="1"/>
  <c r="AD928" i="1" s="1"/>
  <c r="U929" i="1"/>
  <c r="AH929" i="1" s="1"/>
  <c r="X930" i="1"/>
  <c r="AK930" i="1" s="1"/>
  <c r="W931" i="1"/>
  <c r="AJ931" i="1" s="1"/>
  <c r="Z932" i="1"/>
  <c r="AM932" i="1" s="1"/>
  <c r="Y933" i="1"/>
  <c r="AL933" i="1" s="1"/>
  <c r="P941" i="1"/>
  <c r="AC941" i="1" s="1"/>
  <c r="O942" i="1"/>
  <c r="AB942" i="1" s="1"/>
  <c r="R943" i="1"/>
  <c r="AE943" i="1" s="1"/>
  <c r="Q944" i="1"/>
  <c r="AD944" i="1" s="1"/>
  <c r="U945" i="1"/>
  <c r="AH945" i="1" s="1"/>
  <c r="X946" i="1"/>
  <c r="AK946" i="1" s="1"/>
  <c r="W947" i="1"/>
  <c r="AJ947" i="1" s="1"/>
  <c r="Z948" i="1"/>
  <c r="AM948" i="1" s="1"/>
  <c r="Y949" i="1"/>
  <c r="AL949" i="1" s="1"/>
  <c r="Z950" i="1"/>
  <c r="AM950" i="1" s="1"/>
  <c r="X951" i="1"/>
  <c r="AK951" i="1" s="1"/>
  <c r="Y952" i="1"/>
  <c r="AL952" i="1" s="1"/>
  <c r="W953" i="1"/>
  <c r="AJ953" i="1" s="1"/>
  <c r="W954" i="1"/>
  <c r="AJ954" i="1" s="1"/>
  <c r="R955" i="1"/>
  <c r="AE955" i="1" s="1"/>
  <c r="U958" i="1"/>
  <c r="AH958" i="1" s="1"/>
  <c r="P959" i="1"/>
  <c r="AC959" i="1" s="1"/>
  <c r="W961" i="1"/>
  <c r="AJ961" i="1" s="1"/>
  <c r="Q962" i="1"/>
  <c r="AD962" i="1" s="1"/>
  <c r="X964" i="1"/>
  <c r="AK964" i="1" s="1"/>
  <c r="R965" i="1"/>
  <c r="AE965" i="1" s="1"/>
  <c r="X967" i="1"/>
  <c r="AK967" i="1" s="1"/>
  <c r="Q968" i="1"/>
  <c r="AD968" i="1" s="1"/>
  <c r="T970" i="1"/>
  <c r="AG970" i="1" s="1"/>
  <c r="W972" i="1"/>
  <c r="AJ972" i="1" s="1"/>
  <c r="P973" i="1"/>
  <c r="AC973" i="1" s="1"/>
  <c r="Z974" i="1"/>
  <c r="AM974" i="1" s="1"/>
  <c r="T975" i="1"/>
  <c r="AG975" i="1" s="1"/>
  <c r="W977" i="1"/>
  <c r="AJ977" i="1" s="1"/>
  <c r="O978" i="1"/>
  <c r="AB978" i="1" s="1"/>
  <c r="W979" i="1"/>
  <c r="AJ979" i="1" s="1"/>
  <c r="O980" i="1"/>
  <c r="AB980" i="1" s="1"/>
  <c r="W981" i="1"/>
  <c r="AJ981" i="1" s="1"/>
  <c r="O982" i="1"/>
  <c r="AB982" i="1" s="1"/>
  <c r="W983" i="1"/>
  <c r="AJ983" i="1" s="1"/>
  <c r="O984" i="1"/>
  <c r="AB984" i="1" s="1"/>
  <c r="W985" i="1"/>
  <c r="AJ985" i="1" s="1"/>
  <c r="O986" i="1"/>
  <c r="AB986" i="1" s="1"/>
  <c r="W987" i="1"/>
  <c r="AJ987" i="1" s="1"/>
  <c r="O988" i="1"/>
  <c r="AB988" i="1" s="1"/>
  <c r="W989" i="1"/>
  <c r="AJ989" i="1" s="1"/>
  <c r="O990" i="1"/>
  <c r="AB990" i="1" s="1"/>
  <c r="W991" i="1"/>
  <c r="AJ991" i="1" s="1"/>
  <c r="O992" i="1"/>
  <c r="AB992" i="1" s="1"/>
  <c r="W993" i="1"/>
  <c r="AJ993" i="1" s="1"/>
  <c r="O994" i="1"/>
  <c r="AB994" i="1" s="1"/>
  <c r="W995" i="1"/>
  <c r="AJ995" i="1" s="1"/>
  <c r="O996" i="1"/>
  <c r="AB996" i="1" s="1"/>
  <c r="W997" i="1"/>
  <c r="AJ997" i="1" s="1"/>
  <c r="O998" i="1"/>
  <c r="AB998" i="1" s="1"/>
  <c r="W999" i="1"/>
  <c r="AJ999" i="1" s="1"/>
  <c r="O1000" i="1"/>
  <c r="AB1000" i="1" s="1"/>
  <c r="W1001" i="1"/>
  <c r="AJ1001" i="1" s="1"/>
  <c r="O1002" i="1"/>
  <c r="AB1002" i="1" s="1"/>
  <c r="W1003" i="1"/>
  <c r="AJ1003" i="1" s="1"/>
  <c r="O1004" i="1"/>
  <c r="AB1004" i="1" s="1"/>
  <c r="W1005" i="1"/>
  <c r="AJ1005" i="1" s="1"/>
  <c r="O1006" i="1"/>
  <c r="AB1006" i="1" s="1"/>
  <c r="W1007" i="1"/>
  <c r="AJ1007" i="1" s="1"/>
  <c r="O1008" i="1"/>
  <c r="AB1008" i="1" s="1"/>
  <c r="X1005" i="1"/>
  <c r="AK1005" i="1" s="1"/>
  <c r="X1007" i="1"/>
  <c r="AK1007" i="1" s="1"/>
  <c r="R954" i="1"/>
  <c r="AE954" i="1" s="1"/>
  <c r="U964" i="1"/>
  <c r="AH964" i="1" s="1"/>
  <c r="U979" i="1"/>
  <c r="AH979" i="1" s="1"/>
  <c r="T830" i="1"/>
  <c r="AG830" i="1" s="1"/>
  <c r="Z857" i="1"/>
  <c r="AM857" i="1" s="1"/>
  <c r="V872" i="1"/>
  <c r="AI872" i="1" s="1"/>
  <c r="V878" i="1"/>
  <c r="AI878" i="1" s="1"/>
  <c r="R889" i="1"/>
  <c r="AE889" i="1" s="1"/>
  <c r="Z894" i="1"/>
  <c r="AM894" i="1" s="1"/>
  <c r="R905" i="1"/>
  <c r="AE905" i="1" s="1"/>
  <c r="Z910" i="1"/>
  <c r="AM910" i="1" s="1"/>
  <c r="R921" i="1"/>
  <c r="AE921" i="1" s="1"/>
  <c r="Q927" i="1"/>
  <c r="AD927" i="1" s="1"/>
  <c r="T928" i="1"/>
  <c r="AG928" i="1" s="1"/>
  <c r="V929" i="1"/>
  <c r="AI929" i="1" s="1"/>
  <c r="Y930" i="1"/>
  <c r="AL930" i="1" s="1"/>
  <c r="X931" i="1"/>
  <c r="AK931" i="1" s="1"/>
  <c r="Q941" i="1"/>
  <c r="AD941" i="1" s="1"/>
  <c r="P942" i="1"/>
  <c r="AC942" i="1" s="1"/>
  <c r="T943" i="1"/>
  <c r="AG943" i="1" s="1"/>
  <c r="T944" i="1"/>
  <c r="AG944" i="1" s="1"/>
  <c r="V945" i="1"/>
  <c r="AI945" i="1" s="1"/>
  <c r="Y946" i="1"/>
  <c r="AL946" i="1" s="1"/>
  <c r="X947" i="1"/>
  <c r="AK947" i="1" s="1"/>
  <c r="Y951" i="1"/>
  <c r="AL951" i="1" s="1"/>
  <c r="Z952" i="1"/>
  <c r="AM952" i="1" s="1"/>
  <c r="X953" i="1"/>
  <c r="AK953" i="1" s="1"/>
  <c r="X954" i="1"/>
  <c r="AK954" i="1" s="1"/>
  <c r="T955" i="1"/>
  <c r="AG955" i="1" s="1"/>
  <c r="O956" i="1"/>
  <c r="AB956" i="1" s="1"/>
  <c r="W958" i="1"/>
  <c r="AJ958" i="1" s="1"/>
  <c r="Q959" i="1"/>
  <c r="AD959" i="1" s="1"/>
  <c r="X961" i="1"/>
  <c r="AK961" i="1" s="1"/>
  <c r="R962" i="1"/>
  <c r="AE962" i="1" s="1"/>
  <c r="Y964" i="1"/>
  <c r="AL964" i="1" s="1"/>
  <c r="T965" i="1"/>
  <c r="AG965" i="1" s="1"/>
  <c r="Y967" i="1"/>
  <c r="AL967" i="1" s="1"/>
  <c r="R968" i="1"/>
  <c r="AE968" i="1" s="1"/>
  <c r="U970" i="1"/>
  <c r="AH970" i="1" s="1"/>
  <c r="X972" i="1"/>
  <c r="AK972" i="1" s="1"/>
  <c r="Q973" i="1"/>
  <c r="AD973" i="1" s="1"/>
  <c r="U975" i="1"/>
  <c r="AH975" i="1" s="1"/>
  <c r="X977" i="1"/>
  <c r="AK977" i="1" s="1"/>
  <c r="P978" i="1"/>
  <c r="AC978" i="1" s="1"/>
  <c r="X979" i="1"/>
  <c r="AK979" i="1" s="1"/>
  <c r="P980" i="1"/>
  <c r="AC980" i="1" s="1"/>
  <c r="X981" i="1"/>
  <c r="AK981" i="1" s="1"/>
  <c r="P982" i="1"/>
  <c r="AC982" i="1" s="1"/>
  <c r="X983" i="1"/>
  <c r="AK983" i="1" s="1"/>
  <c r="P984" i="1"/>
  <c r="AC984" i="1" s="1"/>
  <c r="X985" i="1"/>
  <c r="AK985" i="1" s="1"/>
  <c r="P986" i="1"/>
  <c r="AC986" i="1" s="1"/>
  <c r="X987" i="1"/>
  <c r="AK987" i="1" s="1"/>
  <c r="P988" i="1"/>
  <c r="AC988" i="1" s="1"/>
  <c r="X989" i="1"/>
  <c r="AK989" i="1" s="1"/>
  <c r="P990" i="1"/>
  <c r="AC990" i="1" s="1"/>
  <c r="X991" i="1"/>
  <c r="AK991" i="1" s="1"/>
  <c r="P992" i="1"/>
  <c r="AC992" i="1" s="1"/>
  <c r="X993" i="1"/>
  <c r="AK993" i="1" s="1"/>
  <c r="P994" i="1"/>
  <c r="AC994" i="1" s="1"/>
  <c r="X995" i="1"/>
  <c r="AK995" i="1" s="1"/>
  <c r="P996" i="1"/>
  <c r="AC996" i="1" s="1"/>
  <c r="X997" i="1"/>
  <c r="AK997" i="1" s="1"/>
  <c r="P998" i="1"/>
  <c r="AC998" i="1" s="1"/>
  <c r="X999" i="1"/>
  <c r="AK999" i="1" s="1"/>
  <c r="P1000" i="1"/>
  <c r="AC1000" i="1" s="1"/>
  <c r="X1001" i="1"/>
  <c r="AK1001" i="1" s="1"/>
  <c r="P1002" i="1"/>
  <c r="AC1002" i="1" s="1"/>
  <c r="X1003" i="1"/>
  <c r="AK1003" i="1" s="1"/>
  <c r="P1004" i="1"/>
  <c r="AC1004" i="1" s="1"/>
  <c r="P1006" i="1"/>
  <c r="AC1006" i="1" s="1"/>
  <c r="P1008" i="1"/>
  <c r="AC1008" i="1" s="1"/>
  <c r="Q791" i="1"/>
  <c r="AD791" i="1" s="1"/>
  <c r="W858" i="1"/>
  <c r="AJ858" i="1" s="1"/>
  <c r="O873" i="1"/>
  <c r="AB873" i="1" s="1"/>
  <c r="Y884" i="1"/>
  <c r="AL884" i="1" s="1"/>
  <c r="Q895" i="1"/>
  <c r="AD895" i="1" s="1"/>
  <c r="Y900" i="1"/>
  <c r="AL900" i="1" s="1"/>
  <c r="Q911" i="1"/>
  <c r="AD911" i="1" s="1"/>
  <c r="Y916" i="1"/>
  <c r="AL916" i="1" s="1"/>
  <c r="R927" i="1"/>
  <c r="AE927" i="1" s="1"/>
  <c r="X928" i="1"/>
  <c r="AK928" i="1" s="1"/>
  <c r="W929" i="1"/>
  <c r="AJ929" i="1" s="1"/>
  <c r="Z930" i="1"/>
  <c r="AM930" i="1" s="1"/>
  <c r="Y931" i="1"/>
  <c r="AL931" i="1" s="1"/>
  <c r="P939" i="1"/>
  <c r="AC939" i="1" s="1"/>
  <c r="O940" i="1"/>
  <c r="AB940" i="1" s="1"/>
  <c r="R941" i="1"/>
  <c r="AE941" i="1" s="1"/>
  <c r="Q942" i="1"/>
  <c r="AD942" i="1" s="1"/>
  <c r="U943" i="1"/>
  <c r="AH943" i="1" s="1"/>
  <c r="X944" i="1"/>
  <c r="AK944" i="1" s="1"/>
  <c r="W945" i="1"/>
  <c r="AJ945" i="1" s="1"/>
  <c r="Z946" i="1"/>
  <c r="AM946" i="1" s="1"/>
  <c r="Y947" i="1"/>
  <c r="AL947" i="1" s="1"/>
  <c r="Y953" i="1"/>
  <c r="AL953" i="1" s="1"/>
  <c r="Y954" i="1"/>
  <c r="AL954" i="1" s="1"/>
  <c r="U955" i="1"/>
  <c r="AH955" i="1" s="1"/>
  <c r="P956" i="1"/>
  <c r="AC956" i="1" s="1"/>
  <c r="X958" i="1"/>
  <c r="AK958" i="1" s="1"/>
  <c r="R959" i="1"/>
  <c r="AE959" i="1" s="1"/>
  <c r="Y961" i="1"/>
  <c r="AL961" i="1" s="1"/>
  <c r="S962" i="1"/>
  <c r="AF962" i="1" s="1"/>
  <c r="Z964" i="1"/>
  <c r="AM964" i="1" s="1"/>
  <c r="U965" i="1"/>
  <c r="AH965" i="1" s="1"/>
  <c r="O966" i="1"/>
  <c r="AB966" i="1" s="1"/>
  <c r="Z967" i="1"/>
  <c r="AM967" i="1" s="1"/>
  <c r="S968" i="1"/>
  <c r="AF968" i="1" s="1"/>
  <c r="V970" i="1"/>
  <c r="AI970" i="1" s="1"/>
  <c r="O971" i="1"/>
  <c r="AB971" i="1" s="1"/>
  <c r="Y972" i="1"/>
  <c r="AL972" i="1" s="1"/>
  <c r="R973" i="1"/>
  <c r="AE973" i="1" s="1"/>
  <c r="V975" i="1"/>
  <c r="AI975" i="1" s="1"/>
  <c r="O976" i="1"/>
  <c r="AB976" i="1" s="1"/>
  <c r="Y977" i="1"/>
  <c r="AL977" i="1" s="1"/>
  <c r="Q978" i="1"/>
  <c r="AD978" i="1" s="1"/>
  <c r="Y979" i="1"/>
  <c r="AL979" i="1" s="1"/>
  <c r="Q980" i="1"/>
  <c r="AD980" i="1" s="1"/>
  <c r="Y981" i="1"/>
  <c r="AL981" i="1" s="1"/>
  <c r="Q982" i="1"/>
  <c r="AD982" i="1" s="1"/>
  <c r="Y983" i="1"/>
  <c r="AL983" i="1" s="1"/>
  <c r="Q984" i="1"/>
  <c r="AD984" i="1" s="1"/>
  <c r="Y985" i="1"/>
  <c r="AL985" i="1" s="1"/>
  <c r="Q986" i="1"/>
  <c r="AD986" i="1" s="1"/>
  <c r="Y987" i="1"/>
  <c r="AL987" i="1" s="1"/>
  <c r="Q988" i="1"/>
  <c r="AD988" i="1" s="1"/>
  <c r="Y989" i="1"/>
  <c r="AL989" i="1" s="1"/>
  <c r="Q990" i="1"/>
  <c r="AD990" i="1" s="1"/>
  <c r="Y991" i="1"/>
  <c r="AL991" i="1" s="1"/>
  <c r="Q992" i="1"/>
  <c r="AD992" i="1" s="1"/>
  <c r="Y993" i="1"/>
  <c r="AL993" i="1" s="1"/>
  <c r="Q994" i="1"/>
  <c r="AD994" i="1" s="1"/>
  <c r="Y995" i="1"/>
  <c r="AL995" i="1" s="1"/>
  <c r="Q996" i="1"/>
  <c r="AD996" i="1" s="1"/>
  <c r="Y997" i="1"/>
  <c r="AL997" i="1" s="1"/>
  <c r="Q998" i="1"/>
  <c r="AD998" i="1" s="1"/>
  <c r="Y999" i="1"/>
  <c r="AL999" i="1" s="1"/>
  <c r="Q1000" i="1"/>
  <c r="AD1000" i="1" s="1"/>
  <c r="Y1001" i="1"/>
  <c r="AL1001" i="1" s="1"/>
  <c r="Q1002" i="1"/>
  <c r="AD1002" i="1" s="1"/>
  <c r="Y1003" i="1"/>
  <c r="AL1003" i="1" s="1"/>
  <c r="Q1004" i="1"/>
  <c r="AD1004" i="1" s="1"/>
  <c r="Y1005" i="1"/>
  <c r="AL1005" i="1" s="1"/>
  <c r="Q1006" i="1"/>
  <c r="AD1006" i="1" s="1"/>
  <c r="Y1007" i="1"/>
  <c r="AL1007" i="1" s="1"/>
  <c r="Q1008" i="1"/>
  <c r="AD1008" i="1" s="1"/>
  <c r="R791" i="1"/>
  <c r="AE791" i="1" s="1"/>
  <c r="X858" i="1"/>
  <c r="AK858" i="1" s="1"/>
  <c r="P873" i="1"/>
  <c r="AC873" i="1" s="1"/>
  <c r="O879" i="1"/>
  <c r="AB879" i="1" s="1"/>
  <c r="Z884" i="1"/>
  <c r="AM884" i="1" s="1"/>
  <c r="R895" i="1"/>
  <c r="AE895" i="1" s="1"/>
  <c r="Z900" i="1"/>
  <c r="AM900" i="1" s="1"/>
  <c r="R911" i="1"/>
  <c r="AE911" i="1" s="1"/>
  <c r="Z916" i="1"/>
  <c r="AM916" i="1" s="1"/>
  <c r="T927" i="1"/>
  <c r="AG927" i="1" s="1"/>
  <c r="Y928" i="1"/>
  <c r="AL928" i="1" s="1"/>
  <c r="X929" i="1"/>
  <c r="AK929" i="1" s="1"/>
  <c r="Q939" i="1"/>
  <c r="AD939" i="1" s="1"/>
  <c r="P940" i="1"/>
  <c r="AC940" i="1" s="1"/>
  <c r="T941" i="1"/>
  <c r="AG941" i="1" s="1"/>
  <c r="T942" i="1"/>
  <c r="AG942" i="1" s="1"/>
  <c r="V943" i="1"/>
  <c r="AI943" i="1" s="1"/>
  <c r="Y944" i="1"/>
  <c r="AL944" i="1" s="1"/>
  <c r="X945" i="1"/>
  <c r="AK945" i="1" s="1"/>
  <c r="Z954" i="1"/>
  <c r="AM954" i="1" s="1"/>
  <c r="V955" i="1"/>
  <c r="AI955" i="1" s="1"/>
  <c r="Q956" i="1"/>
  <c r="AD956" i="1" s="1"/>
  <c r="Y958" i="1"/>
  <c r="AL958" i="1" s="1"/>
  <c r="T959" i="1"/>
  <c r="AG959" i="1" s="1"/>
  <c r="Z961" i="1"/>
  <c r="AM961" i="1" s="1"/>
  <c r="T962" i="1"/>
  <c r="AG962" i="1" s="1"/>
  <c r="O963" i="1"/>
  <c r="AB963" i="1" s="1"/>
  <c r="V965" i="1"/>
  <c r="AI965" i="1" s="1"/>
  <c r="P966" i="1"/>
  <c r="AC966" i="1" s="1"/>
  <c r="T968" i="1"/>
  <c r="AG968" i="1" s="1"/>
  <c r="W970" i="1"/>
  <c r="AJ970" i="1" s="1"/>
  <c r="P971" i="1"/>
  <c r="AC971" i="1" s="1"/>
  <c r="Z972" i="1"/>
  <c r="AM972" i="1" s="1"/>
  <c r="T973" i="1"/>
  <c r="AG973" i="1" s="1"/>
  <c r="W975" i="1"/>
  <c r="AJ975" i="1" s="1"/>
  <c r="P976" i="1"/>
  <c r="AC976" i="1" s="1"/>
  <c r="Z977" i="1"/>
  <c r="AM977" i="1" s="1"/>
  <c r="R978" i="1"/>
  <c r="AE978" i="1" s="1"/>
  <c r="Z979" i="1"/>
  <c r="AM979" i="1" s="1"/>
  <c r="R980" i="1"/>
  <c r="AE980" i="1" s="1"/>
  <c r="Z981" i="1"/>
  <c r="AM981" i="1" s="1"/>
  <c r="R982" i="1"/>
  <c r="AE982" i="1" s="1"/>
  <c r="Z983" i="1"/>
  <c r="AM983" i="1" s="1"/>
  <c r="R984" i="1"/>
  <c r="AE984" i="1" s="1"/>
  <c r="Z985" i="1"/>
  <c r="AM985" i="1" s="1"/>
  <c r="R986" i="1"/>
  <c r="AE986" i="1" s="1"/>
  <c r="Z987" i="1"/>
  <c r="AM987" i="1" s="1"/>
  <c r="R988" i="1"/>
  <c r="AE988" i="1" s="1"/>
  <c r="Z989" i="1"/>
  <c r="AM989" i="1" s="1"/>
  <c r="R990" i="1"/>
  <c r="AE990" i="1" s="1"/>
  <c r="Z991" i="1"/>
  <c r="AM991" i="1" s="1"/>
  <c r="R992" i="1"/>
  <c r="AE992" i="1" s="1"/>
  <c r="Z993" i="1"/>
  <c r="AM993" i="1" s="1"/>
  <c r="R994" i="1"/>
  <c r="AE994" i="1" s="1"/>
  <c r="Z995" i="1"/>
  <c r="AM995" i="1" s="1"/>
  <c r="R996" i="1"/>
  <c r="AE996" i="1" s="1"/>
  <c r="Z997" i="1"/>
  <c r="AM997" i="1" s="1"/>
  <c r="R998" i="1"/>
  <c r="AE998" i="1" s="1"/>
  <c r="Z999" i="1"/>
  <c r="AM999" i="1" s="1"/>
  <c r="R1000" i="1"/>
  <c r="AE1000" i="1" s="1"/>
  <c r="Z1001" i="1"/>
  <c r="AM1001" i="1" s="1"/>
  <c r="R1002" i="1"/>
  <c r="AE1002" i="1" s="1"/>
  <c r="Z1003" i="1"/>
  <c r="AM1003" i="1" s="1"/>
  <c r="R1004" i="1"/>
  <c r="AE1004" i="1" s="1"/>
  <c r="Z1005" i="1"/>
  <c r="AM1005" i="1" s="1"/>
  <c r="R1006" i="1"/>
  <c r="AE1006" i="1" s="1"/>
  <c r="Z1007" i="1"/>
  <c r="AM1007" i="1" s="1"/>
  <c r="R1008" i="1"/>
  <c r="AE1008" i="1" s="1"/>
  <c r="S984" i="1"/>
  <c r="AF984" i="1" s="1"/>
  <c r="S986" i="1"/>
  <c r="AF986" i="1" s="1"/>
  <c r="S994" i="1"/>
  <c r="AF994" i="1" s="1"/>
  <c r="S1002" i="1"/>
  <c r="AF1002" i="1" s="1"/>
  <c r="S1004" i="1"/>
  <c r="AF1004" i="1" s="1"/>
  <c r="S1006" i="1"/>
  <c r="AF1006" i="1" s="1"/>
  <c r="S1008" i="1"/>
  <c r="AF1008" i="1" s="1"/>
  <c r="T1002" i="1"/>
  <c r="AG1002" i="1" s="1"/>
  <c r="T1004" i="1"/>
  <c r="AG1004" i="1" s="1"/>
  <c r="T1006" i="1"/>
  <c r="AG1006" i="1" s="1"/>
  <c r="T1008" i="1"/>
  <c r="AG1008" i="1" s="1"/>
  <c r="U1004" i="1"/>
  <c r="AH1004" i="1" s="1"/>
  <c r="Q915" i="1"/>
  <c r="AD915" i="1" s="1"/>
  <c r="Y920" i="1"/>
  <c r="AL920" i="1" s="1"/>
  <c r="Q930" i="1"/>
  <c r="AD930" i="1" s="1"/>
  <c r="X932" i="1"/>
  <c r="AK932" i="1" s="1"/>
  <c r="Z934" i="1"/>
  <c r="AM934" i="1" s="1"/>
  <c r="O944" i="1"/>
  <c r="AB944" i="1" s="1"/>
  <c r="U953" i="1"/>
  <c r="AH953" i="1" s="1"/>
  <c r="O962" i="1"/>
  <c r="AB962" i="1" s="1"/>
  <c r="R970" i="1"/>
  <c r="AE970" i="1" s="1"/>
  <c r="P798" i="1"/>
  <c r="AC798" i="1" s="1"/>
  <c r="Q885" i="1"/>
  <c r="AD885" i="1" s="1"/>
  <c r="Y890" i="1"/>
  <c r="AL890" i="1" s="1"/>
  <c r="Q901" i="1"/>
  <c r="AD901" i="1" s="1"/>
  <c r="Y906" i="1"/>
  <c r="AL906" i="1" s="1"/>
  <c r="Q917" i="1"/>
  <c r="AD917" i="1" s="1"/>
  <c r="Y922" i="1"/>
  <c r="AL922" i="1" s="1"/>
  <c r="O926" i="1"/>
  <c r="AB926" i="1" s="1"/>
  <c r="U927" i="1"/>
  <c r="AH927" i="1" s="1"/>
  <c r="Z928" i="1"/>
  <c r="AM928" i="1" s="1"/>
  <c r="Y929" i="1"/>
  <c r="AL929" i="1" s="1"/>
  <c r="P937" i="1"/>
  <c r="AC937" i="1" s="1"/>
  <c r="O938" i="1"/>
  <c r="AB938" i="1" s="1"/>
  <c r="R939" i="1"/>
  <c r="AE939" i="1" s="1"/>
  <c r="Q940" i="1"/>
  <c r="AD940" i="1" s="1"/>
  <c r="U941" i="1"/>
  <c r="AH941" i="1" s="1"/>
  <c r="X942" i="1"/>
  <c r="AK942" i="1" s="1"/>
  <c r="W943" i="1"/>
  <c r="AJ943" i="1" s="1"/>
  <c r="Z944" i="1"/>
  <c r="AM944" i="1" s="1"/>
  <c r="Y945" i="1"/>
  <c r="AL945" i="1" s="1"/>
  <c r="W955" i="1"/>
  <c r="AJ955" i="1" s="1"/>
  <c r="R956" i="1"/>
  <c r="AE956" i="1" s="1"/>
  <c r="Z958" i="1"/>
  <c r="AM958" i="1" s="1"/>
  <c r="U959" i="1"/>
  <c r="AH959" i="1" s="1"/>
  <c r="O960" i="1"/>
  <c r="AB960" i="1" s="1"/>
  <c r="U962" i="1"/>
  <c r="AH962" i="1" s="1"/>
  <c r="P963" i="1"/>
  <c r="AC963" i="1" s="1"/>
  <c r="W965" i="1"/>
  <c r="AJ965" i="1" s="1"/>
  <c r="Q966" i="1"/>
  <c r="AD966" i="1" s="1"/>
  <c r="U968" i="1"/>
  <c r="AH968" i="1" s="1"/>
  <c r="X970" i="1"/>
  <c r="AK970" i="1" s="1"/>
  <c r="Q971" i="1"/>
  <c r="AD971" i="1" s="1"/>
  <c r="U973" i="1"/>
  <c r="AH973" i="1" s="1"/>
  <c r="X975" i="1"/>
  <c r="AK975" i="1" s="1"/>
  <c r="Q976" i="1"/>
  <c r="AD976" i="1" s="1"/>
  <c r="S978" i="1"/>
  <c r="AF978" i="1" s="1"/>
  <c r="S980" i="1"/>
  <c r="AF980" i="1" s="1"/>
  <c r="S982" i="1"/>
  <c r="AF982" i="1" s="1"/>
  <c r="S988" i="1"/>
  <c r="AF988" i="1" s="1"/>
  <c r="S990" i="1"/>
  <c r="AF990" i="1" s="1"/>
  <c r="S992" i="1"/>
  <c r="AF992" i="1" s="1"/>
  <c r="S996" i="1"/>
  <c r="AF996" i="1" s="1"/>
  <c r="S998" i="1"/>
  <c r="AF998" i="1" s="1"/>
  <c r="S1000" i="1"/>
  <c r="AF1000" i="1" s="1"/>
  <c r="U1006" i="1"/>
  <c r="AH1006" i="1" s="1"/>
  <c r="V1008" i="1"/>
  <c r="AI1008" i="1" s="1"/>
  <c r="Q798" i="1"/>
  <c r="AD798" i="1" s="1"/>
  <c r="R885" i="1"/>
  <c r="AE885" i="1" s="1"/>
  <c r="Z890" i="1"/>
  <c r="AM890" i="1" s="1"/>
  <c r="R901" i="1"/>
  <c r="AE901" i="1" s="1"/>
  <c r="Z906" i="1"/>
  <c r="AM906" i="1" s="1"/>
  <c r="R917" i="1"/>
  <c r="AE917" i="1" s="1"/>
  <c r="Z922" i="1"/>
  <c r="AM922" i="1" s="1"/>
  <c r="P925" i="1"/>
  <c r="AC925" i="1" s="1"/>
  <c r="Q926" i="1"/>
  <c r="AD926" i="1" s="1"/>
  <c r="V927" i="1"/>
  <c r="AI927" i="1" s="1"/>
  <c r="Q937" i="1"/>
  <c r="AD937" i="1" s="1"/>
  <c r="P938" i="1"/>
  <c r="AC938" i="1" s="1"/>
  <c r="T939" i="1"/>
  <c r="AG939" i="1" s="1"/>
  <c r="T940" i="1"/>
  <c r="AG940" i="1" s="1"/>
  <c r="V941" i="1"/>
  <c r="AI941" i="1" s="1"/>
  <c r="Y942" i="1"/>
  <c r="AL942" i="1" s="1"/>
  <c r="X943" i="1"/>
  <c r="AK943" i="1" s="1"/>
  <c r="X955" i="1"/>
  <c r="AK955" i="1" s="1"/>
  <c r="T956" i="1"/>
  <c r="AG956" i="1" s="1"/>
  <c r="O957" i="1"/>
  <c r="AB957" i="1" s="1"/>
  <c r="V959" i="1"/>
  <c r="AI959" i="1" s="1"/>
  <c r="P960" i="1"/>
  <c r="AC960" i="1" s="1"/>
  <c r="W962" i="1"/>
  <c r="AJ962" i="1" s="1"/>
  <c r="Q963" i="1"/>
  <c r="AD963" i="1" s="1"/>
  <c r="X965" i="1"/>
  <c r="AK965" i="1" s="1"/>
  <c r="R966" i="1"/>
  <c r="AE966" i="1" s="1"/>
  <c r="V968" i="1"/>
  <c r="AI968" i="1" s="1"/>
  <c r="O969" i="1"/>
  <c r="AB969" i="1" s="1"/>
  <c r="Y970" i="1"/>
  <c r="AL970" i="1" s="1"/>
  <c r="R971" i="1"/>
  <c r="AE971" i="1" s="1"/>
  <c r="V973" i="1"/>
  <c r="AI973" i="1" s="1"/>
  <c r="O974" i="1"/>
  <c r="AB974" i="1" s="1"/>
  <c r="Y975" i="1"/>
  <c r="AL975" i="1" s="1"/>
  <c r="R976" i="1"/>
  <c r="AE976" i="1" s="1"/>
  <c r="T978" i="1"/>
  <c r="AG978" i="1" s="1"/>
  <c r="T980" i="1"/>
  <c r="AG980" i="1" s="1"/>
  <c r="T982" i="1"/>
  <c r="AG982" i="1" s="1"/>
  <c r="T984" i="1"/>
  <c r="AG984" i="1" s="1"/>
  <c r="T986" i="1"/>
  <c r="AG986" i="1" s="1"/>
  <c r="T988" i="1"/>
  <c r="AG988" i="1" s="1"/>
  <c r="T990" i="1"/>
  <c r="AG990" i="1" s="1"/>
  <c r="T992" i="1"/>
  <c r="AG992" i="1" s="1"/>
  <c r="T994" i="1"/>
  <c r="AG994" i="1" s="1"/>
  <c r="T996" i="1"/>
  <c r="AG996" i="1" s="1"/>
  <c r="T998" i="1"/>
  <c r="AG998" i="1" s="1"/>
  <c r="T1000" i="1"/>
  <c r="AG1000" i="1" s="1"/>
  <c r="V1006" i="1"/>
  <c r="AI1006" i="1" s="1"/>
  <c r="Y888" i="1"/>
  <c r="AL888" i="1" s="1"/>
  <c r="V951" i="1"/>
  <c r="AI951" i="1" s="1"/>
  <c r="U972" i="1"/>
  <c r="AH972" i="1" s="1"/>
  <c r="Y860" i="1"/>
  <c r="AL860" i="1" s="1"/>
  <c r="Y868" i="1"/>
  <c r="AL868" i="1" s="1"/>
  <c r="X880" i="1"/>
  <c r="AK880" i="1" s="1"/>
  <c r="Q891" i="1"/>
  <c r="AD891" i="1" s="1"/>
  <c r="Y896" i="1"/>
  <c r="AL896" i="1" s="1"/>
  <c r="Q907" i="1"/>
  <c r="AD907" i="1" s="1"/>
  <c r="Y912" i="1"/>
  <c r="AL912" i="1" s="1"/>
  <c r="Q925" i="1"/>
  <c r="AD925" i="1" s="1"/>
  <c r="T926" i="1"/>
  <c r="AG926" i="1" s="1"/>
  <c r="W927" i="1"/>
  <c r="AJ927" i="1" s="1"/>
  <c r="P935" i="1"/>
  <c r="AC935" i="1" s="1"/>
  <c r="O936" i="1"/>
  <c r="AB936" i="1" s="1"/>
  <c r="R937" i="1"/>
  <c r="AE937" i="1" s="1"/>
  <c r="Q938" i="1"/>
  <c r="AD938" i="1" s="1"/>
  <c r="U939" i="1"/>
  <c r="AH939" i="1" s="1"/>
  <c r="X940" i="1"/>
  <c r="AK940" i="1" s="1"/>
  <c r="W941" i="1"/>
  <c r="AJ941" i="1" s="1"/>
  <c r="Z942" i="1"/>
  <c r="AM942" i="1" s="1"/>
  <c r="Y943" i="1"/>
  <c r="AL943" i="1" s="1"/>
  <c r="Y955" i="1"/>
  <c r="AL955" i="1" s="1"/>
  <c r="U956" i="1"/>
  <c r="AH956" i="1" s="1"/>
  <c r="P957" i="1"/>
  <c r="AC957" i="1" s="1"/>
  <c r="W959" i="1"/>
  <c r="AJ959" i="1" s="1"/>
  <c r="Q960" i="1"/>
  <c r="AD960" i="1" s="1"/>
  <c r="X962" i="1"/>
  <c r="AK962" i="1" s="1"/>
  <c r="R963" i="1"/>
  <c r="AE963" i="1" s="1"/>
  <c r="Y965" i="1"/>
  <c r="AL965" i="1" s="1"/>
  <c r="S966" i="1"/>
  <c r="AF966" i="1" s="1"/>
  <c r="W968" i="1"/>
  <c r="AJ968" i="1" s="1"/>
  <c r="P969" i="1"/>
  <c r="AC969" i="1" s="1"/>
  <c r="Z970" i="1"/>
  <c r="AM970" i="1" s="1"/>
  <c r="T971" i="1"/>
  <c r="AG971" i="1" s="1"/>
  <c r="W973" i="1"/>
  <c r="AJ973" i="1" s="1"/>
  <c r="P974" i="1"/>
  <c r="AC974" i="1" s="1"/>
  <c r="Z975" i="1"/>
  <c r="AM975" i="1" s="1"/>
  <c r="S976" i="1"/>
  <c r="AF976" i="1" s="1"/>
  <c r="U978" i="1"/>
  <c r="AH978" i="1" s="1"/>
  <c r="U980" i="1"/>
  <c r="AH980" i="1" s="1"/>
  <c r="U982" i="1"/>
  <c r="AH982" i="1" s="1"/>
  <c r="U984" i="1"/>
  <c r="AH984" i="1" s="1"/>
  <c r="U986" i="1"/>
  <c r="AH986" i="1" s="1"/>
  <c r="U988" i="1"/>
  <c r="AH988" i="1" s="1"/>
  <c r="U990" i="1"/>
  <c r="AH990" i="1" s="1"/>
  <c r="U992" i="1"/>
  <c r="AH992" i="1" s="1"/>
  <c r="U994" i="1"/>
  <c r="AH994" i="1" s="1"/>
  <c r="U996" i="1"/>
  <c r="AH996" i="1" s="1"/>
  <c r="U998" i="1"/>
  <c r="AH998" i="1" s="1"/>
  <c r="U1000" i="1"/>
  <c r="AH1000" i="1" s="1"/>
  <c r="U1002" i="1"/>
  <c r="AH1002" i="1" s="1"/>
  <c r="U1008" i="1"/>
  <c r="AH1008" i="1" s="1"/>
  <c r="O843" i="1"/>
  <c r="AB843" i="1" s="1"/>
  <c r="R852" i="1"/>
  <c r="AE852" i="1" s="1"/>
  <c r="Z860" i="1"/>
  <c r="AM860" i="1" s="1"/>
  <c r="Z868" i="1"/>
  <c r="AM868" i="1" s="1"/>
  <c r="Y880" i="1"/>
  <c r="AL880" i="1" s="1"/>
  <c r="R891" i="1"/>
  <c r="AE891" i="1" s="1"/>
  <c r="Z896" i="1"/>
  <c r="AM896" i="1" s="1"/>
  <c r="R907" i="1"/>
  <c r="AE907" i="1" s="1"/>
  <c r="Z912" i="1"/>
  <c r="AM912" i="1" s="1"/>
  <c r="Q923" i="1"/>
  <c r="AD923" i="1" s="1"/>
  <c r="R925" i="1"/>
  <c r="AE925" i="1" s="1"/>
  <c r="X926" i="1"/>
  <c r="AK926" i="1" s="1"/>
  <c r="Y927" i="1"/>
  <c r="AL927" i="1" s="1"/>
  <c r="Q935" i="1"/>
  <c r="AD935" i="1" s="1"/>
  <c r="P936" i="1"/>
  <c r="AC936" i="1" s="1"/>
  <c r="T937" i="1"/>
  <c r="AG937" i="1" s="1"/>
  <c r="T938" i="1"/>
  <c r="AG938" i="1" s="1"/>
  <c r="V939" i="1"/>
  <c r="AI939" i="1" s="1"/>
  <c r="Y940" i="1"/>
  <c r="AL940" i="1" s="1"/>
  <c r="X941" i="1"/>
  <c r="AK941" i="1" s="1"/>
  <c r="Z955" i="1"/>
  <c r="AM955" i="1" s="1"/>
  <c r="W956" i="1"/>
  <c r="AJ956" i="1" s="1"/>
  <c r="Q957" i="1"/>
  <c r="AD957" i="1" s="1"/>
  <c r="X959" i="1"/>
  <c r="AK959" i="1" s="1"/>
  <c r="R960" i="1"/>
  <c r="AE960" i="1" s="1"/>
  <c r="Y962" i="1"/>
  <c r="AL962" i="1" s="1"/>
  <c r="T963" i="1"/>
  <c r="AG963" i="1" s="1"/>
  <c r="Z965" i="1"/>
  <c r="AM965" i="1" s="1"/>
  <c r="T966" i="1"/>
  <c r="AG966" i="1" s="1"/>
  <c r="X968" i="1"/>
  <c r="AK968" i="1" s="1"/>
  <c r="Q969" i="1"/>
  <c r="AD969" i="1" s="1"/>
  <c r="U971" i="1"/>
  <c r="AH971" i="1" s="1"/>
  <c r="X973" i="1"/>
  <c r="AK973" i="1" s="1"/>
  <c r="Q974" i="1"/>
  <c r="AD974" i="1" s="1"/>
  <c r="T976" i="1"/>
  <c r="AG976" i="1" s="1"/>
  <c r="V978" i="1"/>
  <c r="AI978" i="1" s="1"/>
  <c r="V980" i="1"/>
  <c r="AI980" i="1" s="1"/>
  <c r="V982" i="1"/>
  <c r="AI982" i="1" s="1"/>
  <c r="V984" i="1"/>
  <c r="AI984" i="1" s="1"/>
  <c r="V986" i="1"/>
  <c r="AI986" i="1" s="1"/>
  <c r="V988" i="1"/>
  <c r="AI988" i="1" s="1"/>
  <c r="V990" i="1"/>
  <c r="AI990" i="1" s="1"/>
  <c r="V992" i="1"/>
  <c r="AI992" i="1" s="1"/>
  <c r="V994" i="1"/>
  <c r="AI994" i="1" s="1"/>
  <c r="V996" i="1"/>
  <c r="AI996" i="1" s="1"/>
  <c r="V998" i="1"/>
  <c r="AI998" i="1" s="1"/>
  <c r="V1000" i="1"/>
  <c r="AI1000" i="1" s="1"/>
  <c r="V1002" i="1"/>
  <c r="AI1002" i="1" s="1"/>
  <c r="V1004" i="1"/>
  <c r="AI1004" i="1" s="1"/>
  <c r="Q899" i="1"/>
  <c r="AD899" i="1" s="1"/>
  <c r="X950" i="1"/>
  <c r="AK950" i="1" s="1"/>
  <c r="U961" i="1"/>
  <c r="AH961" i="1" s="1"/>
  <c r="R691" i="1"/>
  <c r="AE691" i="1" s="1"/>
  <c r="U844" i="1"/>
  <c r="AH844" i="1" s="1"/>
  <c r="O853" i="1"/>
  <c r="AB853" i="1" s="1"/>
  <c r="S869" i="1"/>
  <c r="AF869" i="1" s="1"/>
  <c r="W875" i="1"/>
  <c r="AJ875" i="1" s="1"/>
  <c r="Q881" i="1"/>
  <c r="AD881" i="1" s="1"/>
  <c r="Y886" i="1"/>
  <c r="AL886" i="1" s="1"/>
  <c r="Q897" i="1"/>
  <c r="AD897" i="1" s="1"/>
  <c r="Y902" i="1"/>
  <c r="AL902" i="1" s="1"/>
  <c r="Q913" i="1"/>
  <c r="AD913" i="1" s="1"/>
  <c r="Y918" i="1"/>
  <c r="AL918" i="1" s="1"/>
  <c r="R923" i="1"/>
  <c r="AE923" i="1" s="1"/>
  <c r="T925" i="1"/>
  <c r="AG925" i="1" s="1"/>
  <c r="Y926" i="1"/>
  <c r="AL926" i="1" s="1"/>
  <c r="P933" i="1"/>
  <c r="AC933" i="1" s="1"/>
  <c r="O934" i="1"/>
  <c r="AB934" i="1" s="1"/>
  <c r="R935" i="1"/>
  <c r="AE935" i="1" s="1"/>
  <c r="Q936" i="1"/>
  <c r="AD936" i="1" s="1"/>
  <c r="U937" i="1"/>
  <c r="AH937" i="1" s="1"/>
  <c r="X938" i="1"/>
  <c r="AK938" i="1" s="1"/>
  <c r="W939" i="1"/>
  <c r="AJ939" i="1" s="1"/>
  <c r="Z940" i="1"/>
  <c r="AM940" i="1" s="1"/>
  <c r="Y941" i="1"/>
  <c r="AL941" i="1" s="1"/>
  <c r="P949" i="1"/>
  <c r="AC949" i="1" s="1"/>
  <c r="O951" i="1"/>
  <c r="AB951" i="1" s="1"/>
  <c r="X956" i="1"/>
  <c r="AK956" i="1" s="1"/>
  <c r="R957" i="1"/>
  <c r="AE957" i="1" s="1"/>
  <c r="Y959" i="1"/>
  <c r="AL959" i="1" s="1"/>
  <c r="S960" i="1"/>
  <c r="AF960" i="1" s="1"/>
  <c r="Z962" i="1"/>
  <c r="AM962" i="1" s="1"/>
  <c r="U963" i="1"/>
  <c r="AH963" i="1" s="1"/>
  <c r="O964" i="1"/>
  <c r="AB964" i="1" s="1"/>
  <c r="U966" i="1"/>
  <c r="AH966" i="1" s="1"/>
  <c r="O967" i="1"/>
  <c r="AB967" i="1" s="1"/>
  <c r="Y968" i="1"/>
  <c r="AL968" i="1" s="1"/>
  <c r="R969" i="1"/>
  <c r="AE969" i="1" s="1"/>
  <c r="V971" i="1"/>
  <c r="AI971" i="1" s="1"/>
  <c r="O972" i="1"/>
  <c r="AB972" i="1" s="1"/>
  <c r="Y973" i="1"/>
  <c r="AL973" i="1" s="1"/>
  <c r="R974" i="1"/>
  <c r="AE974" i="1" s="1"/>
  <c r="U976" i="1"/>
  <c r="AH976" i="1" s="1"/>
  <c r="W978" i="1"/>
  <c r="AJ978" i="1" s="1"/>
  <c r="O979" i="1"/>
  <c r="AB979" i="1" s="1"/>
  <c r="W980" i="1"/>
  <c r="AJ980" i="1" s="1"/>
  <c r="O981" i="1"/>
  <c r="AB981" i="1" s="1"/>
  <c r="W982" i="1"/>
  <c r="AJ982" i="1" s="1"/>
  <c r="O983" i="1"/>
  <c r="AB983" i="1" s="1"/>
  <c r="W984" i="1"/>
  <c r="AJ984" i="1" s="1"/>
  <c r="O985" i="1"/>
  <c r="AB985" i="1" s="1"/>
  <c r="W986" i="1"/>
  <c r="AJ986" i="1" s="1"/>
  <c r="O987" i="1"/>
  <c r="AB987" i="1" s="1"/>
  <c r="W988" i="1"/>
  <c r="AJ988" i="1" s="1"/>
  <c r="O989" i="1"/>
  <c r="AB989" i="1" s="1"/>
  <c r="W990" i="1"/>
  <c r="AJ990" i="1" s="1"/>
  <c r="O991" i="1"/>
  <c r="AB991" i="1" s="1"/>
  <c r="W992" i="1"/>
  <c r="AJ992" i="1" s="1"/>
  <c r="O993" i="1"/>
  <c r="AB993" i="1" s="1"/>
  <c r="W994" i="1"/>
  <c r="AJ994" i="1" s="1"/>
  <c r="O995" i="1"/>
  <c r="AB995" i="1" s="1"/>
  <c r="W996" i="1"/>
  <c r="AJ996" i="1" s="1"/>
  <c r="O997" i="1"/>
  <c r="AB997" i="1" s="1"/>
  <c r="W998" i="1"/>
  <c r="AJ998" i="1" s="1"/>
  <c r="O999" i="1"/>
  <c r="AB999" i="1" s="1"/>
  <c r="W1000" i="1"/>
  <c r="AJ1000" i="1" s="1"/>
  <c r="O1001" i="1"/>
  <c r="AB1001" i="1" s="1"/>
  <c r="W1002" i="1"/>
  <c r="AJ1002" i="1" s="1"/>
  <c r="O1003" i="1"/>
  <c r="AB1003" i="1" s="1"/>
  <c r="W1004" i="1"/>
  <c r="AJ1004" i="1" s="1"/>
  <c r="O1005" i="1"/>
  <c r="AB1005" i="1" s="1"/>
  <c r="W1006" i="1"/>
  <c r="AJ1006" i="1" s="1"/>
  <c r="O1007" i="1"/>
  <c r="AB1007" i="1" s="1"/>
  <c r="W1008" i="1"/>
  <c r="AJ1008" i="1" s="1"/>
  <c r="X1008" i="1"/>
  <c r="AK1008" i="1" s="1"/>
  <c r="T1007" i="1"/>
  <c r="AG1007" i="1" s="1"/>
  <c r="U856" i="1"/>
  <c r="AH856" i="1" s="1"/>
  <c r="R929" i="1"/>
  <c r="AE929" i="1" s="1"/>
  <c r="T691" i="1"/>
  <c r="AG691" i="1" s="1"/>
  <c r="V844" i="1"/>
  <c r="AI844" i="1" s="1"/>
  <c r="P853" i="1"/>
  <c r="AC853" i="1" s="1"/>
  <c r="U869" i="1"/>
  <c r="AH869" i="1" s="1"/>
  <c r="X875" i="1"/>
  <c r="AK875" i="1" s="1"/>
  <c r="R881" i="1"/>
  <c r="AE881" i="1" s="1"/>
  <c r="Z886" i="1"/>
  <c r="AM886" i="1" s="1"/>
  <c r="R897" i="1"/>
  <c r="AE897" i="1" s="1"/>
  <c r="Z902" i="1"/>
  <c r="AM902" i="1" s="1"/>
  <c r="R913" i="1"/>
  <c r="AE913" i="1" s="1"/>
  <c r="Z918" i="1"/>
  <c r="AM918" i="1" s="1"/>
  <c r="W923" i="1"/>
  <c r="AJ923" i="1" s="1"/>
  <c r="U925" i="1"/>
  <c r="AH925" i="1" s="1"/>
  <c r="Z926" i="1"/>
  <c r="AM926" i="1" s="1"/>
  <c r="Q933" i="1"/>
  <c r="AD933" i="1" s="1"/>
  <c r="P934" i="1"/>
  <c r="AC934" i="1" s="1"/>
  <c r="T935" i="1"/>
  <c r="AG935" i="1" s="1"/>
  <c r="T936" i="1"/>
  <c r="AG936" i="1" s="1"/>
  <c r="V937" i="1"/>
  <c r="AI937" i="1" s="1"/>
  <c r="Y938" i="1"/>
  <c r="AL938" i="1" s="1"/>
  <c r="X939" i="1"/>
  <c r="AK939" i="1" s="1"/>
  <c r="Q949" i="1"/>
  <c r="AD949" i="1" s="1"/>
  <c r="O950" i="1"/>
  <c r="AB950" i="1" s="1"/>
  <c r="P951" i="1"/>
  <c r="AC951" i="1" s="1"/>
  <c r="O953" i="1"/>
  <c r="AB953" i="1" s="1"/>
  <c r="Y956" i="1"/>
  <c r="AL956" i="1" s="1"/>
  <c r="T957" i="1"/>
  <c r="AG957" i="1" s="1"/>
  <c r="Z959" i="1"/>
  <c r="AM959" i="1" s="1"/>
  <c r="T960" i="1"/>
  <c r="AG960" i="1" s="1"/>
  <c r="O961" i="1"/>
  <c r="AB961" i="1" s="1"/>
  <c r="V963" i="1"/>
  <c r="AI963" i="1" s="1"/>
  <c r="P964" i="1"/>
  <c r="AC964" i="1" s="1"/>
  <c r="W966" i="1"/>
  <c r="AJ966" i="1" s="1"/>
  <c r="P967" i="1"/>
  <c r="AC967" i="1" s="1"/>
  <c r="Z968" i="1"/>
  <c r="AM968" i="1" s="1"/>
  <c r="T969" i="1"/>
  <c r="AG969" i="1" s="1"/>
  <c r="W971" i="1"/>
  <c r="AJ971" i="1" s="1"/>
  <c r="P972" i="1"/>
  <c r="AC972" i="1" s="1"/>
  <c r="Z973" i="1"/>
  <c r="AM973" i="1" s="1"/>
  <c r="S974" i="1"/>
  <c r="AF974" i="1" s="1"/>
  <c r="V976" i="1"/>
  <c r="AI976" i="1" s="1"/>
  <c r="O977" i="1"/>
  <c r="AB977" i="1" s="1"/>
  <c r="X978" i="1"/>
  <c r="AK978" i="1" s="1"/>
  <c r="P979" i="1"/>
  <c r="AC979" i="1" s="1"/>
  <c r="X980" i="1"/>
  <c r="AK980" i="1" s="1"/>
  <c r="P981" i="1"/>
  <c r="AC981" i="1" s="1"/>
  <c r="X982" i="1"/>
  <c r="AK982" i="1" s="1"/>
  <c r="P983" i="1"/>
  <c r="AC983" i="1" s="1"/>
  <c r="X984" i="1"/>
  <c r="AK984" i="1" s="1"/>
  <c r="P985" i="1"/>
  <c r="AC985" i="1" s="1"/>
  <c r="X986" i="1"/>
  <c r="AK986" i="1" s="1"/>
  <c r="P987" i="1"/>
  <c r="AC987" i="1" s="1"/>
  <c r="X988" i="1"/>
  <c r="AK988" i="1" s="1"/>
  <c r="P989" i="1"/>
  <c r="AC989" i="1" s="1"/>
  <c r="X990" i="1"/>
  <c r="AK990" i="1" s="1"/>
  <c r="P991" i="1"/>
  <c r="AC991" i="1" s="1"/>
  <c r="X992" i="1"/>
  <c r="AK992" i="1" s="1"/>
  <c r="P993" i="1"/>
  <c r="AC993" i="1" s="1"/>
  <c r="X994" i="1"/>
  <c r="AK994" i="1" s="1"/>
  <c r="P995" i="1"/>
  <c r="AC995" i="1" s="1"/>
  <c r="X996" i="1"/>
  <c r="AK996" i="1" s="1"/>
  <c r="P997" i="1"/>
  <c r="AC997" i="1" s="1"/>
  <c r="X998" i="1"/>
  <c r="AK998" i="1" s="1"/>
  <c r="P999" i="1"/>
  <c r="AC999" i="1" s="1"/>
  <c r="X1000" i="1"/>
  <c r="AK1000" i="1" s="1"/>
  <c r="P1001" i="1"/>
  <c r="AC1001" i="1" s="1"/>
  <c r="X1002" i="1"/>
  <c r="AK1002" i="1" s="1"/>
  <c r="P1003" i="1"/>
  <c r="AC1003" i="1" s="1"/>
  <c r="X1004" i="1"/>
  <c r="AK1004" i="1" s="1"/>
  <c r="P1005" i="1"/>
  <c r="AC1005" i="1" s="1"/>
  <c r="X1006" i="1"/>
  <c r="AK1006" i="1" s="1"/>
  <c r="P1007" i="1"/>
  <c r="AC1007" i="1" s="1"/>
  <c r="T1003" i="1"/>
  <c r="AG1003" i="1" s="1"/>
  <c r="Y935" i="1"/>
  <c r="AL935" i="1" s="1"/>
  <c r="P943" i="1"/>
  <c r="AC943" i="1" s="1"/>
  <c r="W949" i="1"/>
  <c r="AJ949" i="1" s="1"/>
  <c r="S958" i="1"/>
  <c r="AF958" i="1" s="1"/>
  <c r="V967" i="1"/>
  <c r="AI967" i="1" s="1"/>
  <c r="Q975" i="1"/>
  <c r="AD975" i="1" s="1"/>
  <c r="U983" i="1"/>
  <c r="AH983" i="1" s="1"/>
  <c r="S814" i="1"/>
  <c r="AF814" i="1" s="1"/>
  <c r="S854" i="1"/>
  <c r="AF854" i="1" s="1"/>
  <c r="O870" i="1"/>
  <c r="AB870" i="1" s="1"/>
  <c r="Q876" i="1"/>
  <c r="AD876" i="1" s="1"/>
  <c r="Q887" i="1"/>
  <c r="AD887" i="1" s="1"/>
  <c r="Y892" i="1"/>
  <c r="AL892" i="1" s="1"/>
  <c r="Q903" i="1"/>
  <c r="AD903" i="1" s="1"/>
  <c r="Y908" i="1"/>
  <c r="AL908" i="1" s="1"/>
  <c r="Q919" i="1"/>
  <c r="AD919" i="1" s="1"/>
  <c r="V925" i="1"/>
  <c r="AI925" i="1" s="1"/>
  <c r="P931" i="1"/>
  <c r="AC931" i="1" s="1"/>
  <c r="O932" i="1"/>
  <c r="AB932" i="1" s="1"/>
  <c r="R933" i="1"/>
  <c r="AE933" i="1" s="1"/>
  <c r="Q934" i="1"/>
  <c r="AD934" i="1" s="1"/>
  <c r="U935" i="1"/>
  <c r="AH935" i="1" s="1"/>
  <c r="X936" i="1"/>
  <c r="AK936" i="1" s="1"/>
  <c r="W937" i="1"/>
  <c r="AJ937" i="1" s="1"/>
  <c r="Z938" i="1"/>
  <c r="AM938" i="1" s="1"/>
  <c r="Y939" i="1"/>
  <c r="AL939" i="1" s="1"/>
  <c r="P947" i="1"/>
  <c r="AC947" i="1" s="1"/>
  <c r="O948" i="1"/>
  <c r="AB948" i="1" s="1"/>
  <c r="R949" i="1"/>
  <c r="AE949" i="1" s="1"/>
  <c r="P950" i="1"/>
  <c r="AC950" i="1" s="1"/>
  <c r="Q951" i="1"/>
  <c r="AD951" i="1" s="1"/>
  <c r="O952" i="1"/>
  <c r="AB952" i="1" s="1"/>
  <c r="P953" i="1"/>
  <c r="AC953" i="1" s="1"/>
  <c r="Z956" i="1"/>
  <c r="AM956" i="1" s="1"/>
  <c r="U957" i="1"/>
  <c r="AH957" i="1" s="1"/>
  <c r="O958" i="1"/>
  <c r="AB958" i="1" s="1"/>
  <c r="U960" i="1"/>
  <c r="AH960" i="1" s="1"/>
  <c r="P961" i="1"/>
  <c r="AC961" i="1" s="1"/>
  <c r="W963" i="1"/>
  <c r="AJ963" i="1" s="1"/>
  <c r="Q964" i="1"/>
  <c r="AD964" i="1" s="1"/>
  <c r="X966" i="1"/>
  <c r="AK966" i="1" s="1"/>
  <c r="Q967" i="1"/>
  <c r="AD967" i="1" s="1"/>
  <c r="U969" i="1"/>
  <c r="AH969" i="1" s="1"/>
  <c r="X971" i="1"/>
  <c r="AK971" i="1" s="1"/>
  <c r="Q972" i="1"/>
  <c r="AD972" i="1" s="1"/>
  <c r="T974" i="1"/>
  <c r="AG974" i="1" s="1"/>
  <c r="W976" i="1"/>
  <c r="AJ976" i="1" s="1"/>
  <c r="P977" i="1"/>
  <c r="AC977" i="1" s="1"/>
  <c r="Y978" i="1"/>
  <c r="AL978" i="1" s="1"/>
  <c r="Q979" i="1"/>
  <c r="AD979" i="1" s="1"/>
  <c r="Y980" i="1"/>
  <c r="AL980" i="1" s="1"/>
  <c r="Q981" i="1"/>
  <c r="AD981" i="1" s="1"/>
  <c r="Y982" i="1"/>
  <c r="AL982" i="1" s="1"/>
  <c r="Q983" i="1"/>
  <c r="AD983" i="1" s="1"/>
  <c r="Y984" i="1"/>
  <c r="AL984" i="1" s="1"/>
  <c r="Q985" i="1"/>
  <c r="AD985" i="1" s="1"/>
  <c r="Y986" i="1"/>
  <c r="AL986" i="1" s="1"/>
  <c r="Q987" i="1"/>
  <c r="AD987" i="1" s="1"/>
  <c r="Y988" i="1"/>
  <c r="AL988" i="1" s="1"/>
  <c r="Q989" i="1"/>
  <c r="AD989" i="1" s="1"/>
  <c r="Y990" i="1"/>
  <c r="AL990" i="1" s="1"/>
  <c r="Q991" i="1"/>
  <c r="AD991" i="1" s="1"/>
  <c r="Y992" i="1"/>
  <c r="AL992" i="1" s="1"/>
  <c r="Q993" i="1"/>
  <c r="AD993" i="1" s="1"/>
  <c r="Y994" i="1"/>
  <c r="AL994" i="1" s="1"/>
  <c r="Q995" i="1"/>
  <c r="AD995" i="1" s="1"/>
  <c r="Y996" i="1"/>
  <c r="AL996" i="1" s="1"/>
  <c r="Q997" i="1"/>
  <c r="AD997" i="1" s="1"/>
  <c r="Y998" i="1"/>
  <c r="AL998" i="1" s="1"/>
  <c r="Q999" i="1"/>
  <c r="AD999" i="1" s="1"/>
  <c r="Y1000" i="1"/>
  <c r="AL1000" i="1" s="1"/>
  <c r="Q1001" i="1"/>
  <c r="AD1001" i="1" s="1"/>
  <c r="Y1002" i="1"/>
  <c r="AL1002" i="1" s="1"/>
  <c r="Q1003" i="1"/>
  <c r="AD1003" i="1" s="1"/>
  <c r="Y1004" i="1"/>
  <c r="AL1004" i="1" s="1"/>
  <c r="Q1005" i="1"/>
  <c r="AD1005" i="1" s="1"/>
  <c r="Y1006" i="1"/>
  <c r="AL1006" i="1" s="1"/>
  <c r="Q1007" i="1"/>
  <c r="AD1007" i="1" s="1"/>
  <c r="Y1008" i="1"/>
  <c r="AL1008" i="1" s="1"/>
  <c r="Y924" i="1"/>
  <c r="AL924" i="1" s="1"/>
  <c r="U931" i="1"/>
  <c r="AH931" i="1" s="1"/>
  <c r="R945" i="1"/>
  <c r="AE945" i="1" s="1"/>
  <c r="U947" i="1"/>
  <c r="AH947" i="1" s="1"/>
  <c r="W952" i="1"/>
  <c r="AJ952" i="1" s="1"/>
  <c r="Y957" i="1"/>
  <c r="AL957" i="1" s="1"/>
  <c r="P965" i="1"/>
  <c r="AC965" i="1" s="1"/>
  <c r="O968" i="1"/>
  <c r="AB968" i="1" s="1"/>
  <c r="Y969" i="1"/>
  <c r="AL969" i="1" s="1"/>
  <c r="X974" i="1"/>
  <c r="AK974" i="1" s="1"/>
  <c r="Y727" i="1"/>
  <c r="AL727" i="1" s="1"/>
  <c r="T814" i="1"/>
  <c r="AG814" i="1" s="1"/>
  <c r="T854" i="1"/>
  <c r="AG854" i="1" s="1"/>
  <c r="P870" i="1"/>
  <c r="AC870" i="1" s="1"/>
  <c r="R876" i="1"/>
  <c r="AE876" i="1" s="1"/>
  <c r="R887" i="1"/>
  <c r="AE887" i="1" s="1"/>
  <c r="Z892" i="1"/>
  <c r="AM892" i="1" s="1"/>
  <c r="R903" i="1"/>
  <c r="AE903" i="1" s="1"/>
  <c r="Z908" i="1"/>
  <c r="AM908" i="1" s="1"/>
  <c r="R919" i="1"/>
  <c r="AE919" i="1" s="1"/>
  <c r="W925" i="1"/>
  <c r="AJ925" i="1" s="1"/>
  <c r="Q931" i="1"/>
  <c r="AD931" i="1" s="1"/>
  <c r="P932" i="1"/>
  <c r="AC932" i="1" s="1"/>
  <c r="T933" i="1"/>
  <c r="AG933" i="1" s="1"/>
  <c r="T934" i="1"/>
  <c r="AG934" i="1" s="1"/>
  <c r="V935" i="1"/>
  <c r="AI935" i="1" s="1"/>
  <c r="Y936" i="1"/>
  <c r="AL936" i="1" s="1"/>
  <c r="X937" i="1"/>
  <c r="AK937" i="1" s="1"/>
  <c r="Q947" i="1"/>
  <c r="AD947" i="1" s="1"/>
  <c r="P948" i="1"/>
  <c r="AC948" i="1" s="1"/>
  <c r="T949" i="1"/>
  <c r="AG949" i="1" s="1"/>
  <c r="Q950" i="1"/>
  <c r="AD950" i="1" s="1"/>
  <c r="R951" i="1"/>
  <c r="AE951" i="1" s="1"/>
  <c r="P952" i="1"/>
  <c r="AC952" i="1" s="1"/>
  <c r="Q953" i="1"/>
  <c r="AD953" i="1" s="1"/>
  <c r="O954" i="1"/>
  <c r="AB954" i="1" s="1"/>
  <c r="V957" i="1"/>
  <c r="AI957" i="1" s="1"/>
  <c r="P958" i="1"/>
  <c r="AC958" i="1" s="1"/>
  <c r="W960" i="1"/>
  <c r="AJ960" i="1" s="1"/>
  <c r="Q961" i="1"/>
  <c r="AD961" i="1" s="1"/>
  <c r="X963" i="1"/>
  <c r="AK963" i="1" s="1"/>
  <c r="R964" i="1"/>
  <c r="AE964" i="1" s="1"/>
  <c r="Y966" i="1"/>
  <c r="AL966" i="1" s="1"/>
  <c r="R967" i="1"/>
  <c r="AE967" i="1" s="1"/>
  <c r="V969" i="1"/>
  <c r="AI969" i="1" s="1"/>
  <c r="O970" i="1"/>
  <c r="AB970" i="1" s="1"/>
  <c r="Y971" i="1"/>
  <c r="AL971" i="1" s="1"/>
  <c r="R972" i="1"/>
  <c r="AE972" i="1" s="1"/>
  <c r="U974" i="1"/>
  <c r="AH974" i="1" s="1"/>
  <c r="X976" i="1"/>
  <c r="AK976" i="1" s="1"/>
  <c r="Q977" i="1"/>
  <c r="AD977" i="1" s="1"/>
  <c r="Z978" i="1"/>
  <c r="AM978" i="1" s="1"/>
  <c r="R979" i="1"/>
  <c r="AE979" i="1" s="1"/>
  <c r="Z980" i="1"/>
  <c r="AM980" i="1" s="1"/>
  <c r="R981" i="1"/>
  <c r="AE981" i="1" s="1"/>
  <c r="Z982" i="1"/>
  <c r="AM982" i="1" s="1"/>
  <c r="R983" i="1"/>
  <c r="AE983" i="1" s="1"/>
  <c r="Z984" i="1"/>
  <c r="AM984" i="1" s="1"/>
  <c r="R985" i="1"/>
  <c r="AE985" i="1" s="1"/>
  <c r="Z986" i="1"/>
  <c r="AM986" i="1" s="1"/>
  <c r="R987" i="1"/>
  <c r="AE987" i="1" s="1"/>
  <c r="Z988" i="1"/>
  <c r="AM988" i="1" s="1"/>
  <c r="R989" i="1"/>
  <c r="AE989" i="1" s="1"/>
  <c r="Z990" i="1"/>
  <c r="AM990" i="1" s="1"/>
  <c r="R991" i="1"/>
  <c r="AE991" i="1" s="1"/>
  <c r="Z992" i="1"/>
  <c r="AM992" i="1" s="1"/>
  <c r="R993" i="1"/>
  <c r="AE993" i="1" s="1"/>
  <c r="Z994" i="1"/>
  <c r="AM994" i="1" s="1"/>
  <c r="R995" i="1"/>
  <c r="AE995" i="1" s="1"/>
  <c r="Z996" i="1"/>
  <c r="AM996" i="1" s="1"/>
  <c r="R997" i="1"/>
  <c r="AE997" i="1" s="1"/>
  <c r="Z998" i="1"/>
  <c r="AM998" i="1" s="1"/>
  <c r="R999" i="1"/>
  <c r="AE999" i="1" s="1"/>
  <c r="Z1000" i="1"/>
  <c r="AM1000" i="1" s="1"/>
  <c r="R1001" i="1"/>
  <c r="AE1001" i="1" s="1"/>
  <c r="Z1002" i="1"/>
  <c r="AM1002" i="1" s="1"/>
  <c r="R1003" i="1"/>
  <c r="AE1003" i="1" s="1"/>
  <c r="Z1004" i="1"/>
  <c r="AM1004" i="1" s="1"/>
  <c r="R1005" i="1"/>
  <c r="AE1005" i="1" s="1"/>
  <c r="Z1006" i="1"/>
  <c r="AM1006" i="1" s="1"/>
  <c r="R1007" i="1"/>
  <c r="AE1007" i="1" s="1"/>
  <c r="Z1008" i="1"/>
  <c r="AM1008" i="1" s="1"/>
  <c r="T997" i="1"/>
  <c r="AG997" i="1" s="1"/>
  <c r="Q855" i="1"/>
  <c r="AD855" i="1" s="1"/>
  <c r="Y882" i="1"/>
  <c r="AL882" i="1" s="1"/>
  <c r="Q893" i="1"/>
  <c r="AD893" i="1" s="1"/>
  <c r="Y898" i="1"/>
  <c r="AL898" i="1" s="1"/>
  <c r="Q909" i="1"/>
  <c r="AD909" i="1" s="1"/>
  <c r="Y914" i="1"/>
  <c r="AL914" i="1" s="1"/>
  <c r="O924" i="1"/>
  <c r="AB924" i="1" s="1"/>
  <c r="Y925" i="1"/>
  <c r="AL925" i="1" s="1"/>
  <c r="P929" i="1"/>
  <c r="AC929" i="1" s="1"/>
  <c r="O930" i="1"/>
  <c r="AB930" i="1" s="1"/>
  <c r="R931" i="1"/>
  <c r="AE931" i="1" s="1"/>
  <c r="Q932" i="1"/>
  <c r="AD932" i="1" s="1"/>
  <c r="U933" i="1"/>
  <c r="AH933" i="1" s="1"/>
  <c r="X934" i="1"/>
  <c r="AK934" i="1" s="1"/>
  <c r="W935" i="1"/>
  <c r="AJ935" i="1" s="1"/>
  <c r="Z936" i="1"/>
  <c r="AM936" i="1" s="1"/>
  <c r="Y937" i="1"/>
  <c r="AL937" i="1" s="1"/>
  <c r="P945" i="1"/>
  <c r="AC945" i="1" s="1"/>
  <c r="O946" i="1"/>
  <c r="AB946" i="1" s="1"/>
  <c r="R947" i="1"/>
  <c r="AE947" i="1" s="1"/>
  <c r="Q948" i="1"/>
  <c r="AD948" i="1" s="1"/>
  <c r="U949" i="1"/>
  <c r="AH949" i="1" s="1"/>
  <c r="T950" i="1"/>
  <c r="AG950" i="1" s="1"/>
  <c r="T951" i="1"/>
  <c r="AG951" i="1" s="1"/>
  <c r="Q952" i="1"/>
  <c r="AD952" i="1" s="1"/>
  <c r="R953" i="1"/>
  <c r="AE953" i="1" s="1"/>
  <c r="P954" i="1"/>
  <c r="AC954" i="1" s="1"/>
  <c r="W957" i="1"/>
  <c r="AJ957" i="1" s="1"/>
  <c r="Q958" i="1"/>
  <c r="AD958" i="1" s="1"/>
  <c r="X960" i="1"/>
  <c r="AK960" i="1" s="1"/>
  <c r="R961" i="1"/>
  <c r="AE961" i="1" s="1"/>
  <c r="Y963" i="1"/>
  <c r="AL963" i="1" s="1"/>
  <c r="S964" i="1"/>
  <c r="AF964" i="1" s="1"/>
  <c r="Z966" i="1"/>
  <c r="AM966" i="1" s="1"/>
  <c r="T967" i="1"/>
  <c r="AG967" i="1" s="1"/>
  <c r="W969" i="1"/>
  <c r="AJ969" i="1" s="1"/>
  <c r="P970" i="1"/>
  <c r="AC970" i="1" s="1"/>
  <c r="Z971" i="1"/>
  <c r="AM971" i="1" s="1"/>
  <c r="S972" i="1"/>
  <c r="AF972" i="1" s="1"/>
  <c r="V974" i="1"/>
  <c r="AI974" i="1" s="1"/>
  <c r="O975" i="1"/>
  <c r="AB975" i="1" s="1"/>
  <c r="Y976" i="1"/>
  <c r="AL976" i="1" s="1"/>
  <c r="R977" i="1"/>
  <c r="AE977" i="1" s="1"/>
  <c r="S979" i="1"/>
  <c r="AF979" i="1" s="1"/>
  <c r="S981" i="1"/>
  <c r="AF981" i="1" s="1"/>
  <c r="S983" i="1"/>
  <c r="AF983" i="1" s="1"/>
  <c r="S985" i="1"/>
  <c r="AF985" i="1" s="1"/>
  <c r="S987" i="1"/>
  <c r="AF987" i="1" s="1"/>
  <c r="S989" i="1"/>
  <c r="AF989" i="1" s="1"/>
  <c r="S991" i="1"/>
  <c r="AF991" i="1" s="1"/>
  <c r="S993" i="1"/>
  <c r="AF993" i="1" s="1"/>
  <c r="S995" i="1"/>
  <c r="AF995" i="1" s="1"/>
  <c r="S997" i="1"/>
  <c r="AF997" i="1" s="1"/>
  <c r="S999" i="1"/>
  <c r="AF999" i="1" s="1"/>
  <c r="S1001" i="1"/>
  <c r="AF1001" i="1" s="1"/>
  <c r="S1003" i="1"/>
  <c r="AF1003" i="1" s="1"/>
  <c r="S1005" i="1"/>
  <c r="AF1005" i="1" s="1"/>
  <c r="S1007" i="1"/>
  <c r="AF1007" i="1" s="1"/>
  <c r="T1005" i="1"/>
  <c r="AG1005" i="1" s="1"/>
  <c r="W933" i="1"/>
  <c r="AJ933" i="1" s="1"/>
  <c r="Q946" i="1"/>
  <c r="AD946" i="1" s="1"/>
  <c r="P955" i="1"/>
  <c r="AC955" i="1" s="1"/>
  <c r="U977" i="1"/>
  <c r="AH977" i="1" s="1"/>
  <c r="U981" i="1"/>
  <c r="AH981" i="1" s="1"/>
  <c r="R855" i="1"/>
  <c r="AE855" i="1" s="1"/>
  <c r="Z882" i="1"/>
  <c r="AM882" i="1" s="1"/>
  <c r="R893" i="1"/>
  <c r="AE893" i="1" s="1"/>
  <c r="Z898" i="1"/>
  <c r="AM898" i="1" s="1"/>
  <c r="R909" i="1"/>
  <c r="AE909" i="1" s="1"/>
  <c r="Z914" i="1"/>
  <c r="AM914" i="1" s="1"/>
  <c r="X924" i="1"/>
  <c r="AK924" i="1" s="1"/>
  <c r="Q929" i="1"/>
  <c r="AD929" i="1" s="1"/>
  <c r="P930" i="1"/>
  <c r="AC930" i="1" s="1"/>
  <c r="T931" i="1"/>
  <c r="AG931" i="1" s="1"/>
  <c r="T932" i="1"/>
  <c r="AG932" i="1" s="1"/>
  <c r="V933" i="1"/>
  <c r="AI933" i="1" s="1"/>
  <c r="Y934" i="1"/>
  <c r="AL934" i="1" s="1"/>
  <c r="X935" i="1"/>
  <c r="AK935" i="1" s="1"/>
  <c r="Q945" i="1"/>
  <c r="AD945" i="1" s="1"/>
  <c r="P946" i="1"/>
  <c r="AC946" i="1" s="1"/>
  <c r="T947" i="1"/>
  <c r="AG947" i="1" s="1"/>
  <c r="T948" i="1"/>
  <c r="AG948" i="1" s="1"/>
  <c r="V949" i="1"/>
  <c r="AI949" i="1" s="1"/>
  <c r="W950" i="1"/>
  <c r="AJ950" i="1" s="1"/>
  <c r="U951" i="1"/>
  <c r="AH951" i="1" s="1"/>
  <c r="T952" i="1"/>
  <c r="AG952" i="1" s="1"/>
  <c r="T953" i="1"/>
  <c r="AG953" i="1" s="1"/>
  <c r="Q954" i="1"/>
  <c r="AD954" i="1" s="1"/>
  <c r="O955" i="1"/>
  <c r="AB955" i="1" s="1"/>
  <c r="X957" i="1"/>
  <c r="AK957" i="1" s="1"/>
  <c r="R958" i="1"/>
  <c r="AE958" i="1" s="1"/>
  <c r="Y960" i="1"/>
  <c r="AL960" i="1" s="1"/>
  <c r="T961" i="1"/>
  <c r="AG961" i="1" s="1"/>
  <c r="Z963" i="1"/>
  <c r="AM963" i="1" s="1"/>
  <c r="T964" i="1"/>
  <c r="AG964" i="1" s="1"/>
  <c r="O965" i="1"/>
  <c r="AB965" i="1" s="1"/>
  <c r="U967" i="1"/>
  <c r="AH967" i="1" s="1"/>
  <c r="X969" i="1"/>
  <c r="AK969" i="1" s="1"/>
  <c r="Q970" i="1"/>
  <c r="AD970" i="1" s="1"/>
  <c r="T972" i="1"/>
  <c r="AG972" i="1" s="1"/>
  <c r="W974" i="1"/>
  <c r="AJ974" i="1" s="1"/>
  <c r="P975" i="1"/>
  <c r="AC975" i="1" s="1"/>
  <c r="Z976" i="1"/>
  <c r="AM976" i="1" s="1"/>
  <c r="T977" i="1"/>
  <c r="AG977" i="1" s="1"/>
  <c r="T979" i="1"/>
  <c r="AG979" i="1" s="1"/>
  <c r="T981" i="1"/>
  <c r="AG981" i="1" s="1"/>
  <c r="T983" i="1"/>
  <c r="AG983" i="1" s="1"/>
  <c r="T985" i="1"/>
  <c r="AG985" i="1" s="1"/>
  <c r="T987" i="1"/>
  <c r="AG987" i="1" s="1"/>
  <c r="T989" i="1"/>
  <c r="AG989" i="1" s="1"/>
  <c r="T991" i="1"/>
  <c r="AG991" i="1" s="1"/>
  <c r="T993" i="1"/>
  <c r="AG993" i="1" s="1"/>
  <c r="T995" i="1"/>
  <c r="AG995" i="1" s="1"/>
  <c r="T999" i="1"/>
  <c r="AG999" i="1" s="1"/>
  <c r="T1001" i="1"/>
  <c r="AG1001" i="1" s="1"/>
  <c r="X948" i="1"/>
  <c r="AK948" i="1" s="1"/>
  <c r="Z960" i="1"/>
  <c r="AM960" i="1" s="1"/>
  <c r="U985" i="1"/>
  <c r="AH985" i="1" s="1"/>
  <c r="Q883" i="1"/>
  <c r="AD883" i="1" s="1"/>
  <c r="T930" i="1"/>
  <c r="AG930" i="1" s="1"/>
  <c r="T946" i="1"/>
  <c r="AG946" i="1" s="1"/>
  <c r="V972" i="1"/>
  <c r="AI972" i="1" s="1"/>
  <c r="V983" i="1"/>
  <c r="AI983" i="1" s="1"/>
  <c r="V995" i="1"/>
  <c r="AI995" i="1" s="1"/>
  <c r="U1001" i="1"/>
  <c r="AH1001" i="1" s="1"/>
  <c r="U997" i="1"/>
  <c r="AH997" i="1" s="1"/>
  <c r="U999" i="1"/>
  <c r="AH999" i="1" s="1"/>
  <c r="T945" i="1"/>
  <c r="AG945" i="1" s="1"/>
  <c r="R883" i="1"/>
  <c r="AE883" i="1" s="1"/>
  <c r="V931" i="1"/>
  <c r="AI931" i="1" s="1"/>
  <c r="V947" i="1"/>
  <c r="AI947" i="1" s="1"/>
  <c r="V961" i="1"/>
  <c r="AI961" i="1" s="1"/>
  <c r="O973" i="1"/>
  <c r="AB973" i="1" s="1"/>
  <c r="S970" i="1"/>
  <c r="AF970" i="1" s="1"/>
  <c r="Z888" i="1"/>
  <c r="AM888" i="1" s="1"/>
  <c r="Y932" i="1"/>
  <c r="AL932" i="1" s="1"/>
  <c r="Y948" i="1"/>
  <c r="AL948" i="1" s="1"/>
  <c r="P962" i="1"/>
  <c r="AC962" i="1" s="1"/>
  <c r="V1001" i="1"/>
  <c r="AI1001" i="1" s="1"/>
  <c r="U1003" i="1"/>
  <c r="AH1003" i="1" s="1"/>
  <c r="O959" i="1"/>
  <c r="AB959" i="1" s="1"/>
  <c r="X933" i="1"/>
  <c r="AK933" i="1" s="1"/>
  <c r="X949" i="1"/>
  <c r="AK949" i="1" s="1"/>
  <c r="Y974" i="1"/>
  <c r="AL974" i="1" s="1"/>
  <c r="V985" i="1"/>
  <c r="AI985" i="1" s="1"/>
  <c r="U991" i="1"/>
  <c r="AH991" i="1" s="1"/>
  <c r="U1007" i="1"/>
  <c r="AH1007" i="1" s="1"/>
  <c r="V1005" i="1"/>
  <c r="AI1005" i="1" s="1"/>
  <c r="U995" i="1"/>
  <c r="AH995" i="1" s="1"/>
  <c r="Y950" i="1"/>
  <c r="AL950" i="1" s="1"/>
  <c r="R975" i="1"/>
  <c r="AE975" i="1" s="1"/>
  <c r="V991" i="1"/>
  <c r="AI991" i="1" s="1"/>
  <c r="V1007" i="1"/>
  <c r="AI1007" i="1" s="1"/>
  <c r="V981" i="1"/>
  <c r="AI981" i="1" s="1"/>
  <c r="T929" i="1"/>
  <c r="AG929" i="1" s="1"/>
  <c r="R899" i="1"/>
  <c r="AE899" i="1" s="1"/>
  <c r="W951" i="1"/>
  <c r="AJ951" i="1" s="1"/>
  <c r="W964" i="1"/>
  <c r="AJ964" i="1" s="1"/>
  <c r="Y904" i="1"/>
  <c r="AL904" i="1" s="1"/>
  <c r="X952" i="1"/>
  <c r="AK952" i="1" s="1"/>
  <c r="Q965" i="1"/>
  <c r="AD965" i="1" s="1"/>
  <c r="V997" i="1"/>
  <c r="AI997" i="1" s="1"/>
  <c r="V989" i="1"/>
  <c r="AI989" i="1" s="1"/>
  <c r="Z904" i="1"/>
  <c r="AM904" i="1" s="1"/>
  <c r="V953" i="1"/>
  <c r="AI953" i="1" s="1"/>
  <c r="V977" i="1"/>
  <c r="AI977" i="1" s="1"/>
  <c r="U987" i="1"/>
  <c r="AH987" i="1" s="1"/>
  <c r="T954" i="1"/>
  <c r="AG954" i="1" s="1"/>
  <c r="V987" i="1"/>
  <c r="AI987" i="1" s="1"/>
  <c r="V1003" i="1"/>
  <c r="AI1003" i="1" s="1"/>
  <c r="U989" i="1"/>
  <c r="AH989" i="1" s="1"/>
  <c r="R915" i="1"/>
  <c r="AE915" i="1" s="1"/>
  <c r="Q955" i="1"/>
  <c r="AD955" i="1" s="1"/>
  <c r="W967" i="1"/>
  <c r="AJ967" i="1" s="1"/>
  <c r="U993" i="1"/>
  <c r="AH993" i="1" s="1"/>
  <c r="V999" i="1"/>
  <c r="AI999" i="1" s="1"/>
  <c r="O928" i="1"/>
  <c r="AB928" i="1" s="1"/>
  <c r="Z920" i="1"/>
  <c r="AM920" i="1" s="1"/>
  <c r="P968" i="1"/>
  <c r="AC968" i="1" s="1"/>
  <c r="V979" i="1"/>
  <c r="AI979" i="1" s="1"/>
  <c r="V993" i="1"/>
  <c r="AI993" i="1" s="1"/>
  <c r="P944" i="1"/>
  <c r="AC944" i="1" s="1"/>
  <c r="Z924" i="1"/>
  <c r="AM924" i="1" s="1"/>
  <c r="U1005" i="1"/>
  <c r="AH1005" i="1" s="1"/>
  <c r="V856" i="1"/>
  <c r="AI856" i="1" s="1"/>
  <c r="Z957" i="1"/>
  <c r="AM957" i="1" s="1"/>
  <c r="Z969" i="1"/>
  <c r="AM969" i="1" s="1"/>
  <c r="Q943" i="1"/>
  <c r="AD943" i="1" s="1"/>
  <c r="T958" i="1"/>
  <c r="AG958" i="1" s="1"/>
  <c r="B7" i="2"/>
  <c r="C7" i="2"/>
  <c r="B8" i="2" l="1"/>
  <c r="C8" i="2"/>
  <c r="D6" i="2" a="1"/>
  <c r="D6" i="2" s="1"/>
  <c r="D4" i="2" a="1"/>
  <c r="D4" i="2" s="1"/>
  <c r="D5" i="2" a="1"/>
  <c r="D5" i="2" s="1"/>
  <c r="D8" i="2" a="1"/>
  <c r="D8" i="2" s="1"/>
  <c r="D7" i="2" a="1"/>
  <c r="D7" i="2" s="1"/>
  <c r="C9" i="2" l="1"/>
  <c r="B9" i="2"/>
  <c r="D9" i="2" s="1" a="1"/>
  <c r="D9" i="2" s="1"/>
  <c r="B10" i="2" l="1"/>
  <c r="D10" i="2" s="1" a="1"/>
  <c r="D10" i="2" s="1"/>
  <c r="C10" i="2"/>
  <c r="B11" i="2" l="1"/>
  <c r="D11" i="2" s="1" a="1"/>
  <c r="D11" i="2" s="1"/>
  <c r="C11" i="2"/>
  <c r="C12" i="2" l="1"/>
  <c r="B12" i="2"/>
  <c r="D12" i="2" s="1" a="1"/>
  <c r="D12" i="2" s="1"/>
  <c r="B13" i="2" l="1"/>
  <c r="D13" i="2" s="1" a="1"/>
  <c r="D13" i="2" s="1"/>
  <c r="C13" i="2"/>
  <c r="B14" i="2" l="1"/>
  <c r="D14" i="2" s="1" a="1"/>
  <c r="D14" i="2" s="1"/>
  <c r="C14" i="2"/>
  <c r="B15" i="2" l="1"/>
  <c r="D15" i="2" s="1" a="1"/>
  <c r="D15" i="2" s="1"/>
  <c r="C15" i="2"/>
  <c r="B16" i="2" l="1"/>
  <c r="D16" i="2" s="1" a="1"/>
  <c r="D16" i="2" s="1"/>
  <c r="C16" i="2"/>
  <c r="C17" i="2" l="1"/>
  <c r="B17" i="2"/>
  <c r="D17" i="2" s="1" a="1"/>
  <c r="D17" i="2" s="1"/>
  <c r="B18" i="2" l="1"/>
  <c r="D18" i="2" s="1" a="1"/>
  <c r="D18" i="2" s="1"/>
  <c r="C18" i="2"/>
  <c r="B19" i="2" l="1"/>
  <c r="D19" i="2" s="1" a="1"/>
  <c r="D19" i="2" s="1"/>
  <c r="C19" i="2"/>
  <c r="C20" i="2" l="1"/>
  <c r="B20" i="2"/>
  <c r="D20" i="2" s="1" a="1"/>
  <c r="D20" i="2" s="1"/>
  <c r="B21" i="2" l="1"/>
  <c r="D21" i="2" s="1" a="1"/>
  <c r="D21" i="2" s="1"/>
  <c r="C21" i="2"/>
  <c r="B22" i="2" l="1"/>
  <c r="D22" i="2" s="1" a="1"/>
  <c r="D22" i="2" s="1"/>
  <c r="C22" i="2"/>
  <c r="B23" i="2" l="1"/>
  <c r="D23" i="2" s="1" a="1"/>
  <c r="D23" i="2" s="1"/>
  <c r="C23" i="2"/>
  <c r="B24" i="2" l="1"/>
  <c r="D24" i="2" s="1" a="1"/>
  <c r="D24" i="2" s="1"/>
  <c r="D25" i="2" s="1"/>
  <c r="C24" i="2"/>
</calcChain>
</file>

<file path=xl/sharedStrings.xml><?xml version="1.0" encoding="utf-8"?>
<sst xmlns="http://schemas.openxmlformats.org/spreadsheetml/2006/main" count="21" uniqueCount="21">
  <si>
    <t>no. of observations</t>
  </si>
  <si>
    <t>sum of weights</t>
  </si>
  <si>
    <t>cum wt</t>
  </si>
  <si>
    <t>wt</t>
  </si>
  <si>
    <t>Monthly Returns</t>
  </si>
  <si>
    <t>Date</t>
  </si>
  <si>
    <t>CASH</t>
  </si>
  <si>
    <t>GOV 1-3</t>
  </si>
  <si>
    <t>GOVT</t>
  </si>
  <si>
    <t>AGG</t>
  </si>
  <si>
    <t>EQ</t>
  </si>
  <si>
    <t>HFOF</t>
  </si>
  <si>
    <t>monthly decay factor</t>
  </si>
  <si>
    <t>half-life, months</t>
  </si>
  <si>
    <t>=U(0,1) * sum_of_weights</t>
  </si>
  <si>
    <t>look-up number</t>
  </si>
  <si>
    <t>From</t>
  </si>
  <si>
    <t>To</t>
  </si>
  <si>
    <t>Freq</t>
  </si>
  <si>
    <t>Note that the most recent observation occurs first</t>
  </si>
  <si>
    <t>(add 1 for no. of observations)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</si>
</sst>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.0000"/>
    <numFmt numFmtId="166" formatCode="0.0"/>
  </numFmts>
  <fonts count="13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0"/>
      <name val="Source Sans CAIM"/>
    </font>
    <font>
      <sz val="10"/>
      <color theme="1"/>
      <name val="Source Sans CAIM"/>
    </font>
    <font>
      <b/>
      <sz val="9"/>
      <color theme="1"/>
      <name val="Source Sans CAIM"/>
    </font>
    <font>
      <sz val="11"/>
      <color theme="1"/>
      <name val="Source Sans CAIM"/>
    </font>
    <font>
      <i/>
      <sz val="10"/>
      <color theme="1"/>
      <name val="Source Sans CAIM"/>
    </font>
    <font>
      <b/>
      <sz val="11"/>
      <color theme="1"/>
      <name val="Source Sans CAIM"/>
    </font>
    <font>
      <b/>
      <sz val="10"/>
      <color theme="0"/>
      <name val="Source Sans CAIM"/>
    </font>
    <font>
      <sz val="11"/>
      <color theme="0"/>
      <name val="Source Sans CAIM"/>
    </font>
    <font>
      <b/>
      <i/>
      <sz val="10"/>
      <color theme="5"/>
      <name val="Source Sans CAIM"/>
    </font>
    <font>
      <sz val="11"/>
      <color theme="0" tint="-0.499984740745262"/>
      <name val="Source Sans CAIM"/>
    </font>
    <font>
      <i/>
      <sz val="11"/>
      <color theme="5"/>
      <name val="Source Sans CAIM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89999084444715716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5" borderId="0" xfId="0" applyFont="1" applyFill="1" applyAlignment="1">
      <alignment horizontal="center"/>
    </xf>
    <xf numFmtId="0" fontId="3" fillId="0" borderId="0" xfId="0" applyFont="1"/>
    <xf numFmtId="0" fontId="3" fillId="7" borderId="0" xfId="0" applyFont="1" applyFill="1" applyAlignment="1">
      <alignment horizontal="center"/>
    </xf>
    <xf numFmtId="3" fontId="4" fillId="7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3" fontId="3" fillId="7" borderId="0" xfId="0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2" fillId="3" borderId="0" xfId="0" applyFont="1" applyFill="1"/>
    <xf numFmtId="166" fontId="3" fillId="0" borderId="0" xfId="0" applyNumberFormat="1" applyFont="1"/>
    <xf numFmtId="0" fontId="6" fillId="0" borderId="0" xfId="0" applyFont="1"/>
    <xf numFmtId="164" fontId="7" fillId="0" borderId="0" xfId="0" applyNumberFormat="1" applyFont="1" applyAlignment="1">
      <alignment horizontal="left"/>
    </xf>
    <xf numFmtId="1" fontId="5" fillId="0" borderId="0" xfId="0" applyNumberFormat="1" applyFont="1" applyAlignment="1">
      <alignment horizontal="center"/>
    </xf>
    <xf numFmtId="2" fontId="3" fillId="0" borderId="0" xfId="0" applyNumberFormat="1" applyFont="1"/>
    <xf numFmtId="165" fontId="5" fillId="0" borderId="0" xfId="0" applyNumberFormat="1" applyFont="1" applyAlignment="1">
      <alignment horizontal="left"/>
    </xf>
    <xf numFmtId="0" fontId="2" fillId="4" borderId="0" xfId="0" applyFont="1" applyFill="1"/>
    <xf numFmtId="0" fontId="8" fillId="4" borderId="0" xfId="0" applyFont="1" applyFill="1" applyAlignment="1">
      <alignment horizontal="right"/>
    </xf>
    <xf numFmtId="0" fontId="7" fillId="0" borderId="0" xfId="0" quotePrefix="1" applyFont="1" applyAlignment="1">
      <alignment horizontal="left"/>
    </xf>
    <xf numFmtId="0" fontId="7" fillId="0" borderId="0" xfId="0" applyFont="1" applyAlignment="1">
      <alignment horizontal="left"/>
    </xf>
    <xf numFmtId="164" fontId="9" fillId="5" borderId="0" xfId="0" applyNumberFormat="1" applyFont="1" applyFill="1" applyAlignment="1">
      <alignment horizontal="center"/>
    </xf>
    <xf numFmtId="165" fontId="9" fillId="5" borderId="0" xfId="0" applyNumberFormat="1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3" fillId="6" borderId="0" xfId="0" applyFont="1" applyFill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7" fontId="5" fillId="7" borderId="0" xfId="0" applyNumberFormat="1" applyFont="1" applyFill="1" applyAlignment="1">
      <alignment horizontal="center"/>
    </xf>
    <xf numFmtId="10" fontId="5" fillId="7" borderId="0" xfId="1" applyNumberFormat="1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spPr>
            <a:ln>
              <a:solidFill>
                <a:schemeClr val="accent2"/>
              </a:solidFill>
            </a:ln>
          </c:spPr>
          <c:marker>
            <c:symbol val="none"/>
          </c:marker>
          <c:xVal>
            <c:numRef>
              <c:f>Bootstrap!$J$9:$J$218</c:f>
              <c:numCache>
                <c:formatCode>General</c:formatCode>
                <c:ptCount val="2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</c:numCache>
            </c:numRef>
          </c:xVal>
          <c:yVal>
            <c:numRef>
              <c:f>Bootstrap!$K$9:$K$218</c:f>
              <c:numCache>
                <c:formatCode>General</c:formatCode>
                <c:ptCount val="210"/>
                <c:pt idx="0">
                  <c:v>1</c:v>
                </c:pt>
                <c:pt idx="1">
                  <c:v>0.97</c:v>
                </c:pt>
                <c:pt idx="2">
                  <c:v>0.94089999999999996</c:v>
                </c:pt>
                <c:pt idx="3">
                  <c:v>0.91267299999999996</c:v>
                </c:pt>
                <c:pt idx="4">
                  <c:v>0.88529280999999993</c:v>
                </c:pt>
                <c:pt idx="5">
                  <c:v>0.8587340256999999</c:v>
                </c:pt>
                <c:pt idx="6">
                  <c:v>0.83297200492899992</c:v>
                </c:pt>
                <c:pt idx="7">
                  <c:v>0.80798284478112992</c:v>
                </c:pt>
                <c:pt idx="8">
                  <c:v>0.78374335943769602</c:v>
                </c:pt>
                <c:pt idx="9">
                  <c:v>0.76023105865456508</c:v>
                </c:pt>
                <c:pt idx="10">
                  <c:v>0.73742412689492809</c:v>
                </c:pt>
                <c:pt idx="11">
                  <c:v>0.71530140308808021</c:v>
                </c:pt>
                <c:pt idx="12">
                  <c:v>0.69384236099543783</c:v>
                </c:pt>
                <c:pt idx="13">
                  <c:v>0.67302709016557472</c:v>
                </c:pt>
                <c:pt idx="14">
                  <c:v>0.65283627746060746</c:v>
                </c:pt>
                <c:pt idx="15">
                  <c:v>0.63325118913678924</c:v>
                </c:pt>
                <c:pt idx="16">
                  <c:v>0.61425365346268557</c:v>
                </c:pt>
                <c:pt idx="17">
                  <c:v>0.595826043858805</c:v>
                </c:pt>
                <c:pt idx="18">
                  <c:v>0.57795126254304086</c:v>
                </c:pt>
                <c:pt idx="19">
                  <c:v>0.56061272466674961</c:v>
                </c:pt>
                <c:pt idx="20">
                  <c:v>0.54379434292674711</c:v>
                </c:pt>
                <c:pt idx="21">
                  <c:v>0.52748051263894469</c:v>
                </c:pt>
                <c:pt idx="22">
                  <c:v>0.51165609725977634</c:v>
                </c:pt>
                <c:pt idx="23">
                  <c:v>0.49630641434198303</c:v>
                </c:pt>
                <c:pt idx="24">
                  <c:v>0.48141722191172354</c:v>
                </c:pt>
                <c:pt idx="25">
                  <c:v>0.46697470525437179</c:v>
                </c:pt>
                <c:pt idx="26">
                  <c:v>0.4529654640967406</c:v>
                </c:pt>
                <c:pt idx="27">
                  <c:v>0.43937650017383839</c:v>
                </c:pt>
                <c:pt idx="28">
                  <c:v>0.42619520516862325</c:v>
                </c:pt>
                <c:pt idx="29">
                  <c:v>0.41340934901356452</c:v>
                </c:pt>
                <c:pt idx="30">
                  <c:v>0.4010070685431576</c:v>
                </c:pt>
                <c:pt idx="31">
                  <c:v>0.38897685648686287</c:v>
                </c:pt>
                <c:pt idx="32">
                  <c:v>0.37730755079225697</c:v>
                </c:pt>
                <c:pt idx="33">
                  <c:v>0.36598832426848926</c:v>
                </c:pt>
                <c:pt idx="34">
                  <c:v>0.35500867454043455</c:v>
                </c:pt>
                <c:pt idx="35">
                  <c:v>0.34435841430422148</c:v>
                </c:pt>
                <c:pt idx="36">
                  <c:v>0.33402766187509481</c:v>
                </c:pt>
                <c:pt idx="37">
                  <c:v>0.32400683201884195</c:v>
                </c:pt>
                <c:pt idx="38">
                  <c:v>0.3142866270582767</c:v>
                </c:pt>
                <c:pt idx="39">
                  <c:v>0.30485802824652841</c:v>
                </c:pt>
                <c:pt idx="40">
                  <c:v>0.29571228739913258</c:v>
                </c:pt>
                <c:pt idx="41">
                  <c:v>0.28684091877715862</c:v>
                </c:pt>
                <c:pt idx="42">
                  <c:v>0.27823569121384384</c:v>
                </c:pt>
                <c:pt idx="43">
                  <c:v>0.26988862047742851</c:v>
                </c:pt>
                <c:pt idx="44">
                  <c:v>0.26179196186310566</c:v>
                </c:pt>
                <c:pt idx="45">
                  <c:v>0.25393820300721248</c:v>
                </c:pt>
                <c:pt idx="46">
                  <c:v>0.2463200569169961</c:v>
                </c:pt>
                <c:pt idx="47">
                  <c:v>0.23893045520948622</c:v>
                </c:pt>
                <c:pt idx="48">
                  <c:v>0.23176254155320164</c:v>
                </c:pt>
                <c:pt idx="49">
                  <c:v>0.22480966530660559</c:v>
                </c:pt>
                <c:pt idx="50">
                  <c:v>0.21806537534740741</c:v>
                </c:pt>
                <c:pt idx="51">
                  <c:v>0.21152341408698519</c:v>
                </c:pt>
                <c:pt idx="52">
                  <c:v>0.20517771166437562</c:v>
                </c:pt>
                <c:pt idx="53">
                  <c:v>0.19902238031444436</c:v>
                </c:pt>
                <c:pt idx="54">
                  <c:v>0.19305170890501103</c:v>
                </c:pt>
                <c:pt idx="55">
                  <c:v>0.18726015763786069</c:v>
                </c:pt>
                <c:pt idx="56">
                  <c:v>0.18164235290872485</c:v>
                </c:pt>
                <c:pt idx="57">
                  <c:v>0.17619308232146311</c:v>
                </c:pt>
                <c:pt idx="58">
                  <c:v>0.17090728985181922</c:v>
                </c:pt>
                <c:pt idx="59">
                  <c:v>0.16578007115626464</c:v>
                </c:pt>
                <c:pt idx="60">
                  <c:v>0.1608066690215767</c:v>
                </c:pt>
                <c:pt idx="61">
                  <c:v>0.1559824689509294</c:v>
                </c:pt>
                <c:pt idx="62">
                  <c:v>0.15130299488240151</c:v>
                </c:pt>
                <c:pt idx="63">
                  <c:v>0.14676390503592945</c:v>
                </c:pt>
                <c:pt idx="64">
                  <c:v>0.14236098788485158</c:v>
                </c:pt>
                <c:pt idx="65">
                  <c:v>0.13809015824830603</c:v>
                </c:pt>
                <c:pt idx="66">
                  <c:v>0.13394745350085685</c:v>
                </c:pt>
                <c:pt idx="67">
                  <c:v>0.12992902989583113</c:v>
                </c:pt>
                <c:pt idx="68">
                  <c:v>0.1260311589989562</c:v>
                </c:pt>
                <c:pt idx="69">
                  <c:v>0.12225022422898751</c:v>
                </c:pt>
                <c:pt idx="70">
                  <c:v>0.11858271750211788</c:v>
                </c:pt>
                <c:pt idx="71">
                  <c:v>0.11502523597705434</c:v>
                </c:pt>
                <c:pt idx="72">
                  <c:v>0.1115744788977427</c:v>
                </c:pt>
                <c:pt idx="73">
                  <c:v>0.10822724453081042</c:v>
                </c:pt>
                <c:pt idx="74">
                  <c:v>0.10498042719488611</c:v>
                </c:pt>
                <c:pt idx="75">
                  <c:v>0.10183101437903952</c:v>
                </c:pt>
                <c:pt idx="76">
                  <c:v>9.8776083947668333E-2</c:v>
                </c:pt>
                <c:pt idx="77">
                  <c:v>9.5812801429238287E-2</c:v>
                </c:pt>
                <c:pt idx="78">
                  <c:v>9.2938417386361133E-2</c:v>
                </c:pt>
                <c:pt idx="79">
                  <c:v>9.0150264864770291E-2</c:v>
                </c:pt>
                <c:pt idx="80">
                  <c:v>8.744575691882718E-2</c:v>
                </c:pt>
                <c:pt idx="81">
                  <c:v>8.4822384211262369E-2</c:v>
                </c:pt>
                <c:pt idx="82">
                  <c:v>8.2277712684924495E-2</c:v>
                </c:pt>
                <c:pt idx="83">
                  <c:v>7.9809381304376759E-2</c:v>
                </c:pt>
                <c:pt idx="84">
                  <c:v>7.741509986524546E-2</c:v>
                </c:pt>
                <c:pt idx="85">
                  <c:v>7.5092646869288099E-2</c:v>
                </c:pt>
                <c:pt idx="86">
                  <c:v>7.2839867463209459E-2</c:v>
                </c:pt>
                <c:pt idx="87">
                  <c:v>7.0654671439313171E-2</c:v>
                </c:pt>
                <c:pt idx="88">
                  <c:v>6.853503129613378E-2</c:v>
                </c:pt>
                <c:pt idx="89">
                  <c:v>6.6478980357249765E-2</c:v>
                </c:pt>
                <c:pt idx="90">
                  <c:v>6.4484610946532267E-2</c:v>
                </c:pt>
                <c:pt idx="91">
                  <c:v>6.255007261813629E-2</c:v>
                </c:pt>
                <c:pt idx="92">
                  <c:v>6.0673570439592199E-2</c:v>
                </c:pt>
                <c:pt idx="93">
                  <c:v>5.885336332640443E-2</c:v>
                </c:pt>
                <c:pt idx="94">
                  <c:v>5.7087762426612294E-2</c:v>
                </c:pt>
                <c:pt idx="95">
                  <c:v>5.5375129553813927E-2</c:v>
                </c:pt>
                <c:pt idx="96">
                  <c:v>5.3713875667199505E-2</c:v>
                </c:pt>
                <c:pt idx="97">
                  <c:v>5.2102459397183519E-2</c:v>
                </c:pt>
                <c:pt idx="98">
                  <c:v>5.0539385615268009E-2</c:v>
                </c:pt>
                <c:pt idx="99">
                  <c:v>4.9023204046809966E-2</c:v>
                </c:pt>
                <c:pt idx="100">
                  <c:v>4.755250792540567E-2</c:v>
                </c:pt>
                <c:pt idx="101">
                  <c:v>4.6125932687643499E-2</c:v>
                </c:pt>
                <c:pt idx="102">
                  <c:v>4.474215470701419E-2</c:v>
                </c:pt>
                <c:pt idx="103">
                  <c:v>4.3399890065803762E-2</c:v>
                </c:pt>
                <c:pt idx="104">
                  <c:v>4.2097893363829644E-2</c:v>
                </c:pt>
                <c:pt idx="105">
                  <c:v>4.0834956562914755E-2</c:v>
                </c:pt>
                <c:pt idx="106">
                  <c:v>3.9609907866027312E-2</c:v>
                </c:pt>
                <c:pt idx="107">
                  <c:v>3.8421610630046489E-2</c:v>
                </c:pt>
                <c:pt idx="108">
                  <c:v>3.7268962311145092E-2</c:v>
                </c:pt>
                <c:pt idx="109">
                  <c:v>3.6150893441810737E-2</c:v>
                </c:pt>
                <c:pt idx="110">
                  <c:v>3.5066366638556411E-2</c:v>
                </c:pt>
                <c:pt idx="111">
                  <c:v>3.401437563939972E-2</c:v>
                </c:pt>
                <c:pt idx="112">
                  <c:v>3.2993944370217729E-2</c:v>
                </c:pt>
                <c:pt idx="113">
                  <c:v>3.2004126039111194E-2</c:v>
                </c:pt>
                <c:pt idx="114">
                  <c:v>3.1044002257937856E-2</c:v>
                </c:pt>
                <c:pt idx="115">
                  <c:v>3.0112682190199719E-2</c:v>
                </c:pt>
                <c:pt idx="116">
                  <c:v>2.9209301724493725E-2</c:v>
                </c:pt>
                <c:pt idx="117">
                  <c:v>2.8333022672758914E-2</c:v>
                </c:pt>
                <c:pt idx="118">
                  <c:v>2.7483031992576144E-2</c:v>
                </c:pt>
                <c:pt idx="119">
                  <c:v>2.6658541032798858E-2</c:v>
                </c:pt>
                <c:pt idx="120">
                  <c:v>2.5858784801814892E-2</c:v>
                </c:pt>
                <c:pt idx="121">
                  <c:v>2.5083021257760445E-2</c:v>
                </c:pt>
                <c:pt idx="122">
                  <c:v>2.4330530620027633E-2</c:v>
                </c:pt>
                <c:pt idx="123">
                  <c:v>2.3600614701426804E-2</c:v>
                </c:pt>
                <c:pt idx="124">
                  <c:v>2.2892596260384E-2</c:v>
                </c:pt>
                <c:pt idx="125">
                  <c:v>2.2205818372572479E-2</c:v>
                </c:pt>
                <c:pt idx="126">
                  <c:v>2.1539643821395303E-2</c:v>
                </c:pt>
                <c:pt idx="127">
                  <c:v>2.0893454506753444E-2</c:v>
                </c:pt>
                <c:pt idx="128">
                  <c:v>2.0266650871550839E-2</c:v>
                </c:pt>
                <c:pt idx="129">
                  <c:v>1.9658651345404312E-2</c:v>
                </c:pt>
                <c:pt idx="130">
                  <c:v>1.9068891805042183E-2</c:v>
                </c:pt>
                <c:pt idx="131">
                  <c:v>1.8496825050890918E-2</c:v>
                </c:pt>
                <c:pt idx="132">
                  <c:v>1.794192029936419E-2</c:v>
                </c:pt>
                <c:pt idx="133">
                  <c:v>1.7403662690383265E-2</c:v>
                </c:pt>
                <c:pt idx="134">
                  <c:v>1.6881552809671765E-2</c:v>
                </c:pt>
                <c:pt idx="135">
                  <c:v>1.6375106225381613E-2</c:v>
                </c:pt>
                <c:pt idx="136">
                  <c:v>1.5883853038620166E-2</c:v>
                </c:pt>
                <c:pt idx="137">
                  <c:v>1.5407337447461561E-2</c:v>
                </c:pt>
                <c:pt idx="138">
                  <c:v>1.4945117324037714E-2</c:v>
                </c:pt>
                <c:pt idx="139">
                  <c:v>1.4496763804316583E-2</c:v>
                </c:pt>
                <c:pt idx="140">
                  <c:v>1.4061860890187084E-2</c:v>
                </c:pt>
                <c:pt idx="141">
                  <c:v>1.3640005063481472E-2</c:v>
                </c:pt>
                <c:pt idx="142">
                  <c:v>1.3230804911577028E-2</c:v>
                </c:pt>
                <c:pt idx="143">
                  <c:v>1.2833880764229717E-2</c:v>
                </c:pt>
                <c:pt idx="144">
                  <c:v>1.2448864341302825E-2</c:v>
                </c:pt>
                <c:pt idx="145">
                  <c:v>1.207539841106374E-2</c:v>
                </c:pt>
                <c:pt idx="146">
                  <c:v>1.1713136458731828E-2</c:v>
                </c:pt>
                <c:pt idx="147">
                  <c:v>1.1361742364969873E-2</c:v>
                </c:pt>
                <c:pt idx="148">
                  <c:v>1.1020890094020776E-2</c:v>
                </c:pt>
                <c:pt idx="149">
                  <c:v>1.0690263391200152E-2</c:v>
                </c:pt>
                <c:pt idx="150">
                  <c:v>1.0369555489464147E-2</c:v>
                </c:pt>
                <c:pt idx="151">
                  <c:v>1.0058468824780223E-2</c:v>
                </c:pt>
                <c:pt idx="152">
                  <c:v>9.7567147600368161E-3</c:v>
                </c:pt>
                <c:pt idx="153">
                  <c:v>9.4640133172357119E-3</c:v>
                </c:pt>
                <c:pt idx="154">
                  <c:v>9.1800929177186397E-3</c:v>
                </c:pt>
                <c:pt idx="155">
                  <c:v>8.9046901301870797E-3</c:v>
                </c:pt>
                <c:pt idx="156">
                  <c:v>8.6375494262814663E-3</c:v>
                </c:pt>
                <c:pt idx="157">
                  <c:v>8.3784229434930215E-3</c:v>
                </c:pt>
                <c:pt idx="158">
                  <c:v>8.12707025518823E-3</c:v>
                </c:pt>
                <c:pt idx="159">
                  <c:v>7.8832581475325823E-3</c:v>
                </c:pt>
                <c:pt idx="160">
                  <c:v>7.6467604031066044E-3</c:v>
                </c:pt>
                <c:pt idx="161">
                  <c:v>7.417357591013406E-3</c:v>
                </c:pt>
                <c:pt idx="162">
                  <c:v>7.1948368632830037E-3</c:v>
                </c:pt>
                <c:pt idx="163">
                  <c:v>6.9789917573845131E-3</c:v>
                </c:pt>
                <c:pt idx="164">
                  <c:v>6.7696220046629778E-3</c:v>
                </c:pt>
                <c:pt idx="165">
                  <c:v>6.5665333445230883E-3</c:v>
                </c:pt>
                <c:pt idx="166">
                  <c:v>6.3695373441873954E-3</c:v>
                </c:pt>
                <c:pt idx="167">
                  <c:v>6.1784512238617735E-3</c:v>
                </c:pt>
                <c:pt idx="168">
                  <c:v>5.9930976871459202E-3</c:v>
                </c:pt>
                <c:pt idx="169">
                  <c:v>5.8133047565315423E-3</c:v>
                </c:pt>
                <c:pt idx="170">
                  <c:v>5.6389056138355957E-3</c:v>
                </c:pt>
                <c:pt idx="171">
                  <c:v>5.4697384454205277E-3</c:v>
                </c:pt>
                <c:pt idx="172">
                  <c:v>5.3056462920579115E-3</c:v>
                </c:pt>
                <c:pt idx="173">
                  <c:v>5.1464769032961736E-3</c:v>
                </c:pt>
                <c:pt idx="174">
                  <c:v>4.9920825961972887E-3</c:v>
                </c:pt>
                <c:pt idx="175">
                  <c:v>4.84232011831137E-3</c:v>
                </c:pt>
                <c:pt idx="176">
                  <c:v>4.6970505147620285E-3</c:v>
                </c:pt>
                <c:pt idx="177">
                  <c:v>4.5561389993191677E-3</c:v>
                </c:pt>
                <c:pt idx="178">
                  <c:v>4.4194548293395924E-3</c:v>
                </c:pt>
                <c:pt idx="179">
                  <c:v>4.2868711844594046E-3</c:v>
                </c:pt>
                <c:pt idx="180">
                  <c:v>4.1582650489256226E-3</c:v>
                </c:pt>
                <c:pt idx="181">
                  <c:v>4.0335170974578538E-3</c:v>
                </c:pt>
                <c:pt idx="182">
                  <c:v>3.9125115845341178E-3</c:v>
                </c:pt>
                <c:pt idx="183">
                  <c:v>3.7951362369980941E-3</c:v>
                </c:pt>
                <c:pt idx="184">
                  <c:v>3.6812821498881511E-3</c:v>
                </c:pt>
                <c:pt idx="185">
                  <c:v>3.5708436853915063E-3</c:v>
                </c:pt>
                <c:pt idx="186">
                  <c:v>3.4637183748297612E-3</c:v>
                </c:pt>
                <c:pt idx="187">
                  <c:v>3.3598068235848682E-3</c:v>
                </c:pt>
                <c:pt idx="188">
                  <c:v>3.2590126188773222E-3</c:v>
                </c:pt>
                <c:pt idx="189">
                  <c:v>3.1612422403110023E-3</c:v>
                </c:pt>
                <c:pt idx="190">
                  <c:v>3.0664049731016722E-3</c:v>
                </c:pt>
                <c:pt idx="191">
                  <c:v>2.9744128239086219E-3</c:v>
                </c:pt>
                <c:pt idx="192">
                  <c:v>2.8851804391913632E-3</c:v>
                </c:pt>
                <c:pt idx="193">
                  <c:v>2.7986250260156223E-3</c:v>
                </c:pt>
                <c:pt idx="194">
                  <c:v>2.7146662752351534E-3</c:v>
                </c:pt>
                <c:pt idx="195">
                  <c:v>2.6332262869780986E-3</c:v>
                </c:pt>
                <c:pt idx="196">
                  <c:v>2.5542294983687554E-3</c:v>
                </c:pt>
                <c:pt idx="197">
                  <c:v>2.4776026134176927E-3</c:v>
                </c:pt>
                <c:pt idx="198">
                  <c:v>2.4032745350151619E-3</c:v>
                </c:pt>
                <c:pt idx="199">
                  <c:v>2.3311762989647071E-3</c:v>
                </c:pt>
                <c:pt idx="200">
                  <c:v>2.2612410099957657E-3</c:v>
                </c:pt>
                <c:pt idx="201">
                  <c:v>2.1934037796958925E-3</c:v>
                </c:pt>
                <c:pt idx="202">
                  <c:v>2.1276016663050157E-3</c:v>
                </c:pt>
                <c:pt idx="203">
                  <c:v>2.0637736163158652E-3</c:v>
                </c:pt>
                <c:pt idx="204">
                  <c:v>2.0018604078263893E-3</c:v>
                </c:pt>
                <c:pt idx="205">
                  <c:v>1.9418045955915976E-3</c:v>
                </c:pt>
                <c:pt idx="206">
                  <c:v>1.8835504577238496E-3</c:v>
                </c:pt>
                <c:pt idx="207">
                  <c:v>1.827043943992134E-3</c:v>
                </c:pt>
                <c:pt idx="208">
                  <c:v>1.7722326256723699E-3</c:v>
                </c:pt>
                <c:pt idx="209">
                  <c:v>1.7190656469021988E-3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F36-4A2D-9F02-07CA28F6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3739343"/>
        <c:axId val="1"/>
      </c:scatterChart>
      <c:valAx>
        <c:axId val="7237393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23739343"/>
        <c:crosses val="autoZero"/>
        <c:crossBetween val="midCat"/>
      </c:valAx>
      <c:spPr>
        <a:solidFill>
          <a:schemeClr val="tx1">
            <a:lumMod val="10000"/>
            <a:lumOff val="90000"/>
          </a:schemeClr>
        </a:solidFill>
      </c:spPr>
    </c:plotArea>
    <c:plotVisOnly val="1"/>
    <c:dispBlanksAs val="gap"/>
    <c:showDLblsOverMax val="0"/>
  </c:chart>
  <c:spPr>
    <a:solidFill>
      <a:schemeClr val="tx1">
        <a:lumMod val="10000"/>
        <a:lumOff val="90000"/>
      </a:schemeClr>
    </a:solidFill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invertIfNegative val="0"/>
          <c:cat>
            <c:numRef>
              <c:f>'freq chart'!$C$4:$C$24</c:f>
              <c:numCache>
                <c:formatCode>General</c:formatCode>
                <c:ptCount val="21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  <c:pt idx="20">
                  <c:v>210</c:v>
                </c:pt>
              </c:numCache>
            </c:numRef>
          </c:cat>
          <c:val>
            <c:numRef>
              <c:f>'freq chart'!$D$4:$D$24</c:f>
              <c:numCache>
                <c:formatCode>#,##0</c:formatCode>
                <c:ptCount val="21"/>
                <c:pt idx="0">
                  <c:v>3177</c:v>
                </c:pt>
                <c:pt idx="1">
                  <c:v>2393</c:v>
                </c:pt>
                <c:pt idx="2">
                  <c:v>1710</c:v>
                </c:pt>
                <c:pt idx="3">
                  <c:v>1228</c:v>
                </c:pt>
                <c:pt idx="4">
                  <c:v>884</c:v>
                </c:pt>
                <c:pt idx="5">
                  <c:v>700</c:v>
                </c:pt>
                <c:pt idx="6">
                  <c:v>516</c:v>
                </c:pt>
                <c:pt idx="7">
                  <c:v>338</c:v>
                </c:pt>
                <c:pt idx="8">
                  <c:v>258</c:v>
                </c:pt>
                <c:pt idx="9">
                  <c:v>213</c:v>
                </c:pt>
                <c:pt idx="10">
                  <c:v>176</c:v>
                </c:pt>
                <c:pt idx="11">
                  <c:v>110</c:v>
                </c:pt>
                <c:pt idx="12">
                  <c:v>84</c:v>
                </c:pt>
                <c:pt idx="13">
                  <c:v>57</c:v>
                </c:pt>
                <c:pt idx="14">
                  <c:v>45</c:v>
                </c:pt>
                <c:pt idx="15">
                  <c:v>30</c:v>
                </c:pt>
                <c:pt idx="16">
                  <c:v>30</c:v>
                </c:pt>
                <c:pt idx="17">
                  <c:v>24</c:v>
                </c:pt>
                <c:pt idx="18">
                  <c:v>8</c:v>
                </c:pt>
                <c:pt idx="19">
                  <c:v>13</c:v>
                </c:pt>
                <c:pt idx="2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59-4B97-BFD7-5E3946B1A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60916719"/>
        <c:axId val="1"/>
      </c:barChart>
      <c:catAx>
        <c:axId val="1360916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Source Sans CAIM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Source Sans CAIM"/>
                <a:ea typeface="Calibri"/>
                <a:cs typeface="Calibri"/>
              </a:defRPr>
            </a:pPr>
            <a:endParaRPr lang="en-US"/>
          </a:p>
        </c:txPr>
        <c:crossAx val="1360916719"/>
        <c:crosses val="autoZero"/>
        <c:crossBetween val="between"/>
      </c:valAx>
      <c:spPr>
        <a:solidFill>
          <a:schemeClr val="tx1">
            <a:lumMod val="10000"/>
            <a:lumOff val="90000"/>
          </a:schemeClr>
        </a:solidFill>
      </c:spPr>
    </c:plotArea>
    <c:plotVisOnly val="1"/>
    <c:dispBlanksAs val="gap"/>
    <c:showDLblsOverMax val="0"/>
  </c:chart>
  <c:spPr>
    <a:solidFill>
      <a:schemeClr val="tx1">
        <a:lumMod val="10000"/>
        <a:lumOff val="90000"/>
      </a:schemeClr>
    </a:solidFill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86482</xdr:colOff>
      <xdr:row>9</xdr:row>
      <xdr:rowOff>95552</xdr:rowOff>
    </xdr:from>
    <xdr:to>
      <xdr:col>20</xdr:col>
      <xdr:colOff>185178</xdr:colOff>
      <xdr:row>24</xdr:row>
      <xdr:rowOff>175382</xdr:rowOff>
    </xdr:to>
    <xdr:graphicFrame macro="">
      <xdr:nvGraphicFramePr>
        <xdr:cNvPr id="1032" name="Chart 2">
          <a:extLst>
            <a:ext uri="{FF2B5EF4-FFF2-40B4-BE49-F238E27FC236}">
              <a16:creationId xmlns:a16="http://schemas.microsoft.com/office/drawing/2014/main" id="{3BFD43EE-48CD-027B-C6AD-5FF3143F9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21772</xdr:colOff>
      <xdr:row>987</xdr:row>
      <xdr:rowOff>65314</xdr:rowOff>
    </xdr:from>
    <xdr:to>
      <xdr:col>11</xdr:col>
      <xdr:colOff>94343</xdr:colOff>
      <xdr:row>1008</xdr:row>
      <xdr:rowOff>104574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5A1FCD-BCD0-4EE5-3565-B23B9B3E5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5600" y="179135314"/>
          <a:ext cx="6299200" cy="38492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1</xdr:row>
      <xdr:rowOff>152400</xdr:rowOff>
    </xdr:from>
    <xdr:to>
      <xdr:col>12</xdr:col>
      <xdr:colOff>463550</xdr:colOff>
      <xdr:row>19</xdr:row>
      <xdr:rowOff>152400</xdr:rowOff>
    </xdr:to>
    <xdr:graphicFrame macro="">
      <xdr:nvGraphicFramePr>
        <xdr:cNvPr id="3079" name="Chart 1">
          <a:extLst>
            <a:ext uri="{FF2B5EF4-FFF2-40B4-BE49-F238E27FC236}">
              <a16:creationId xmlns:a16="http://schemas.microsoft.com/office/drawing/2014/main" id="{93DD5335-351C-2241-B17D-1ABF748CAB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AIM">
  <a:themeElements>
    <a:clrScheme name="CAIM">
      <a:dk1>
        <a:srgbClr val="2C2824"/>
      </a:dk1>
      <a:lt1>
        <a:srgbClr val="FFFFFF"/>
      </a:lt1>
      <a:dk2>
        <a:srgbClr val="D12E28"/>
      </a:dk2>
      <a:lt2>
        <a:srgbClr val="69B578"/>
      </a:lt2>
      <a:accent1>
        <a:srgbClr val="28264B"/>
      </a:accent1>
      <a:accent2>
        <a:srgbClr val="9A221D"/>
      </a:accent2>
      <a:accent3>
        <a:srgbClr val="707070"/>
      </a:accent3>
      <a:accent4>
        <a:srgbClr val="548BE9"/>
      </a:accent4>
      <a:accent5>
        <a:srgbClr val="82ACB3"/>
      </a:accent5>
      <a:accent6>
        <a:srgbClr val="E6BE8A"/>
      </a:accent6>
      <a:hlink>
        <a:srgbClr val="675D54"/>
      </a:hlink>
      <a:folHlink>
        <a:srgbClr val="9E93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M1008"/>
  <sheetViews>
    <sheetView showGridLines="0" tabSelected="1" zoomScale="115" zoomScaleNormal="115" workbookViewId="0"/>
  </sheetViews>
  <sheetFormatPr defaultColWidth="8.765625" defaultRowHeight="14.15"/>
  <cols>
    <col min="1" max="1" width="4.69140625" style="7" customWidth="1"/>
    <col min="2" max="2" width="9.23046875" style="8" customWidth="1"/>
    <col min="3" max="8" width="9.23046875" style="9" customWidth="1"/>
    <col min="9" max="9" width="5.69140625" style="2" customWidth="1"/>
    <col min="10" max="12" width="8.765625" style="2"/>
    <col min="13" max="13" width="6.07421875" style="2" customWidth="1"/>
    <col min="14" max="16384" width="8.765625" style="2"/>
  </cols>
  <sheetData>
    <row r="2" spans="1:39">
      <c r="J2" s="10" t="s">
        <v>12</v>
      </c>
      <c r="K2" s="11">
        <v>0.97</v>
      </c>
    </row>
    <row r="3" spans="1:39">
      <c r="J3" s="10" t="s">
        <v>13</v>
      </c>
      <c r="K3" s="12">
        <f>IF(lambda=1,"",LN(0.5)/LN(lambda))</f>
        <v>22.756573062773409</v>
      </c>
      <c r="L3" s="13" t="s">
        <v>20</v>
      </c>
    </row>
    <row r="4" spans="1:39">
      <c r="B4" s="14" t="s">
        <v>19</v>
      </c>
      <c r="J4" s="10" t="s">
        <v>0</v>
      </c>
      <c r="K4" s="2">
        <f>MAX(J:J)</f>
        <v>210</v>
      </c>
    </row>
    <row r="5" spans="1:39">
      <c r="H5" s="15"/>
      <c r="J5" s="10" t="s">
        <v>1</v>
      </c>
      <c r="K5" s="16">
        <f>INDEX(L9:L1402,numobs)</f>
        <v>33.277750210750142</v>
      </c>
    </row>
    <row r="6" spans="1:39">
      <c r="H6" s="15"/>
      <c r="J6" s="10"/>
      <c r="K6" s="16"/>
    </row>
    <row r="7" spans="1:39">
      <c r="C7" s="17" t="s">
        <v>4</v>
      </c>
      <c r="G7" s="7"/>
      <c r="H7" s="7"/>
      <c r="J7" s="18"/>
      <c r="K7" s="19" t="s">
        <v>3</v>
      </c>
      <c r="L7" s="19" t="s">
        <v>2</v>
      </c>
      <c r="N7" s="7"/>
      <c r="O7" s="20" t="s">
        <v>14</v>
      </c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21" t="s">
        <v>15</v>
      </c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</row>
    <row r="8" spans="1:39">
      <c r="B8" s="22" t="s">
        <v>5</v>
      </c>
      <c r="C8" s="23" t="s">
        <v>6</v>
      </c>
      <c r="D8" s="23" t="s">
        <v>7</v>
      </c>
      <c r="E8" s="23" t="s">
        <v>8</v>
      </c>
      <c r="F8" s="23" t="s">
        <v>9</v>
      </c>
      <c r="G8" s="23" t="s">
        <v>10</v>
      </c>
      <c r="H8" s="23" t="s">
        <v>11</v>
      </c>
      <c r="J8" s="24">
        <v>0</v>
      </c>
      <c r="K8" s="25"/>
      <c r="L8" s="25">
        <f>K8</f>
        <v>0</v>
      </c>
      <c r="N8" s="7"/>
      <c r="O8" s="26">
        <v>1</v>
      </c>
      <c r="P8" s="26">
        <v>2</v>
      </c>
      <c r="Q8" s="26">
        <v>3</v>
      </c>
      <c r="R8" s="26">
        <v>4</v>
      </c>
      <c r="S8" s="26">
        <v>5</v>
      </c>
      <c r="T8" s="26">
        <v>6</v>
      </c>
      <c r="U8" s="26">
        <v>7</v>
      </c>
      <c r="V8" s="26">
        <v>8</v>
      </c>
      <c r="W8" s="26">
        <v>9</v>
      </c>
      <c r="X8" s="26">
        <v>10</v>
      </c>
      <c r="Y8" s="26">
        <v>11</v>
      </c>
      <c r="Z8" s="26">
        <v>12</v>
      </c>
      <c r="AA8" s="7"/>
      <c r="AB8" s="26">
        <v>1</v>
      </c>
      <c r="AC8" s="26">
        <v>2</v>
      </c>
      <c r="AD8" s="26">
        <v>3</v>
      </c>
      <c r="AE8" s="26">
        <v>4</v>
      </c>
      <c r="AF8" s="26">
        <v>5</v>
      </c>
      <c r="AG8" s="26">
        <v>6</v>
      </c>
      <c r="AH8" s="26">
        <v>7</v>
      </c>
      <c r="AI8" s="26">
        <v>8</v>
      </c>
      <c r="AJ8" s="26">
        <v>9</v>
      </c>
      <c r="AK8" s="26">
        <v>10</v>
      </c>
      <c r="AL8" s="26">
        <v>11</v>
      </c>
      <c r="AM8" s="26">
        <v>12</v>
      </c>
    </row>
    <row r="9" spans="1:39">
      <c r="A9" s="27"/>
      <c r="B9" s="28">
        <v>46295</v>
      </c>
      <c r="C9" s="29">
        <v>2.811111111111111E-4</v>
      </c>
      <c r="D9" s="29">
        <v>-1.4910140155317553E-3</v>
      </c>
      <c r="E9" s="29">
        <v>-2.2748846736723172E-3</v>
      </c>
      <c r="F9" s="29">
        <v>5.6876798609981627E-3</v>
      </c>
      <c r="G9" s="29">
        <v>1.9839983315161902E-3</v>
      </c>
      <c r="H9" s="29">
        <v>4.5000000000000005E-3</v>
      </c>
      <c r="J9" s="24">
        <v>1</v>
      </c>
      <c r="K9" s="25">
        <v>1</v>
      </c>
      <c r="L9" s="25">
        <f t="shared" ref="L9:L73" si="0">L8+K9</f>
        <v>1</v>
      </c>
      <c r="N9" s="26">
        <v>1</v>
      </c>
      <c r="O9" s="30">
        <f t="shared" ref="O9:Z18" ca="1" si="1">RAND()*sumweights</f>
        <v>26.404116710855586</v>
      </c>
      <c r="P9" s="30">
        <f t="shared" ca="1" si="1"/>
        <v>22.931301239603965</v>
      </c>
      <c r="Q9" s="30">
        <f t="shared" ca="1" si="1"/>
        <v>21.236964822469577</v>
      </c>
      <c r="R9" s="30">
        <f t="shared" ca="1" si="1"/>
        <v>12.014403025369157</v>
      </c>
      <c r="S9" s="30">
        <f t="shared" ca="1" si="1"/>
        <v>21.141044882465714</v>
      </c>
      <c r="T9" s="30">
        <f t="shared" ca="1" si="1"/>
        <v>1.7095119289454805</v>
      </c>
      <c r="U9" s="30">
        <f t="shared" ca="1" si="1"/>
        <v>0.52904117265317485</v>
      </c>
      <c r="V9" s="30">
        <f t="shared" ca="1" si="1"/>
        <v>23.214384557614913</v>
      </c>
      <c r="W9" s="30">
        <f t="shared" ca="1" si="1"/>
        <v>6.6757761388470565</v>
      </c>
      <c r="X9" s="30">
        <f t="shared" ca="1" si="1"/>
        <v>15.853221039398369</v>
      </c>
      <c r="Y9" s="30">
        <f t="shared" ca="1" si="1"/>
        <v>32.076939276922054</v>
      </c>
      <c r="Z9" s="30">
        <f t="shared" ca="1" si="1"/>
        <v>19.86074013275022</v>
      </c>
      <c r="AA9" s="26">
        <v>1</v>
      </c>
      <c r="AB9" s="31">
        <f t="shared" ref="AB9:AB73" ca="1" si="2">MATCH(O9,cum_wt,1)</f>
        <v>52</v>
      </c>
      <c r="AC9" s="31">
        <f t="shared" ref="AC9:AC72" ca="1" si="3">MATCH(P9,cum_wt,1)</f>
        <v>39</v>
      </c>
      <c r="AD9" s="31">
        <f t="shared" ref="AD9:AD72" ca="1" si="4">MATCH(Q9,cum_wt,1)</f>
        <v>34</v>
      </c>
      <c r="AE9" s="31">
        <f t="shared" ref="AE9:AE72" ca="1" si="5">MATCH(R9,cum_wt,1)</f>
        <v>15</v>
      </c>
      <c r="AF9" s="31">
        <f t="shared" ref="AF9:AF72" ca="1" si="6">MATCH(S9,cum_wt,1)</f>
        <v>34</v>
      </c>
      <c r="AG9" s="31">
        <f t="shared" ref="AG9:AG72" ca="1" si="7">MATCH(T9,cum_wt,1)</f>
        <v>2</v>
      </c>
      <c r="AH9" s="31">
        <f t="shared" ref="AH9:AH72" ca="1" si="8">MATCH(U9,cum_wt,1)</f>
        <v>1</v>
      </c>
      <c r="AI9" s="31">
        <f t="shared" ref="AI9:AI72" ca="1" si="9">MATCH(V9,cum_wt,1)</f>
        <v>40</v>
      </c>
      <c r="AJ9" s="31">
        <f t="shared" ref="AJ9:AJ72" ca="1" si="10">MATCH(W9,cum_wt,1)</f>
        <v>8</v>
      </c>
      <c r="AK9" s="31">
        <f t="shared" ref="AK9:AK72" ca="1" si="11">MATCH(X9,cum_wt,1)</f>
        <v>22</v>
      </c>
      <c r="AL9" s="31">
        <f t="shared" ref="AL9:AL72" ca="1" si="12">MATCH(Y9,cum_wt,1)</f>
        <v>108</v>
      </c>
      <c r="AM9" s="31">
        <f t="shared" ref="AM9:AM72" ca="1" si="13">MATCH(Z9,cum_wt,1)</f>
        <v>30</v>
      </c>
    </row>
    <row r="10" spans="1:39">
      <c r="A10" s="27"/>
      <c r="B10" s="28">
        <v>46265</v>
      </c>
      <c r="C10" s="29">
        <v>3.3128472222222223E-4</v>
      </c>
      <c r="D10" s="29">
        <v>1.4132076027204565E-3</v>
      </c>
      <c r="E10" s="29">
        <v>-1.0735008715192729E-2</v>
      </c>
      <c r="F10" s="29">
        <v>7.253460946846646E-3</v>
      </c>
      <c r="G10" s="29">
        <v>5.5933147317726029E-2</v>
      </c>
      <c r="H10" s="29">
        <v>3.3799999999999997E-2</v>
      </c>
      <c r="J10" s="24">
        <v>2</v>
      </c>
      <c r="K10" s="25">
        <f t="shared" ref="K10:K73" si="14">K9*lambda</f>
        <v>0.97</v>
      </c>
      <c r="L10" s="25">
        <f t="shared" si="0"/>
        <v>1.97</v>
      </c>
      <c r="N10" s="26">
        <v>2</v>
      </c>
      <c r="O10" s="30">
        <f t="shared" ca="1" si="1"/>
        <v>16.849188549714814</v>
      </c>
      <c r="P10" s="30">
        <f t="shared" ca="1" si="1"/>
        <v>2.8227096394369755</v>
      </c>
      <c r="Q10" s="30">
        <f t="shared" ca="1" si="1"/>
        <v>13.789824983626078</v>
      </c>
      <c r="R10" s="30">
        <f t="shared" ca="1" si="1"/>
        <v>20.674342495317052</v>
      </c>
      <c r="S10" s="30">
        <f t="shared" ca="1" si="1"/>
        <v>1.0692068928428131</v>
      </c>
      <c r="T10" s="30">
        <f t="shared" ca="1" si="1"/>
        <v>30.702453286373508</v>
      </c>
      <c r="U10" s="30">
        <f t="shared" ca="1" si="1"/>
        <v>5.0016993487589838</v>
      </c>
      <c r="V10" s="30">
        <f t="shared" ca="1" si="1"/>
        <v>15.911370547288243</v>
      </c>
      <c r="W10" s="30">
        <f t="shared" ca="1" si="1"/>
        <v>5.0856053570040558</v>
      </c>
      <c r="X10" s="30">
        <f t="shared" ca="1" si="1"/>
        <v>15.674055175106657</v>
      </c>
      <c r="Y10" s="30">
        <f t="shared" ca="1" si="1"/>
        <v>17.364947329925041</v>
      </c>
      <c r="Z10" s="30">
        <f t="shared" ca="1" si="1"/>
        <v>5.4811275667681478</v>
      </c>
      <c r="AA10" s="26">
        <v>2</v>
      </c>
      <c r="AB10" s="31">
        <f t="shared" ca="1" si="2"/>
        <v>24</v>
      </c>
      <c r="AC10" s="31">
        <f t="shared" ca="1" si="3"/>
        <v>3</v>
      </c>
      <c r="AD10" s="31">
        <f t="shared" ca="1" si="4"/>
        <v>18</v>
      </c>
      <c r="AE10" s="31">
        <f t="shared" ca="1" si="5"/>
        <v>32</v>
      </c>
      <c r="AF10" s="31">
        <f t="shared" ca="1" si="6"/>
        <v>2</v>
      </c>
      <c r="AG10" s="31">
        <f t="shared" ca="1" si="7"/>
        <v>84</v>
      </c>
      <c r="AH10" s="31">
        <f t="shared" ca="1" si="8"/>
        <v>6</v>
      </c>
      <c r="AI10" s="31">
        <f t="shared" ca="1" si="9"/>
        <v>22</v>
      </c>
      <c r="AJ10" s="31">
        <f t="shared" ca="1" si="10"/>
        <v>6</v>
      </c>
      <c r="AK10" s="31">
        <f t="shared" ca="1" si="11"/>
        <v>21</v>
      </c>
      <c r="AL10" s="31">
        <f t="shared" ca="1" si="12"/>
        <v>25</v>
      </c>
      <c r="AM10" s="31">
        <f t="shared" ca="1" si="13"/>
        <v>6</v>
      </c>
    </row>
    <row r="11" spans="1:39">
      <c r="A11" s="27"/>
      <c r="B11" s="28">
        <v>46234</v>
      </c>
      <c r="C11" s="29">
        <v>4.1719166666666667E-4</v>
      </c>
      <c r="D11" s="29">
        <v>-1.3734648275398609E-3</v>
      </c>
      <c r="E11" s="29">
        <v>-1.9871078586514934E-2</v>
      </c>
      <c r="F11" s="29">
        <v>4.7809093344506337E-3</v>
      </c>
      <c r="G11" s="29">
        <v>9.570935909919509E-2</v>
      </c>
      <c r="H11" s="29">
        <v>1.1000000000000001E-2</v>
      </c>
      <c r="J11" s="24">
        <v>3</v>
      </c>
      <c r="K11" s="25">
        <f t="shared" si="14"/>
        <v>0.94089999999999996</v>
      </c>
      <c r="L11" s="25">
        <f t="shared" si="0"/>
        <v>2.9108999999999998</v>
      </c>
      <c r="N11" s="26">
        <v>3</v>
      </c>
      <c r="O11" s="30">
        <f t="shared" ca="1" si="1"/>
        <v>13.891345880600879</v>
      </c>
      <c r="P11" s="30">
        <f t="shared" ca="1" si="1"/>
        <v>17.384134517486817</v>
      </c>
      <c r="Q11" s="30">
        <f t="shared" ca="1" si="1"/>
        <v>0.51539036766040358</v>
      </c>
      <c r="R11" s="30">
        <f t="shared" ca="1" si="1"/>
        <v>6.7924162683803271</v>
      </c>
      <c r="S11" s="30">
        <f t="shared" ca="1" si="1"/>
        <v>9.2309134421212029</v>
      </c>
      <c r="T11" s="30">
        <f t="shared" ca="1" si="1"/>
        <v>21.286192748602318</v>
      </c>
      <c r="U11" s="30">
        <f t="shared" ca="1" si="1"/>
        <v>32.789505927474977</v>
      </c>
      <c r="V11" s="30">
        <f t="shared" ca="1" si="1"/>
        <v>17.93337691802498</v>
      </c>
      <c r="W11" s="30">
        <f t="shared" ca="1" si="1"/>
        <v>0.44984233270678731</v>
      </c>
      <c r="X11" s="30">
        <f t="shared" ca="1" si="1"/>
        <v>33.182776311411786</v>
      </c>
      <c r="Y11" s="30">
        <f t="shared" ca="1" si="1"/>
        <v>15.728067338276066</v>
      </c>
      <c r="Z11" s="30">
        <f t="shared" ca="1" si="1"/>
        <v>9.4402951164979125</v>
      </c>
      <c r="AA11" s="26">
        <v>3</v>
      </c>
      <c r="AB11" s="31">
        <f t="shared" ca="1" si="2"/>
        <v>18</v>
      </c>
      <c r="AC11" s="31">
        <f t="shared" ca="1" si="3"/>
        <v>25</v>
      </c>
      <c r="AD11" s="31">
        <f t="shared" ca="1" si="4"/>
        <v>1</v>
      </c>
      <c r="AE11" s="31">
        <f t="shared" ca="1" si="5"/>
        <v>8</v>
      </c>
      <c r="AF11" s="31">
        <f t="shared" ca="1" si="6"/>
        <v>11</v>
      </c>
      <c r="AG11" s="31">
        <f t="shared" ca="1" si="7"/>
        <v>34</v>
      </c>
      <c r="AH11" s="31">
        <f t="shared" ca="1" si="8"/>
        <v>136</v>
      </c>
      <c r="AI11" s="31">
        <f t="shared" ca="1" si="9"/>
        <v>26</v>
      </c>
      <c r="AJ11" s="31">
        <f t="shared" ca="1" si="10"/>
        <v>1</v>
      </c>
      <c r="AK11" s="31">
        <f t="shared" ca="1" si="11"/>
        <v>178</v>
      </c>
      <c r="AL11" s="31">
        <f t="shared" ca="1" si="12"/>
        <v>21</v>
      </c>
      <c r="AM11" s="31">
        <f t="shared" ca="1" si="13"/>
        <v>11</v>
      </c>
    </row>
    <row r="12" spans="1:39">
      <c r="A12" s="27"/>
      <c r="B12" s="28">
        <v>46203</v>
      </c>
      <c r="C12" s="29">
        <v>4.4111111111111114E-4</v>
      </c>
      <c r="D12" s="29">
        <v>4.7943008592601366E-3</v>
      </c>
      <c r="E12" s="29">
        <v>2.250092460506159E-2</v>
      </c>
      <c r="F12" s="29">
        <v>1.3901367153493105E-2</v>
      </c>
      <c r="G12" s="29">
        <v>8.759547121563882E-2</v>
      </c>
      <c r="H12" s="29">
        <v>2.0000000000000001E-4</v>
      </c>
      <c r="J12" s="24">
        <v>4</v>
      </c>
      <c r="K12" s="25">
        <f t="shared" si="14"/>
        <v>0.91267299999999996</v>
      </c>
      <c r="L12" s="25">
        <f t="shared" si="0"/>
        <v>3.8235729999999997</v>
      </c>
      <c r="N12" s="26">
        <v>4</v>
      </c>
      <c r="O12" s="30">
        <f t="shared" ca="1" si="1"/>
        <v>20.747869600728265</v>
      </c>
      <c r="P12" s="30">
        <f t="shared" ca="1" si="1"/>
        <v>0.56024377309663786</v>
      </c>
      <c r="Q12" s="30">
        <f t="shared" ca="1" si="1"/>
        <v>4.4304833189735842</v>
      </c>
      <c r="R12" s="30">
        <f t="shared" ca="1" si="1"/>
        <v>9.6156839110872045</v>
      </c>
      <c r="S12" s="30">
        <f t="shared" ca="1" si="1"/>
        <v>1.2616706202673957</v>
      </c>
      <c r="T12" s="30">
        <f t="shared" ca="1" si="1"/>
        <v>0.68465179930682973</v>
      </c>
      <c r="U12" s="30">
        <f t="shared" ca="1" si="1"/>
        <v>13.826032642811168</v>
      </c>
      <c r="V12" s="30">
        <f t="shared" ca="1" si="1"/>
        <v>21.585615390229179</v>
      </c>
      <c r="W12" s="30">
        <f t="shared" ca="1" si="1"/>
        <v>21.492687299090885</v>
      </c>
      <c r="X12" s="30">
        <f t="shared" ca="1" si="1"/>
        <v>22.732330986986241</v>
      </c>
      <c r="Y12" s="30">
        <f t="shared" ca="1" si="1"/>
        <v>19.03228089122014</v>
      </c>
      <c r="Z12" s="30">
        <f t="shared" ca="1" si="1"/>
        <v>30.384428053847625</v>
      </c>
      <c r="AA12" s="26">
        <v>4</v>
      </c>
      <c r="AB12" s="31">
        <f t="shared" ca="1" si="2"/>
        <v>32</v>
      </c>
      <c r="AC12" s="31">
        <f t="shared" ca="1" si="3"/>
        <v>1</v>
      </c>
      <c r="AD12" s="31">
        <f t="shared" ca="1" si="4"/>
        <v>5</v>
      </c>
      <c r="AE12" s="31">
        <f t="shared" ca="1" si="5"/>
        <v>12</v>
      </c>
      <c r="AF12" s="31">
        <f t="shared" ca="1" si="6"/>
        <v>2</v>
      </c>
      <c r="AG12" s="31">
        <f t="shared" ca="1" si="7"/>
        <v>1</v>
      </c>
      <c r="AH12" s="31">
        <f t="shared" ca="1" si="8"/>
        <v>18</v>
      </c>
      <c r="AI12" s="31">
        <f t="shared" ca="1" si="9"/>
        <v>35</v>
      </c>
      <c r="AJ12" s="31">
        <f t="shared" ca="1" si="10"/>
        <v>34</v>
      </c>
      <c r="AK12" s="31">
        <f t="shared" ca="1" si="11"/>
        <v>38</v>
      </c>
      <c r="AL12" s="31">
        <f t="shared" ca="1" si="12"/>
        <v>28</v>
      </c>
      <c r="AM12" s="31">
        <f t="shared" ca="1" si="13"/>
        <v>80</v>
      </c>
    </row>
    <row r="13" spans="1:39">
      <c r="A13" s="27"/>
      <c r="B13" s="28">
        <v>46173</v>
      </c>
      <c r="C13" s="29">
        <v>3.2618444444444444E-4</v>
      </c>
      <c r="D13" s="29">
        <v>-3.8390307080260477E-4</v>
      </c>
      <c r="E13" s="29">
        <v>-4.0812568034649388E-3</v>
      </c>
      <c r="F13" s="29">
        <v>-3.7744489235188583E-3</v>
      </c>
      <c r="G13" s="29">
        <v>-0.10647796709532442</v>
      </c>
      <c r="H13" s="29">
        <v>-3.7000000000000002E-3</v>
      </c>
      <c r="J13" s="24">
        <v>5</v>
      </c>
      <c r="K13" s="25">
        <f t="shared" si="14"/>
        <v>0.88529280999999993</v>
      </c>
      <c r="L13" s="25">
        <f t="shared" si="0"/>
        <v>4.7088658099999998</v>
      </c>
      <c r="N13" s="26">
        <v>5</v>
      </c>
      <c r="O13" s="30">
        <f t="shared" ca="1" si="1"/>
        <v>25.209539889394215</v>
      </c>
      <c r="P13" s="30">
        <f t="shared" ca="1" si="1"/>
        <v>17.291830692803696</v>
      </c>
      <c r="Q13" s="30">
        <f t="shared" ca="1" si="1"/>
        <v>29.889143870858224</v>
      </c>
      <c r="R13" s="30">
        <f t="shared" ca="1" si="1"/>
        <v>6.1254732304550172</v>
      </c>
      <c r="S13" s="30">
        <f t="shared" ca="1" si="1"/>
        <v>20.489503903861948</v>
      </c>
      <c r="T13" s="30">
        <f t="shared" ca="1" si="1"/>
        <v>30.632992919241293</v>
      </c>
      <c r="U13" s="30">
        <f t="shared" ca="1" si="1"/>
        <v>22.729285240711391</v>
      </c>
      <c r="V13" s="30">
        <f t="shared" ca="1" si="1"/>
        <v>27.484572315534763</v>
      </c>
      <c r="W13" s="30">
        <f t="shared" ca="1" si="1"/>
        <v>5.8304612028960401</v>
      </c>
      <c r="X13" s="30">
        <f t="shared" ca="1" si="1"/>
        <v>32.323340505840449</v>
      </c>
      <c r="Y13" s="30">
        <f t="shared" ca="1" si="1"/>
        <v>32.365469338029904</v>
      </c>
      <c r="Z13" s="30">
        <f t="shared" ca="1" si="1"/>
        <v>10.515366077883122</v>
      </c>
      <c r="AA13" s="26">
        <v>5</v>
      </c>
      <c r="AB13" s="31">
        <f t="shared" ca="1" si="2"/>
        <v>47</v>
      </c>
      <c r="AC13" s="31">
        <f t="shared" ca="1" si="3"/>
        <v>25</v>
      </c>
      <c r="AD13" s="31">
        <f t="shared" ca="1" si="4"/>
        <v>75</v>
      </c>
      <c r="AE13" s="31">
        <f t="shared" ca="1" si="5"/>
        <v>7</v>
      </c>
      <c r="AF13" s="31">
        <f t="shared" ca="1" si="6"/>
        <v>32</v>
      </c>
      <c r="AG13" s="31">
        <f t="shared" ca="1" si="7"/>
        <v>83</v>
      </c>
      <c r="AH13" s="31">
        <f t="shared" ca="1" si="8"/>
        <v>38</v>
      </c>
      <c r="AI13" s="31">
        <f t="shared" ca="1" si="9"/>
        <v>58</v>
      </c>
      <c r="AJ13" s="31">
        <f t="shared" ca="1" si="10"/>
        <v>7</v>
      </c>
      <c r="AK13" s="31">
        <f t="shared" ca="1" si="11"/>
        <v>115</v>
      </c>
      <c r="AL13" s="31">
        <f t="shared" ca="1" si="12"/>
        <v>117</v>
      </c>
      <c r="AM13" s="31">
        <f t="shared" ca="1" si="13"/>
        <v>13</v>
      </c>
    </row>
    <row r="14" spans="1:39">
      <c r="A14" s="27"/>
      <c r="B14" s="28">
        <v>46142</v>
      </c>
      <c r="C14" s="29">
        <v>3.6354166666666669E-4</v>
      </c>
      <c r="D14" s="29">
        <v>-3.3678102926337772E-3</v>
      </c>
      <c r="E14" s="29">
        <v>-3.1815070128795031E-2</v>
      </c>
      <c r="F14" s="29">
        <v>-8.8233271439377425E-3</v>
      </c>
      <c r="G14" s="29">
        <v>-8.4286319939214538E-2</v>
      </c>
      <c r="H14" s="29">
        <v>7.0999999999999995E-3</v>
      </c>
      <c r="J14" s="24">
        <v>6</v>
      </c>
      <c r="K14" s="25">
        <f t="shared" si="14"/>
        <v>0.8587340256999999</v>
      </c>
      <c r="L14" s="25">
        <f t="shared" si="0"/>
        <v>5.5675998356999994</v>
      </c>
      <c r="N14" s="26">
        <v>6</v>
      </c>
      <c r="O14" s="30">
        <f t="shared" ca="1" si="1"/>
        <v>14.704830873202384</v>
      </c>
      <c r="P14" s="30">
        <f t="shared" ca="1" si="1"/>
        <v>21.400105318581147</v>
      </c>
      <c r="Q14" s="30">
        <f t="shared" ca="1" si="1"/>
        <v>13.932174738425955</v>
      </c>
      <c r="R14" s="30">
        <f t="shared" ca="1" si="1"/>
        <v>1.4282137547401876</v>
      </c>
      <c r="S14" s="30">
        <f t="shared" ca="1" si="1"/>
        <v>8.6418570665612862</v>
      </c>
      <c r="T14" s="30">
        <f t="shared" ca="1" si="1"/>
        <v>29.305077495048597</v>
      </c>
      <c r="U14" s="30">
        <f t="shared" ca="1" si="1"/>
        <v>4.5827040482587575</v>
      </c>
      <c r="V14" s="30">
        <f t="shared" ca="1" si="1"/>
        <v>19.090702349320861</v>
      </c>
      <c r="W14" s="30">
        <f t="shared" ca="1" si="1"/>
        <v>9.6879432439455542</v>
      </c>
      <c r="X14" s="30">
        <f t="shared" ca="1" si="1"/>
        <v>3.9212229031650701</v>
      </c>
      <c r="Y14" s="30">
        <f t="shared" ca="1" si="1"/>
        <v>21.583601195798639</v>
      </c>
      <c r="Z14" s="30">
        <f t="shared" ca="1" si="1"/>
        <v>20.900285706820689</v>
      </c>
      <c r="AA14" s="26">
        <v>6</v>
      </c>
      <c r="AB14" s="31">
        <f t="shared" ca="1" si="2"/>
        <v>20</v>
      </c>
      <c r="AC14" s="31">
        <f t="shared" ca="1" si="3"/>
        <v>34</v>
      </c>
      <c r="AD14" s="31">
        <f t="shared" ca="1" si="4"/>
        <v>18</v>
      </c>
      <c r="AE14" s="31">
        <f t="shared" ca="1" si="5"/>
        <v>2</v>
      </c>
      <c r="AF14" s="31">
        <f t="shared" ca="1" si="6"/>
        <v>10</v>
      </c>
      <c r="AG14" s="31">
        <f t="shared" ca="1" si="7"/>
        <v>70</v>
      </c>
      <c r="AH14" s="31">
        <f t="shared" ca="1" si="8"/>
        <v>5</v>
      </c>
      <c r="AI14" s="31">
        <f t="shared" ca="1" si="9"/>
        <v>28</v>
      </c>
      <c r="AJ14" s="31">
        <f t="shared" ca="1" si="10"/>
        <v>12</v>
      </c>
      <c r="AK14" s="31">
        <f t="shared" ca="1" si="11"/>
        <v>5</v>
      </c>
      <c r="AL14" s="31">
        <f t="shared" ca="1" si="12"/>
        <v>35</v>
      </c>
      <c r="AM14" s="31">
        <f t="shared" ca="1" si="13"/>
        <v>33</v>
      </c>
    </row>
    <row r="15" spans="1:39">
      <c r="A15" s="27"/>
      <c r="B15" s="28">
        <v>46112</v>
      </c>
      <c r="C15" s="29">
        <v>1.7428125E-3</v>
      </c>
      <c r="D15" s="29">
        <v>5.4618935691699289E-3</v>
      </c>
      <c r="E15" s="29">
        <v>3.5134556121356075E-2</v>
      </c>
      <c r="F15" s="29">
        <v>3.7309173919246597E-2</v>
      </c>
      <c r="G15" s="29">
        <v>1.0640066384777214E-2</v>
      </c>
      <c r="H15" s="29">
        <v>-1.49E-2</v>
      </c>
      <c r="J15" s="24">
        <v>7</v>
      </c>
      <c r="K15" s="25">
        <f t="shared" si="14"/>
        <v>0.83297200492899992</v>
      </c>
      <c r="L15" s="25">
        <f t="shared" si="0"/>
        <v>6.4005718406289995</v>
      </c>
      <c r="N15" s="26">
        <v>7</v>
      </c>
      <c r="O15" s="30">
        <f t="shared" ca="1" si="1"/>
        <v>30.674949370929681</v>
      </c>
      <c r="P15" s="30">
        <f t="shared" ca="1" si="1"/>
        <v>27.066564227311023</v>
      </c>
      <c r="Q15" s="30">
        <f t="shared" ca="1" si="1"/>
        <v>13.562759477983446</v>
      </c>
      <c r="R15" s="30">
        <f t="shared" ca="1" si="1"/>
        <v>10.402330743940942</v>
      </c>
      <c r="S15" s="30">
        <f t="shared" ca="1" si="1"/>
        <v>0.35409015214544037</v>
      </c>
      <c r="T15" s="30">
        <f t="shared" ca="1" si="1"/>
        <v>20.373252475262049</v>
      </c>
      <c r="U15" s="30">
        <f t="shared" ca="1" si="1"/>
        <v>31.317294774662479</v>
      </c>
      <c r="V15" s="30">
        <f t="shared" ca="1" si="1"/>
        <v>6.3623931188659792</v>
      </c>
      <c r="W15" s="30">
        <f t="shared" ca="1" si="1"/>
        <v>6.0595613870237779</v>
      </c>
      <c r="X15" s="30">
        <f t="shared" ca="1" si="1"/>
        <v>22.281867465962623</v>
      </c>
      <c r="Y15" s="30">
        <f t="shared" ca="1" si="1"/>
        <v>1.6634721560957033</v>
      </c>
      <c r="Z15" s="30">
        <f t="shared" ca="1" si="1"/>
        <v>30.757725986776968</v>
      </c>
      <c r="AA15" s="26">
        <v>7</v>
      </c>
      <c r="AB15" s="31">
        <f t="shared" ca="1" si="2"/>
        <v>84</v>
      </c>
      <c r="AC15" s="31">
        <f t="shared" ca="1" si="3"/>
        <v>55</v>
      </c>
      <c r="AD15" s="31">
        <f t="shared" ca="1" si="4"/>
        <v>18</v>
      </c>
      <c r="AE15" s="31">
        <f t="shared" ca="1" si="5"/>
        <v>13</v>
      </c>
      <c r="AF15" s="31">
        <f t="shared" ca="1" si="6"/>
        <v>1</v>
      </c>
      <c r="AG15" s="31">
        <f t="shared" ca="1" si="7"/>
        <v>32</v>
      </c>
      <c r="AH15" s="31">
        <f t="shared" ca="1" si="8"/>
        <v>93</v>
      </c>
      <c r="AI15" s="31">
        <f t="shared" ca="1" si="9"/>
        <v>7</v>
      </c>
      <c r="AJ15" s="31">
        <f t="shared" ca="1" si="10"/>
        <v>7</v>
      </c>
      <c r="AK15" s="31">
        <f t="shared" ca="1" si="11"/>
        <v>37</v>
      </c>
      <c r="AL15" s="31">
        <f t="shared" ca="1" si="12"/>
        <v>2</v>
      </c>
      <c r="AM15" s="31">
        <f t="shared" ca="1" si="13"/>
        <v>85</v>
      </c>
    </row>
    <row r="16" spans="1:39">
      <c r="A16" s="27"/>
      <c r="B16" s="28">
        <v>46081</v>
      </c>
      <c r="C16" s="29">
        <v>2.0076388888888887E-3</v>
      </c>
      <c r="D16" s="29">
        <v>1.1801239579278811E-2</v>
      </c>
      <c r="E16" s="29">
        <v>5.5288704005787448E-2</v>
      </c>
      <c r="F16" s="29">
        <v>3.254984863105026E-2</v>
      </c>
      <c r="G16" s="29">
        <v>-7.1754904074988968E-2</v>
      </c>
      <c r="H16" s="29">
        <v>-2.64E-2</v>
      </c>
      <c r="J16" s="24">
        <v>8</v>
      </c>
      <c r="K16" s="25">
        <f t="shared" si="14"/>
        <v>0.80798284478112992</v>
      </c>
      <c r="L16" s="25">
        <f t="shared" si="0"/>
        <v>7.2085546854101299</v>
      </c>
      <c r="N16" s="26">
        <v>8</v>
      </c>
      <c r="O16" s="30">
        <f t="shared" ca="1" si="1"/>
        <v>13.94574314136041</v>
      </c>
      <c r="P16" s="30">
        <f t="shared" ca="1" si="1"/>
        <v>20.13083174237082</v>
      </c>
      <c r="Q16" s="30">
        <f t="shared" ca="1" si="1"/>
        <v>13.059168452089869</v>
      </c>
      <c r="R16" s="30">
        <f t="shared" ca="1" si="1"/>
        <v>11.562647488377545</v>
      </c>
      <c r="S16" s="30">
        <f t="shared" ca="1" si="1"/>
        <v>28.9011500816679</v>
      </c>
      <c r="T16" s="30">
        <f t="shared" ca="1" si="1"/>
        <v>29.13891901216379</v>
      </c>
      <c r="U16" s="30">
        <f t="shared" ca="1" si="1"/>
        <v>5.8824902115734519</v>
      </c>
      <c r="V16" s="30">
        <f t="shared" ca="1" si="1"/>
        <v>15.417050813790889</v>
      </c>
      <c r="W16" s="30">
        <f t="shared" ca="1" si="1"/>
        <v>25.645582578669845</v>
      </c>
      <c r="X16" s="30">
        <f t="shared" ca="1" si="1"/>
        <v>0.16905295146791277</v>
      </c>
      <c r="Y16" s="30">
        <f t="shared" ca="1" si="1"/>
        <v>21.618664785695334</v>
      </c>
      <c r="Z16" s="30">
        <f t="shared" ca="1" si="1"/>
        <v>6.3268189485296356</v>
      </c>
      <c r="AA16" s="26">
        <v>8</v>
      </c>
      <c r="AB16" s="31">
        <f t="shared" ca="1" si="2"/>
        <v>18</v>
      </c>
      <c r="AC16" s="31">
        <f t="shared" ca="1" si="3"/>
        <v>31</v>
      </c>
      <c r="AD16" s="31">
        <f t="shared" ca="1" si="4"/>
        <v>17</v>
      </c>
      <c r="AE16" s="31">
        <f t="shared" ca="1" si="5"/>
        <v>14</v>
      </c>
      <c r="AF16" s="31">
        <f t="shared" ca="1" si="6"/>
        <v>67</v>
      </c>
      <c r="AG16" s="31">
        <f t="shared" ca="1" si="7"/>
        <v>69</v>
      </c>
      <c r="AH16" s="31">
        <f t="shared" ca="1" si="8"/>
        <v>7</v>
      </c>
      <c r="AI16" s="31">
        <f t="shared" ca="1" si="9"/>
        <v>21</v>
      </c>
      <c r="AJ16" s="31">
        <f t="shared" ca="1" si="10"/>
        <v>49</v>
      </c>
      <c r="AK16" s="31">
        <f t="shared" ca="1" si="11"/>
        <v>1</v>
      </c>
      <c r="AL16" s="31">
        <f t="shared" ca="1" si="12"/>
        <v>35</v>
      </c>
      <c r="AM16" s="31">
        <f t="shared" ca="1" si="13"/>
        <v>7</v>
      </c>
    </row>
    <row r="17" spans="1:39">
      <c r="A17" s="27"/>
      <c r="B17" s="28">
        <v>46053</v>
      </c>
      <c r="C17" s="29">
        <v>3.3809375000000003E-3</v>
      </c>
      <c r="D17" s="29">
        <v>9.4124148888858894E-3</v>
      </c>
      <c r="E17" s="29">
        <v>-1.0874776771754302E-3</v>
      </c>
      <c r="F17" s="29">
        <v>-2.3604208769948953E-2</v>
      </c>
      <c r="G17" s="29">
        <v>-0.16794757601381294</v>
      </c>
      <c r="H17" s="29">
        <v>-6.2199999999999998E-2</v>
      </c>
      <c r="J17" s="24">
        <v>9</v>
      </c>
      <c r="K17" s="25">
        <f t="shared" si="14"/>
        <v>0.78374335943769602</v>
      </c>
      <c r="L17" s="25">
        <f t="shared" si="0"/>
        <v>7.9922980448478258</v>
      </c>
      <c r="N17" s="26">
        <v>9</v>
      </c>
      <c r="O17" s="30">
        <f t="shared" ca="1" si="1"/>
        <v>25.246940771770479</v>
      </c>
      <c r="P17" s="30">
        <f t="shared" ca="1" si="1"/>
        <v>10.430950583562071</v>
      </c>
      <c r="Q17" s="30">
        <f t="shared" ca="1" si="1"/>
        <v>17.870905703913238</v>
      </c>
      <c r="R17" s="30">
        <f t="shared" ca="1" si="1"/>
        <v>31.598215305391626</v>
      </c>
      <c r="S17" s="30">
        <f t="shared" ca="1" si="1"/>
        <v>29.738428932192964</v>
      </c>
      <c r="T17" s="30">
        <f t="shared" ca="1" si="1"/>
        <v>25.169284681967767</v>
      </c>
      <c r="U17" s="30">
        <f t="shared" ca="1" si="1"/>
        <v>18.797488546729024</v>
      </c>
      <c r="V17" s="30">
        <f t="shared" ca="1" si="1"/>
        <v>0.85779870258176572</v>
      </c>
      <c r="W17" s="30">
        <f t="shared" ca="1" si="1"/>
        <v>20.848761272628426</v>
      </c>
      <c r="X17" s="30">
        <f t="shared" ca="1" si="1"/>
        <v>28.388021822776633</v>
      </c>
      <c r="Y17" s="30">
        <f t="shared" ca="1" si="1"/>
        <v>7.1747807569987447</v>
      </c>
      <c r="Z17" s="30">
        <f t="shared" ca="1" si="1"/>
        <v>26.735834244153409</v>
      </c>
      <c r="AA17" s="26">
        <v>9</v>
      </c>
      <c r="AB17" s="31">
        <f t="shared" ca="1" si="2"/>
        <v>47</v>
      </c>
      <c r="AC17" s="31">
        <f t="shared" ca="1" si="3"/>
        <v>13</v>
      </c>
      <c r="AD17" s="31">
        <f t="shared" ca="1" si="4"/>
        <v>26</v>
      </c>
      <c r="AE17" s="31">
        <f t="shared" ca="1" si="5"/>
        <v>98</v>
      </c>
      <c r="AF17" s="31">
        <f t="shared" ca="1" si="6"/>
        <v>74</v>
      </c>
      <c r="AG17" s="31">
        <f t="shared" ca="1" si="7"/>
        <v>47</v>
      </c>
      <c r="AH17" s="31">
        <f t="shared" ca="1" si="8"/>
        <v>28</v>
      </c>
      <c r="AI17" s="31">
        <f t="shared" ca="1" si="9"/>
        <v>1</v>
      </c>
      <c r="AJ17" s="31">
        <f t="shared" ca="1" si="10"/>
        <v>33</v>
      </c>
      <c r="AK17" s="31">
        <f t="shared" ca="1" si="11"/>
        <v>63</v>
      </c>
      <c r="AL17" s="31">
        <f t="shared" ca="1" si="12"/>
        <v>8</v>
      </c>
      <c r="AM17" s="31">
        <f t="shared" ca="1" si="13"/>
        <v>54</v>
      </c>
    </row>
    <row r="18" spans="1:39">
      <c r="A18" s="27"/>
      <c r="B18" s="28">
        <v>46022</v>
      </c>
      <c r="C18" s="29">
        <v>2.2094488888888889E-3</v>
      </c>
      <c r="D18" s="29">
        <v>8.8730332967434933E-3</v>
      </c>
      <c r="E18" s="29">
        <v>7.0290714558121081E-3</v>
      </c>
      <c r="F18" s="29">
        <v>-1.3431628540614082E-2</v>
      </c>
      <c r="G18" s="29">
        <v>-8.9107486449930717E-2</v>
      </c>
      <c r="H18" s="29">
        <v>-6.54E-2</v>
      </c>
      <c r="J18" s="24">
        <v>10</v>
      </c>
      <c r="K18" s="25">
        <f t="shared" si="14"/>
        <v>0.76023105865456508</v>
      </c>
      <c r="L18" s="25">
        <f t="shared" si="0"/>
        <v>8.7525291035023915</v>
      </c>
      <c r="N18" s="26">
        <v>10</v>
      </c>
      <c r="O18" s="30">
        <f t="shared" ca="1" si="1"/>
        <v>24.393660438111311</v>
      </c>
      <c r="P18" s="30">
        <f t="shared" ca="1" si="1"/>
        <v>8.67790523061824</v>
      </c>
      <c r="Q18" s="30">
        <f t="shared" ca="1" si="1"/>
        <v>24.606816834802984</v>
      </c>
      <c r="R18" s="30">
        <f t="shared" ca="1" si="1"/>
        <v>3.391107358117929</v>
      </c>
      <c r="S18" s="30">
        <f t="shared" ca="1" si="1"/>
        <v>18.043741645670842</v>
      </c>
      <c r="T18" s="30">
        <f t="shared" ca="1" si="1"/>
        <v>7.992394465348398</v>
      </c>
      <c r="U18" s="30">
        <f t="shared" ca="1" si="1"/>
        <v>33.253648838116789</v>
      </c>
      <c r="V18" s="30">
        <f t="shared" ca="1" si="1"/>
        <v>7.1698861991595866</v>
      </c>
      <c r="W18" s="30">
        <f t="shared" ca="1" si="1"/>
        <v>32.024008265813762</v>
      </c>
      <c r="X18" s="30">
        <f t="shared" ca="1" si="1"/>
        <v>15.869602157202202</v>
      </c>
      <c r="Y18" s="30">
        <f t="shared" ca="1" si="1"/>
        <v>26.53832219973696</v>
      </c>
      <c r="Z18" s="30">
        <f t="shared" ca="1" si="1"/>
        <v>3.5085557687833289</v>
      </c>
      <c r="AA18" s="26">
        <v>10</v>
      </c>
      <c r="AB18" s="31">
        <f t="shared" ca="1" si="2"/>
        <v>44</v>
      </c>
      <c r="AC18" s="31">
        <f t="shared" ca="1" si="3"/>
        <v>10</v>
      </c>
      <c r="AD18" s="31">
        <f t="shared" ca="1" si="4"/>
        <v>44</v>
      </c>
      <c r="AE18" s="31">
        <f t="shared" ca="1" si="5"/>
        <v>4</v>
      </c>
      <c r="AF18" s="31">
        <f t="shared" ca="1" si="6"/>
        <v>26</v>
      </c>
      <c r="AG18" s="31">
        <f t="shared" ca="1" si="7"/>
        <v>10</v>
      </c>
      <c r="AH18" s="31">
        <f t="shared" ca="1" si="8"/>
        <v>199</v>
      </c>
      <c r="AI18" s="31">
        <f t="shared" ca="1" si="9"/>
        <v>8</v>
      </c>
      <c r="AJ18" s="31">
        <f t="shared" ca="1" si="10"/>
        <v>107</v>
      </c>
      <c r="AK18" s="31">
        <f t="shared" ca="1" si="11"/>
        <v>22</v>
      </c>
      <c r="AL18" s="31">
        <f t="shared" ca="1" si="12"/>
        <v>53</v>
      </c>
      <c r="AM18" s="31">
        <f t="shared" ca="1" si="13"/>
        <v>4</v>
      </c>
    </row>
    <row r="19" spans="1:39">
      <c r="A19" s="27"/>
      <c r="B19" s="28">
        <v>45991</v>
      </c>
      <c r="C19" s="29">
        <v>1.9826736111111113E-3</v>
      </c>
      <c r="D19" s="29">
        <v>4.9025615884299434E-3</v>
      </c>
      <c r="E19" s="29">
        <v>1.1433849289763653E-2</v>
      </c>
      <c r="F19" s="29">
        <v>9.4906561803869138E-3</v>
      </c>
      <c r="G19" s="29">
        <v>1.4464896142462713E-2</v>
      </c>
      <c r="H19" s="29">
        <v>-1.5300000000000001E-2</v>
      </c>
      <c r="J19" s="24">
        <v>11</v>
      </c>
      <c r="K19" s="25">
        <f t="shared" si="14"/>
        <v>0.73742412689492809</v>
      </c>
      <c r="L19" s="25">
        <f t="shared" si="0"/>
        <v>9.4899532303973189</v>
      </c>
      <c r="N19" s="26">
        <v>11</v>
      </c>
      <c r="O19" s="30">
        <f t="shared" ref="O19:Z28" ca="1" si="15">RAND()*sumweights</f>
        <v>25.796936216538533</v>
      </c>
      <c r="P19" s="30">
        <f t="shared" ca="1" si="15"/>
        <v>13.269688105080892</v>
      </c>
      <c r="Q19" s="30">
        <f t="shared" ca="1" si="15"/>
        <v>15.167724528167966</v>
      </c>
      <c r="R19" s="30">
        <f t="shared" ca="1" si="15"/>
        <v>22.297172540595451</v>
      </c>
      <c r="S19" s="30">
        <f t="shared" ca="1" si="15"/>
        <v>16.302635542638406</v>
      </c>
      <c r="T19" s="30">
        <f t="shared" ca="1" si="15"/>
        <v>8.7284063370803882</v>
      </c>
      <c r="U19" s="30">
        <f t="shared" ca="1" si="15"/>
        <v>6.224448845105738</v>
      </c>
      <c r="V19" s="30">
        <f t="shared" ca="1" si="15"/>
        <v>12.524990385140246</v>
      </c>
      <c r="W19" s="30">
        <f t="shared" ca="1" si="15"/>
        <v>19.686756786054495</v>
      </c>
      <c r="X19" s="30">
        <f t="shared" ca="1" si="15"/>
        <v>9.9080382038466404</v>
      </c>
      <c r="Y19" s="30">
        <f t="shared" ca="1" si="15"/>
        <v>4.4604891869089354</v>
      </c>
      <c r="Z19" s="30">
        <f t="shared" ca="1" si="15"/>
        <v>16.217362842614172</v>
      </c>
      <c r="AA19" s="26">
        <v>11</v>
      </c>
      <c r="AB19" s="31">
        <f t="shared" ca="1" si="2"/>
        <v>49</v>
      </c>
      <c r="AC19" s="31">
        <f t="shared" ca="1" si="3"/>
        <v>17</v>
      </c>
      <c r="AD19" s="31">
        <f t="shared" ca="1" si="4"/>
        <v>20</v>
      </c>
      <c r="AE19" s="31">
        <f t="shared" ca="1" si="5"/>
        <v>37</v>
      </c>
      <c r="AF19" s="31">
        <f t="shared" ca="1" si="6"/>
        <v>23</v>
      </c>
      <c r="AG19" s="31">
        <f t="shared" ca="1" si="7"/>
        <v>10</v>
      </c>
      <c r="AH19" s="31">
        <f t="shared" ca="1" si="8"/>
        <v>7</v>
      </c>
      <c r="AI19" s="31">
        <f t="shared" ca="1" si="9"/>
        <v>16</v>
      </c>
      <c r="AJ19" s="31">
        <f t="shared" ca="1" si="10"/>
        <v>30</v>
      </c>
      <c r="AK19" s="31">
        <f t="shared" ca="1" si="11"/>
        <v>12</v>
      </c>
      <c r="AL19" s="31">
        <f t="shared" ca="1" si="12"/>
        <v>5</v>
      </c>
      <c r="AM19" s="31">
        <f t="shared" ca="1" si="13"/>
        <v>22</v>
      </c>
    </row>
    <row r="20" spans="1:39">
      <c r="A20" s="27"/>
      <c r="B20" s="28">
        <v>45961</v>
      </c>
      <c r="C20" s="29">
        <v>2.1204861111111107E-3</v>
      </c>
      <c r="D20" s="29">
        <v>4.2464151640100312E-3</v>
      </c>
      <c r="E20" s="29">
        <v>5.0147240834790274E-3</v>
      </c>
      <c r="F20" s="29">
        <v>-8.1588835212031974E-4</v>
      </c>
      <c r="G20" s="29">
        <v>-8.4062238643820564E-3</v>
      </c>
      <c r="H20" s="29">
        <v>-2.6600000000000002E-2</v>
      </c>
      <c r="J20" s="24">
        <v>12</v>
      </c>
      <c r="K20" s="25">
        <f t="shared" si="14"/>
        <v>0.71530140308808021</v>
      </c>
      <c r="L20" s="25">
        <f t="shared" si="0"/>
        <v>10.205254633485399</v>
      </c>
      <c r="N20" s="26">
        <v>12</v>
      </c>
      <c r="O20" s="30">
        <f t="shared" ca="1" si="15"/>
        <v>30.992370961941631</v>
      </c>
      <c r="P20" s="30">
        <f t="shared" ca="1" si="15"/>
        <v>21.294421780737416</v>
      </c>
      <c r="Q20" s="30">
        <f t="shared" ca="1" si="15"/>
        <v>25.631395900085682</v>
      </c>
      <c r="R20" s="30">
        <f t="shared" ca="1" si="15"/>
        <v>24.338357726860853</v>
      </c>
      <c r="S20" s="30">
        <f t="shared" ca="1" si="15"/>
        <v>8.3709070017783773</v>
      </c>
      <c r="T20" s="30">
        <f t="shared" ca="1" si="15"/>
        <v>29.880369733596023</v>
      </c>
      <c r="U20" s="30">
        <f t="shared" ca="1" si="15"/>
        <v>3.0072314452067759</v>
      </c>
      <c r="V20" s="30">
        <f t="shared" ca="1" si="15"/>
        <v>0.68167494455026667</v>
      </c>
      <c r="W20" s="30">
        <f t="shared" ca="1" si="15"/>
        <v>28.746587375465701</v>
      </c>
      <c r="X20" s="30">
        <f t="shared" ca="1" si="15"/>
        <v>17.063764105927245</v>
      </c>
      <c r="Y20" s="30">
        <f t="shared" ca="1" si="15"/>
        <v>9.8593141133495017</v>
      </c>
      <c r="Z20" s="30">
        <f t="shared" ca="1" si="15"/>
        <v>0.51314588063501376</v>
      </c>
      <c r="AA20" s="26">
        <v>12</v>
      </c>
      <c r="AB20" s="31">
        <f t="shared" ca="1" si="2"/>
        <v>88</v>
      </c>
      <c r="AC20" s="31">
        <f t="shared" ca="1" si="3"/>
        <v>34</v>
      </c>
      <c r="AD20" s="31">
        <f t="shared" ca="1" si="4"/>
        <v>49</v>
      </c>
      <c r="AE20" s="31">
        <f t="shared" ca="1" si="5"/>
        <v>44</v>
      </c>
      <c r="AF20" s="31">
        <f t="shared" ca="1" si="6"/>
        <v>10</v>
      </c>
      <c r="AG20" s="31">
        <f t="shared" ca="1" si="7"/>
        <v>75</v>
      </c>
      <c r="AH20" s="31">
        <f t="shared" ca="1" si="8"/>
        <v>4</v>
      </c>
      <c r="AI20" s="31">
        <f t="shared" ca="1" si="9"/>
        <v>1</v>
      </c>
      <c r="AJ20" s="31">
        <f t="shared" ca="1" si="10"/>
        <v>66</v>
      </c>
      <c r="AK20" s="31">
        <f t="shared" ca="1" si="11"/>
        <v>24</v>
      </c>
      <c r="AL20" s="31">
        <f t="shared" ca="1" si="12"/>
        <v>12</v>
      </c>
      <c r="AM20" s="31">
        <f t="shared" ca="1" si="13"/>
        <v>1</v>
      </c>
    </row>
    <row r="21" spans="1:39">
      <c r="A21" s="27"/>
      <c r="B21" s="28">
        <v>45930</v>
      </c>
      <c r="C21" s="29">
        <v>2.1161805555555556E-3</v>
      </c>
      <c r="D21" s="29">
        <v>3.3033867432310515E-3</v>
      </c>
      <c r="E21" s="29">
        <v>9.5725047216219661E-3</v>
      </c>
      <c r="F21" s="29">
        <v>-8.0807791873460655E-4</v>
      </c>
      <c r="G21" s="29">
        <v>-8.4303846880255384E-2</v>
      </c>
      <c r="H21" s="29">
        <v>-8.5000000000000006E-3</v>
      </c>
      <c r="J21" s="24">
        <v>13</v>
      </c>
      <c r="K21" s="25">
        <f t="shared" si="14"/>
        <v>0.69384236099543783</v>
      </c>
      <c r="L21" s="25">
        <f t="shared" si="0"/>
        <v>10.899096994480837</v>
      </c>
      <c r="N21" s="26">
        <v>13</v>
      </c>
      <c r="O21" s="30">
        <f t="shared" ca="1" si="15"/>
        <v>9.81740678622897</v>
      </c>
      <c r="P21" s="30">
        <f t="shared" ca="1" si="15"/>
        <v>8.7203892262179892</v>
      </c>
      <c r="Q21" s="30">
        <f t="shared" ca="1" si="15"/>
        <v>10.374437084044505</v>
      </c>
      <c r="R21" s="30">
        <f t="shared" ca="1" si="15"/>
        <v>19.935675691429971</v>
      </c>
      <c r="S21" s="30">
        <f t="shared" ca="1" si="15"/>
        <v>7.7881536952855601</v>
      </c>
      <c r="T21" s="30">
        <f t="shared" ca="1" si="15"/>
        <v>18.152883958556593</v>
      </c>
      <c r="U21" s="30">
        <f t="shared" ca="1" si="15"/>
        <v>3.5825968067902858</v>
      </c>
      <c r="V21" s="30">
        <f t="shared" ca="1" si="15"/>
        <v>20.683261454573422</v>
      </c>
      <c r="W21" s="30">
        <f t="shared" ca="1" si="15"/>
        <v>20.632117978349939</v>
      </c>
      <c r="X21" s="30">
        <f t="shared" ca="1" si="15"/>
        <v>22.859766919854557</v>
      </c>
      <c r="Y21" s="30">
        <f t="shared" ca="1" si="15"/>
        <v>20.818759386883425</v>
      </c>
      <c r="Z21" s="30">
        <f t="shared" ca="1" si="15"/>
        <v>23.170473102525122</v>
      </c>
      <c r="AA21" s="26">
        <v>13</v>
      </c>
      <c r="AB21" s="31">
        <f t="shared" ca="1" si="2"/>
        <v>12</v>
      </c>
      <c r="AC21" s="31">
        <f t="shared" ca="1" si="3"/>
        <v>10</v>
      </c>
      <c r="AD21" s="31">
        <f t="shared" ca="1" si="4"/>
        <v>13</v>
      </c>
      <c r="AE21" s="31">
        <f t="shared" ca="1" si="5"/>
        <v>30</v>
      </c>
      <c r="AF21" s="31">
        <f t="shared" ca="1" si="6"/>
        <v>9</v>
      </c>
      <c r="AG21" s="31">
        <f t="shared" ca="1" si="7"/>
        <v>26</v>
      </c>
      <c r="AH21" s="31">
        <f t="shared" ca="1" si="8"/>
        <v>4</v>
      </c>
      <c r="AI21" s="31">
        <f t="shared" ca="1" si="9"/>
        <v>32</v>
      </c>
      <c r="AJ21" s="31">
        <f t="shared" ca="1" si="10"/>
        <v>32</v>
      </c>
      <c r="AK21" s="31">
        <f t="shared" ca="1" si="11"/>
        <v>39</v>
      </c>
      <c r="AL21" s="31">
        <f t="shared" ca="1" si="12"/>
        <v>33</v>
      </c>
      <c r="AM21" s="31">
        <f t="shared" ca="1" si="13"/>
        <v>39</v>
      </c>
    </row>
    <row r="22" spans="1:39">
      <c r="A22" s="27"/>
      <c r="B22" s="28">
        <v>45900</v>
      </c>
      <c r="C22" s="29">
        <v>2.3354166666666666E-3</v>
      </c>
      <c r="D22" s="29">
        <v>-4.1286559468017847E-3</v>
      </c>
      <c r="E22" s="29">
        <v>-1.4165970521188842E-2</v>
      </c>
      <c r="F22" s="29">
        <v>-7.332950003904215E-3</v>
      </c>
      <c r="G22" s="29">
        <v>1.2952649864323096E-2</v>
      </c>
      <c r="H22" s="29">
        <v>1.7399999999999999E-2</v>
      </c>
      <c r="J22" s="24">
        <v>14</v>
      </c>
      <c r="K22" s="25">
        <f t="shared" si="14"/>
        <v>0.67302709016557472</v>
      </c>
      <c r="L22" s="25">
        <f t="shared" si="0"/>
        <v>11.572124084646411</v>
      </c>
      <c r="N22" s="26">
        <v>14</v>
      </c>
      <c r="O22" s="30">
        <f t="shared" ca="1" si="15"/>
        <v>0.52288085913866622</v>
      </c>
      <c r="P22" s="30">
        <f t="shared" ca="1" si="15"/>
        <v>29.027201558016227</v>
      </c>
      <c r="Q22" s="30">
        <f t="shared" ca="1" si="15"/>
        <v>22.488638617869483</v>
      </c>
      <c r="R22" s="30">
        <f t="shared" ca="1" si="15"/>
        <v>30.174697036257015</v>
      </c>
      <c r="S22" s="30">
        <f t="shared" ca="1" si="15"/>
        <v>30.676949683579306</v>
      </c>
      <c r="T22" s="30">
        <f t="shared" ca="1" si="15"/>
        <v>27.838474553870928</v>
      </c>
      <c r="U22" s="30">
        <f t="shared" ca="1" si="15"/>
        <v>24.824054859994426</v>
      </c>
      <c r="V22" s="30">
        <f t="shared" ca="1" si="15"/>
        <v>23.018005051786229</v>
      </c>
      <c r="W22" s="30">
        <f t="shared" ca="1" si="15"/>
        <v>27.287822744026542</v>
      </c>
      <c r="X22" s="30">
        <f t="shared" ca="1" si="15"/>
        <v>10.219781025561852</v>
      </c>
      <c r="Y22" s="30">
        <f t="shared" ca="1" si="15"/>
        <v>9.4027402069993684</v>
      </c>
      <c r="Z22" s="30">
        <f t="shared" ca="1" si="15"/>
        <v>15.572258500307589</v>
      </c>
      <c r="AA22" s="26">
        <v>14</v>
      </c>
      <c r="AB22" s="31">
        <f t="shared" ca="1" si="2"/>
        <v>1</v>
      </c>
      <c r="AC22" s="31">
        <f t="shared" ca="1" si="3"/>
        <v>68</v>
      </c>
      <c r="AD22" s="31">
        <f t="shared" ca="1" si="4"/>
        <v>37</v>
      </c>
      <c r="AE22" s="31">
        <f t="shared" ca="1" si="5"/>
        <v>78</v>
      </c>
      <c r="AF22" s="31">
        <f t="shared" ca="1" si="6"/>
        <v>84</v>
      </c>
      <c r="AG22" s="31">
        <f t="shared" ca="1" si="7"/>
        <v>60</v>
      </c>
      <c r="AH22" s="31">
        <f t="shared" ca="1" si="8"/>
        <v>45</v>
      </c>
      <c r="AI22" s="31">
        <f t="shared" ca="1" si="9"/>
        <v>39</v>
      </c>
      <c r="AJ22" s="31">
        <f t="shared" ca="1" si="10"/>
        <v>57</v>
      </c>
      <c r="AK22" s="31">
        <f t="shared" ca="1" si="11"/>
        <v>13</v>
      </c>
      <c r="AL22" s="31">
        <f t="shared" ca="1" si="12"/>
        <v>11</v>
      </c>
      <c r="AM22" s="31">
        <f t="shared" ca="1" si="13"/>
        <v>21</v>
      </c>
    </row>
    <row r="23" spans="1:39">
      <c r="A23" s="27"/>
      <c r="B23" s="28">
        <v>45869</v>
      </c>
      <c r="C23" s="29">
        <v>2.2526083333333333E-3</v>
      </c>
      <c r="D23" s="29">
        <v>-9.1134216241387511E-3</v>
      </c>
      <c r="E23" s="29">
        <v>-1.6826580080252618E-2</v>
      </c>
      <c r="F23" s="29">
        <v>-2.0897383222588939E-3</v>
      </c>
      <c r="G23" s="29">
        <v>4.8703372600695793E-2</v>
      </c>
      <c r="H23" s="29">
        <v>1.01E-2</v>
      </c>
      <c r="J23" s="24">
        <v>15</v>
      </c>
      <c r="K23" s="25">
        <f t="shared" si="14"/>
        <v>0.65283627746060746</v>
      </c>
      <c r="L23" s="25">
        <f t="shared" si="0"/>
        <v>12.224960362107019</v>
      </c>
      <c r="N23" s="26">
        <v>15</v>
      </c>
      <c r="O23" s="30">
        <f t="shared" ca="1" si="15"/>
        <v>7.7811041442374878</v>
      </c>
      <c r="P23" s="30">
        <f t="shared" ca="1" si="15"/>
        <v>27.143115498786269</v>
      </c>
      <c r="Q23" s="30">
        <f t="shared" ca="1" si="15"/>
        <v>2.5001356351157225</v>
      </c>
      <c r="R23" s="30">
        <f t="shared" ca="1" si="15"/>
        <v>21.528970340510977</v>
      </c>
      <c r="S23" s="30">
        <f t="shared" ca="1" si="15"/>
        <v>5.4125015565254255</v>
      </c>
      <c r="T23" s="30">
        <f t="shared" ca="1" si="15"/>
        <v>11.243657007082291</v>
      </c>
      <c r="U23" s="30">
        <f t="shared" ca="1" si="15"/>
        <v>32.46476857315924</v>
      </c>
      <c r="V23" s="30">
        <f t="shared" ca="1" si="15"/>
        <v>0.69252512746317707</v>
      </c>
      <c r="W23" s="30">
        <f t="shared" ca="1" si="15"/>
        <v>24.680748915141105</v>
      </c>
      <c r="X23" s="30">
        <f t="shared" ca="1" si="15"/>
        <v>32.755306314554417</v>
      </c>
      <c r="Y23" s="30">
        <f t="shared" ca="1" si="15"/>
        <v>21.437730404383085</v>
      </c>
      <c r="Z23" s="30">
        <f t="shared" ca="1" si="15"/>
        <v>15.214025390846002</v>
      </c>
      <c r="AA23" s="26">
        <v>15</v>
      </c>
      <c r="AB23" s="31">
        <f t="shared" ca="1" si="2"/>
        <v>9</v>
      </c>
      <c r="AC23" s="31">
        <f t="shared" ca="1" si="3"/>
        <v>56</v>
      </c>
      <c r="AD23" s="31">
        <f t="shared" ca="1" si="4"/>
        <v>3</v>
      </c>
      <c r="AE23" s="31">
        <f t="shared" ca="1" si="5"/>
        <v>35</v>
      </c>
      <c r="AF23" s="31">
        <f t="shared" ca="1" si="6"/>
        <v>6</v>
      </c>
      <c r="AG23" s="31">
        <f t="shared" ca="1" si="7"/>
        <v>14</v>
      </c>
      <c r="AH23" s="31">
        <f t="shared" ca="1" si="8"/>
        <v>120</v>
      </c>
      <c r="AI23" s="31">
        <f t="shared" ca="1" si="9"/>
        <v>1</v>
      </c>
      <c r="AJ23" s="31">
        <f t="shared" ca="1" si="10"/>
        <v>45</v>
      </c>
      <c r="AK23" s="31">
        <f t="shared" ca="1" si="11"/>
        <v>134</v>
      </c>
      <c r="AL23" s="31">
        <f t="shared" ca="1" si="12"/>
        <v>34</v>
      </c>
      <c r="AM23" s="31">
        <f t="shared" ca="1" si="13"/>
        <v>21</v>
      </c>
    </row>
    <row r="24" spans="1:39">
      <c r="A24" s="27"/>
      <c r="B24" s="28">
        <v>45838</v>
      </c>
      <c r="C24" s="29">
        <v>2.6785980555555557E-3</v>
      </c>
      <c r="D24" s="29">
        <v>2.8982091337235172E-3</v>
      </c>
      <c r="E24" s="29">
        <v>7.217369358253567E-3</v>
      </c>
      <c r="F24" s="29">
        <v>3.4118533471703127E-3</v>
      </c>
      <c r="G24" s="29">
        <v>-4.3180490828256257E-3</v>
      </c>
      <c r="H24" s="29">
        <v>-2.7099999999999999E-2</v>
      </c>
      <c r="J24" s="24">
        <v>16</v>
      </c>
      <c r="K24" s="25">
        <f t="shared" si="14"/>
        <v>0.63325118913678924</v>
      </c>
      <c r="L24" s="25">
        <f t="shared" si="0"/>
        <v>12.858211551243809</v>
      </c>
      <c r="N24" s="26">
        <v>16</v>
      </c>
      <c r="O24" s="30">
        <f t="shared" ca="1" si="15"/>
        <v>15.692824593080935</v>
      </c>
      <c r="P24" s="30">
        <f t="shared" ca="1" si="15"/>
        <v>28.615502658205457</v>
      </c>
      <c r="Q24" s="30">
        <f t="shared" ca="1" si="15"/>
        <v>24.102192146921034</v>
      </c>
      <c r="R24" s="30">
        <f t="shared" ca="1" si="15"/>
        <v>32.66954854318292</v>
      </c>
      <c r="S24" s="30">
        <f t="shared" ca="1" si="15"/>
        <v>0.18913277734887979</v>
      </c>
      <c r="T24" s="30">
        <f t="shared" ca="1" si="15"/>
        <v>21.51397955546296</v>
      </c>
      <c r="U24" s="30">
        <f t="shared" ca="1" si="15"/>
        <v>4.4767937402488993</v>
      </c>
      <c r="V24" s="30">
        <f t="shared" ca="1" si="15"/>
        <v>8.2733441235881884</v>
      </c>
      <c r="W24" s="30">
        <f t="shared" ca="1" si="15"/>
        <v>26.238797925009678</v>
      </c>
      <c r="X24" s="30">
        <f t="shared" ca="1" si="15"/>
        <v>29.813786342427434</v>
      </c>
      <c r="Y24" s="30">
        <f t="shared" ca="1" si="15"/>
        <v>26.792947287628724</v>
      </c>
      <c r="Z24" s="30">
        <f t="shared" ca="1" si="15"/>
        <v>24.97474558258503</v>
      </c>
      <c r="AA24" s="26">
        <v>16</v>
      </c>
      <c r="AB24" s="31">
        <f t="shared" ca="1" si="2"/>
        <v>21</v>
      </c>
      <c r="AC24" s="31">
        <f t="shared" ca="1" si="3"/>
        <v>65</v>
      </c>
      <c r="AD24" s="31">
        <f t="shared" ca="1" si="4"/>
        <v>43</v>
      </c>
      <c r="AE24" s="31">
        <f t="shared" ca="1" si="5"/>
        <v>129</v>
      </c>
      <c r="AF24" s="31">
        <f t="shared" ca="1" si="6"/>
        <v>1</v>
      </c>
      <c r="AG24" s="31">
        <f t="shared" ca="1" si="7"/>
        <v>35</v>
      </c>
      <c r="AH24" s="31">
        <f t="shared" ca="1" si="8"/>
        <v>5</v>
      </c>
      <c r="AI24" s="31">
        <f t="shared" ca="1" si="9"/>
        <v>10</v>
      </c>
      <c r="AJ24" s="31">
        <f t="shared" ca="1" si="10"/>
        <v>51</v>
      </c>
      <c r="AK24" s="31">
        <f t="shared" ca="1" si="11"/>
        <v>74</v>
      </c>
      <c r="AL24" s="31">
        <f t="shared" ca="1" si="12"/>
        <v>54</v>
      </c>
      <c r="AM24" s="31">
        <f t="shared" ca="1" si="13"/>
        <v>46</v>
      </c>
    </row>
    <row r="25" spans="1:39">
      <c r="A25" s="27"/>
      <c r="B25" s="28">
        <v>45808</v>
      </c>
      <c r="C25" s="29">
        <v>2.5324652777777776E-3</v>
      </c>
      <c r="D25" s="29">
        <v>9.2641539356135283E-3</v>
      </c>
      <c r="E25" s="29">
        <v>9.8048238317391956E-3</v>
      </c>
      <c r="F25" s="29">
        <v>1.3879892662163051E-3</v>
      </c>
      <c r="G25" s="29">
        <v>-3.2485800781493213E-2</v>
      </c>
      <c r="H25" s="29">
        <v>1.3600000000000001E-2</v>
      </c>
      <c r="J25" s="24">
        <v>17</v>
      </c>
      <c r="K25" s="25">
        <f t="shared" si="14"/>
        <v>0.61425365346268557</v>
      </c>
      <c r="L25" s="25">
        <f t="shared" si="0"/>
        <v>13.472465204706495</v>
      </c>
      <c r="N25" s="26">
        <v>17</v>
      </c>
      <c r="O25" s="30">
        <f t="shared" ca="1" si="15"/>
        <v>9.6660717911032474</v>
      </c>
      <c r="P25" s="30">
        <f t="shared" ca="1" si="15"/>
        <v>2.4022524859546786</v>
      </c>
      <c r="Q25" s="30">
        <f t="shared" ca="1" si="15"/>
        <v>25.511529094188301</v>
      </c>
      <c r="R25" s="30">
        <f t="shared" ca="1" si="15"/>
        <v>30.552942934766918</v>
      </c>
      <c r="S25" s="30">
        <f t="shared" ca="1" si="15"/>
        <v>26.900808779781794</v>
      </c>
      <c r="T25" s="30">
        <f t="shared" ca="1" si="15"/>
        <v>17.617055745908129</v>
      </c>
      <c r="U25" s="30">
        <f t="shared" ca="1" si="15"/>
        <v>30.306724952597165</v>
      </c>
      <c r="V25" s="30">
        <f t="shared" ca="1" si="15"/>
        <v>11.824352244379055</v>
      </c>
      <c r="W25" s="30">
        <f t="shared" ca="1" si="15"/>
        <v>7.5616636103301094</v>
      </c>
      <c r="X25" s="30">
        <f t="shared" ca="1" si="15"/>
        <v>12.849773255569849</v>
      </c>
      <c r="Y25" s="30">
        <f t="shared" ca="1" si="15"/>
        <v>16.272493084495316</v>
      </c>
      <c r="Z25" s="30">
        <f t="shared" ca="1" si="15"/>
        <v>17.916661598843973</v>
      </c>
      <c r="AA25" s="26">
        <v>17</v>
      </c>
      <c r="AB25" s="31">
        <f t="shared" ca="1" si="2"/>
        <v>12</v>
      </c>
      <c r="AC25" s="31">
        <f t="shared" ca="1" si="3"/>
        <v>3</v>
      </c>
      <c r="AD25" s="31">
        <f t="shared" ca="1" si="4"/>
        <v>48</v>
      </c>
      <c r="AE25" s="31">
        <f t="shared" ca="1" si="5"/>
        <v>82</v>
      </c>
      <c r="AF25" s="31">
        <f t="shared" ca="1" si="6"/>
        <v>55</v>
      </c>
      <c r="AG25" s="31">
        <f t="shared" ca="1" si="7"/>
        <v>25</v>
      </c>
      <c r="AH25" s="31">
        <f t="shared" ca="1" si="8"/>
        <v>79</v>
      </c>
      <c r="AI25" s="31">
        <f t="shared" ca="1" si="9"/>
        <v>15</v>
      </c>
      <c r="AJ25" s="31">
        <f t="shared" ca="1" si="10"/>
        <v>9</v>
      </c>
      <c r="AK25" s="31">
        <f t="shared" ca="1" si="11"/>
        <v>16</v>
      </c>
      <c r="AL25" s="31">
        <f t="shared" ca="1" si="12"/>
        <v>22</v>
      </c>
      <c r="AM25" s="31">
        <f t="shared" ca="1" si="13"/>
        <v>26</v>
      </c>
    </row>
    <row r="26" spans="1:39">
      <c r="A26" s="27"/>
      <c r="B26" s="28">
        <v>45777</v>
      </c>
      <c r="C26" s="29">
        <v>3.9611111111111106E-3</v>
      </c>
      <c r="D26" s="29">
        <v>1.8411843876177558E-2</v>
      </c>
      <c r="E26" s="29">
        <v>2.7346051186571296E-2</v>
      </c>
      <c r="F26" s="29">
        <v>1.6798147209958758E-2</v>
      </c>
      <c r="G26" s="29">
        <v>-5.9981389556644782E-2</v>
      </c>
      <c r="H26" s="29">
        <v>-2.8999999999999998E-2</v>
      </c>
      <c r="J26" s="24">
        <v>18</v>
      </c>
      <c r="K26" s="25">
        <f t="shared" si="14"/>
        <v>0.595826043858805</v>
      </c>
      <c r="L26" s="25">
        <f t="shared" si="0"/>
        <v>14.0682912485653</v>
      </c>
      <c r="N26" s="26">
        <v>18</v>
      </c>
      <c r="O26" s="30">
        <f t="shared" ca="1" si="15"/>
        <v>6.1990366111633666</v>
      </c>
      <c r="P26" s="30">
        <f t="shared" ca="1" si="15"/>
        <v>4.3501343288465328</v>
      </c>
      <c r="Q26" s="30">
        <f t="shared" ca="1" si="15"/>
        <v>14.838279679124931</v>
      </c>
      <c r="R26" s="30">
        <f t="shared" ca="1" si="15"/>
        <v>15.000063208718903</v>
      </c>
      <c r="S26" s="30">
        <f t="shared" ca="1" si="15"/>
        <v>31.854791345549348</v>
      </c>
      <c r="T26" s="30">
        <f t="shared" ca="1" si="15"/>
        <v>19.902168205364863</v>
      </c>
      <c r="U26" s="30">
        <f t="shared" ca="1" si="15"/>
        <v>1.4086471414873143</v>
      </c>
      <c r="V26" s="30">
        <f t="shared" ca="1" si="15"/>
        <v>13.472575478103344</v>
      </c>
      <c r="W26" s="30">
        <f t="shared" ca="1" si="15"/>
        <v>26.511718600648422</v>
      </c>
      <c r="X26" s="30">
        <f t="shared" ca="1" si="15"/>
        <v>2.8638703609994058</v>
      </c>
      <c r="Y26" s="30">
        <f t="shared" ca="1" si="15"/>
        <v>9.1766824585470381</v>
      </c>
      <c r="Z26" s="30">
        <f t="shared" ca="1" si="15"/>
        <v>12.076555335799334</v>
      </c>
      <c r="AA26" s="26">
        <v>18</v>
      </c>
      <c r="AB26" s="31">
        <f t="shared" ca="1" si="2"/>
        <v>7</v>
      </c>
      <c r="AC26" s="31">
        <f t="shared" ca="1" si="3"/>
        <v>5</v>
      </c>
      <c r="AD26" s="31">
        <f t="shared" ca="1" si="4"/>
        <v>20</v>
      </c>
      <c r="AE26" s="31">
        <f t="shared" ca="1" si="5"/>
        <v>20</v>
      </c>
      <c r="AF26" s="31">
        <f t="shared" ca="1" si="6"/>
        <v>103</v>
      </c>
      <c r="AG26" s="31">
        <f t="shared" ca="1" si="7"/>
        <v>30</v>
      </c>
      <c r="AH26" s="31">
        <f t="shared" ca="1" si="8"/>
        <v>2</v>
      </c>
      <c r="AI26" s="31">
        <f t="shared" ca="1" si="9"/>
        <v>18</v>
      </c>
      <c r="AJ26" s="31">
        <f t="shared" ca="1" si="10"/>
        <v>53</v>
      </c>
      <c r="AK26" s="31">
        <f t="shared" ca="1" si="11"/>
        <v>3</v>
      </c>
      <c r="AL26" s="31">
        <f t="shared" ca="1" si="12"/>
        <v>11</v>
      </c>
      <c r="AM26" s="31">
        <f t="shared" ca="1" si="13"/>
        <v>15</v>
      </c>
    </row>
    <row r="27" spans="1:39">
      <c r="A27" s="27"/>
      <c r="B27" s="28">
        <v>45747</v>
      </c>
      <c r="C27" s="29">
        <v>4.5089930555555552E-3</v>
      </c>
      <c r="D27" s="29">
        <v>2.1761024386734995E-3</v>
      </c>
      <c r="E27" s="29">
        <v>7.2734149410669247E-5</v>
      </c>
      <c r="F27" s="29">
        <v>2.8087645065066891E-3</v>
      </c>
      <c r="G27" s="29">
        <v>-6.9378179976782306E-3</v>
      </c>
      <c r="H27" s="29">
        <v>4.5000000000000005E-3</v>
      </c>
      <c r="J27" s="24">
        <v>19</v>
      </c>
      <c r="K27" s="25">
        <f t="shared" si="14"/>
        <v>0.57795126254304086</v>
      </c>
      <c r="L27" s="25">
        <f t="shared" si="0"/>
        <v>14.646242511108341</v>
      </c>
      <c r="N27" s="26">
        <v>19</v>
      </c>
      <c r="O27" s="30">
        <f t="shared" ca="1" si="15"/>
        <v>1.873345249572661</v>
      </c>
      <c r="P27" s="30">
        <f t="shared" ca="1" si="15"/>
        <v>13.571290075825354</v>
      </c>
      <c r="Q27" s="30">
        <f t="shared" ca="1" si="15"/>
        <v>23.32826890872515</v>
      </c>
      <c r="R27" s="30">
        <f t="shared" ca="1" si="15"/>
        <v>22.051873210725343</v>
      </c>
      <c r="S27" s="30">
        <f t="shared" ca="1" si="15"/>
        <v>29.01146277496872</v>
      </c>
      <c r="T27" s="30">
        <f t="shared" ca="1" si="15"/>
        <v>8.7907695021009857</v>
      </c>
      <c r="U27" s="30">
        <f t="shared" ca="1" si="15"/>
        <v>15.116344534838174</v>
      </c>
      <c r="V27" s="30">
        <f t="shared" ca="1" si="15"/>
        <v>1.6595429300115478</v>
      </c>
      <c r="W27" s="30">
        <f t="shared" ca="1" si="15"/>
        <v>18.425769452004261</v>
      </c>
      <c r="X27" s="30">
        <f t="shared" ca="1" si="15"/>
        <v>27.306934039771264</v>
      </c>
      <c r="Y27" s="30">
        <f t="shared" ca="1" si="15"/>
        <v>10.999640654642578</v>
      </c>
      <c r="Z27" s="30">
        <f t="shared" ca="1" si="15"/>
        <v>14.415474350392318</v>
      </c>
      <c r="AA27" s="26">
        <v>19</v>
      </c>
      <c r="AB27" s="31">
        <f t="shared" ca="1" si="2"/>
        <v>2</v>
      </c>
      <c r="AC27" s="31">
        <f ca="1">MATCH(P27,cum_wt,1)</f>
        <v>18</v>
      </c>
      <c r="AD27" s="31">
        <f t="shared" ca="1" si="4"/>
        <v>40</v>
      </c>
      <c r="AE27" s="31">
        <f t="shared" ca="1" si="5"/>
        <v>36</v>
      </c>
      <c r="AF27" s="31">
        <f t="shared" ca="1" si="6"/>
        <v>68</v>
      </c>
      <c r="AG27" s="31">
        <f t="shared" ca="1" si="7"/>
        <v>11</v>
      </c>
      <c r="AH27" s="31">
        <f t="shared" ca="1" si="8"/>
        <v>20</v>
      </c>
      <c r="AI27" s="31">
        <f t="shared" ca="1" si="9"/>
        <v>2</v>
      </c>
      <c r="AJ27" s="31">
        <f t="shared" ca="1" si="10"/>
        <v>27</v>
      </c>
      <c r="AK27" s="31">
        <f t="shared" ca="1" si="11"/>
        <v>57</v>
      </c>
      <c r="AL27" s="31">
        <f t="shared" ca="1" si="12"/>
        <v>14</v>
      </c>
      <c r="AM27" s="31">
        <f t="shared" ca="1" si="13"/>
        <v>19</v>
      </c>
    </row>
    <row r="28" spans="1:39">
      <c r="A28" s="27"/>
      <c r="B28" s="28">
        <v>45716</v>
      </c>
      <c r="C28" s="29">
        <v>3.921875E-3</v>
      </c>
      <c r="D28" s="29">
        <v>1.8145862706681504E-2</v>
      </c>
      <c r="E28" s="29">
        <v>3.2440469485683243E-2</v>
      </c>
      <c r="F28" s="29">
        <v>1.7983139882821408E-2</v>
      </c>
      <c r="G28" s="29">
        <v>-4.1806451293472713E-2</v>
      </c>
      <c r="H28" s="29">
        <v>-1.4999999999999999E-2</v>
      </c>
      <c r="J28" s="24">
        <v>20</v>
      </c>
      <c r="K28" s="25">
        <f t="shared" si="14"/>
        <v>0.56061272466674961</v>
      </c>
      <c r="L28" s="25">
        <f t="shared" si="0"/>
        <v>15.206855235775091</v>
      </c>
      <c r="N28" s="26">
        <v>20</v>
      </c>
      <c r="O28" s="30">
        <f t="shared" ca="1" si="15"/>
        <v>6.9736143506163826</v>
      </c>
      <c r="P28" s="30">
        <f t="shared" ca="1" si="15"/>
        <v>16.827204469655605</v>
      </c>
      <c r="Q28" s="30">
        <f t="shared" ca="1" si="15"/>
        <v>31.077384694151011</v>
      </c>
      <c r="R28" s="30">
        <f t="shared" ca="1" si="15"/>
        <v>15.114768675698798</v>
      </c>
      <c r="S28" s="30">
        <f t="shared" ca="1" si="15"/>
        <v>17.677721283966381</v>
      </c>
      <c r="T28" s="30">
        <f t="shared" ca="1" si="15"/>
        <v>19.074542523290411</v>
      </c>
      <c r="U28" s="30">
        <f t="shared" ca="1" si="15"/>
        <v>9.531386271663985</v>
      </c>
      <c r="V28" s="30">
        <f t="shared" ca="1" si="15"/>
        <v>7.2273121137089031</v>
      </c>
      <c r="W28" s="30">
        <f t="shared" ca="1" si="15"/>
        <v>14.735884962250777</v>
      </c>
      <c r="X28" s="30">
        <f t="shared" ca="1" si="15"/>
        <v>22.1281223505421</v>
      </c>
      <c r="Y28" s="30">
        <f t="shared" ca="1" si="15"/>
        <v>16.84843650186447</v>
      </c>
      <c r="Z28" s="30">
        <f t="shared" ca="1" si="15"/>
        <v>11.475012166163534</v>
      </c>
      <c r="AA28" s="26">
        <v>20</v>
      </c>
      <c r="AB28" s="31">
        <f t="shared" ca="1" si="2"/>
        <v>8</v>
      </c>
      <c r="AC28" s="31">
        <f t="shared" ca="1" si="3"/>
        <v>24</v>
      </c>
      <c r="AD28" s="31">
        <f t="shared" ca="1" si="4"/>
        <v>89</v>
      </c>
      <c r="AE28" s="31">
        <f t="shared" ca="1" si="5"/>
        <v>20</v>
      </c>
      <c r="AF28" s="31">
        <f t="shared" ca="1" si="6"/>
        <v>25</v>
      </c>
      <c r="AG28" s="31">
        <f t="shared" ca="1" si="7"/>
        <v>28</v>
      </c>
      <c r="AH28" s="31">
        <f t="shared" ca="1" si="8"/>
        <v>12</v>
      </c>
      <c r="AI28" s="31">
        <f t="shared" ca="1" si="9"/>
        <v>9</v>
      </c>
      <c r="AJ28" s="31">
        <f t="shared" ca="1" si="10"/>
        <v>20</v>
      </c>
      <c r="AK28" s="31">
        <f t="shared" ca="1" si="11"/>
        <v>36</v>
      </c>
      <c r="AL28" s="31">
        <f t="shared" ca="1" si="12"/>
        <v>24</v>
      </c>
      <c r="AM28" s="31">
        <f t="shared" ca="1" si="13"/>
        <v>14</v>
      </c>
    </row>
    <row r="29" spans="1:39">
      <c r="A29" s="27"/>
      <c r="B29" s="28">
        <v>45688</v>
      </c>
      <c r="C29" s="29">
        <v>4.6967708333333332E-3</v>
      </c>
      <c r="D29" s="29">
        <v>4.3123661005728398E-3</v>
      </c>
      <c r="E29" s="29">
        <v>8.6575168151246107E-3</v>
      </c>
      <c r="F29" s="29">
        <v>8.9828840648855657E-3</v>
      </c>
      <c r="G29" s="29">
        <v>1.5906728367117706E-2</v>
      </c>
      <c r="H29" s="29">
        <v>3.0699999999999998E-2</v>
      </c>
      <c r="J29" s="24">
        <v>21</v>
      </c>
      <c r="K29" s="25">
        <f t="shared" si="14"/>
        <v>0.54379434292674711</v>
      </c>
      <c r="L29" s="25">
        <f t="shared" si="0"/>
        <v>15.750649578701838</v>
      </c>
      <c r="N29" s="26">
        <v>21</v>
      </c>
      <c r="O29" s="30">
        <f t="shared" ref="O29:Z38" ca="1" si="16">RAND()*sumweights</f>
        <v>28.203408680854089</v>
      </c>
      <c r="P29" s="30">
        <f t="shared" ca="1" si="16"/>
        <v>27.536195952965429</v>
      </c>
      <c r="Q29" s="30">
        <f t="shared" ca="1" si="16"/>
        <v>12.490081210664304</v>
      </c>
      <c r="R29" s="30">
        <f t="shared" ca="1" si="16"/>
        <v>5.3437512918981591</v>
      </c>
      <c r="S29" s="30">
        <f t="shared" ca="1" si="16"/>
        <v>13.009978871268503</v>
      </c>
      <c r="T29" s="30">
        <f t="shared" ca="1" si="16"/>
        <v>21.501767105540193</v>
      </c>
      <c r="U29" s="30">
        <f t="shared" ca="1" si="16"/>
        <v>28.074730805484048</v>
      </c>
      <c r="V29" s="30">
        <f t="shared" ca="1" si="16"/>
        <v>11.055492318222653</v>
      </c>
      <c r="W29" s="30">
        <f t="shared" ca="1" si="16"/>
        <v>11.758532703494989</v>
      </c>
      <c r="X29" s="30">
        <f t="shared" ca="1" si="16"/>
        <v>5.1181448847599738</v>
      </c>
      <c r="Y29" s="30">
        <f t="shared" ca="1" si="16"/>
        <v>26.724540831473462</v>
      </c>
      <c r="Z29" s="30">
        <f t="shared" ca="1" si="16"/>
        <v>12.545474966149053</v>
      </c>
      <c r="AA29" s="26">
        <v>21</v>
      </c>
      <c r="AB29" s="31">
        <f t="shared" ca="1" si="2"/>
        <v>62</v>
      </c>
      <c r="AC29" s="31">
        <f t="shared" ca="1" si="3"/>
        <v>58</v>
      </c>
      <c r="AD29" s="31">
        <f t="shared" ca="1" si="4"/>
        <v>16</v>
      </c>
      <c r="AE29" s="31">
        <f t="shared" ca="1" si="5"/>
        <v>6</v>
      </c>
      <c r="AF29" s="31">
        <f t="shared" ca="1" si="6"/>
        <v>17</v>
      </c>
      <c r="AG29" s="31">
        <f t="shared" ca="1" si="7"/>
        <v>35</v>
      </c>
      <c r="AH29" s="31">
        <f t="shared" ca="1" si="8"/>
        <v>61</v>
      </c>
      <c r="AI29" s="31">
        <f t="shared" ca="1" si="9"/>
        <v>14</v>
      </c>
      <c r="AJ29" s="31">
        <f t="shared" ca="1" si="10"/>
        <v>15</v>
      </c>
      <c r="AK29" s="31">
        <f t="shared" ca="1" si="11"/>
        <v>6</v>
      </c>
      <c r="AL29" s="31">
        <f t="shared" ca="1" si="12"/>
        <v>54</v>
      </c>
      <c r="AM29" s="31">
        <f t="shared" ca="1" si="13"/>
        <v>16</v>
      </c>
    </row>
    <row r="30" spans="1:39">
      <c r="A30" s="27"/>
      <c r="B30" s="28">
        <v>45657</v>
      </c>
      <c r="C30" s="29">
        <v>4.4488888888888885E-3</v>
      </c>
      <c r="D30" s="29">
        <v>6.1382044248730061E-3</v>
      </c>
      <c r="E30" s="29">
        <v>3.9580695570839985E-3</v>
      </c>
      <c r="F30" s="29">
        <v>7.5863415806631807E-3</v>
      </c>
      <c r="G30" s="29">
        <v>3.7398563473544977E-2</v>
      </c>
      <c r="H30" s="29">
        <v>2.1600000000000001E-2</v>
      </c>
      <c r="J30" s="24">
        <v>22</v>
      </c>
      <c r="K30" s="25">
        <f t="shared" si="14"/>
        <v>0.52748051263894469</v>
      </c>
      <c r="L30" s="25">
        <f t="shared" si="0"/>
        <v>16.278130091340781</v>
      </c>
      <c r="N30" s="26">
        <v>22</v>
      </c>
      <c r="O30" s="30">
        <f t="shared" ca="1" si="16"/>
        <v>17.121714217152181</v>
      </c>
      <c r="P30" s="30">
        <f t="shared" ca="1" si="16"/>
        <v>32.496855655131888</v>
      </c>
      <c r="Q30" s="30">
        <f t="shared" ca="1" si="16"/>
        <v>21.823214520658404</v>
      </c>
      <c r="R30" s="30">
        <f t="shared" ca="1" si="16"/>
        <v>7.576421171836107</v>
      </c>
      <c r="S30" s="30">
        <f t="shared" ca="1" si="16"/>
        <v>14.741953957265359</v>
      </c>
      <c r="T30" s="30">
        <f t="shared" ca="1" si="16"/>
        <v>25.206715761134362</v>
      </c>
      <c r="U30" s="30">
        <f t="shared" ca="1" si="16"/>
        <v>18.561034137277659</v>
      </c>
      <c r="V30" s="30">
        <f t="shared" ca="1" si="16"/>
        <v>28.065497555784905</v>
      </c>
      <c r="W30" s="30">
        <f t="shared" ca="1" si="16"/>
        <v>9.6740856125644488</v>
      </c>
      <c r="X30" s="30">
        <f t="shared" ca="1" si="16"/>
        <v>23.045161935511054</v>
      </c>
      <c r="Y30" s="30">
        <f t="shared" ca="1" si="16"/>
        <v>4.7832245837897096</v>
      </c>
      <c r="Z30" s="30">
        <f t="shared" ca="1" si="16"/>
        <v>11.288844485795334</v>
      </c>
      <c r="AA30" s="26">
        <v>22</v>
      </c>
      <c r="AB30" s="31">
        <f t="shared" ca="1" si="2"/>
        <v>24</v>
      </c>
      <c r="AC30" s="31">
        <f t="shared" ca="1" si="3"/>
        <v>121</v>
      </c>
      <c r="AD30" s="31">
        <f t="shared" ca="1" si="4"/>
        <v>35</v>
      </c>
      <c r="AE30" s="31">
        <f t="shared" ca="1" si="5"/>
        <v>9</v>
      </c>
      <c r="AF30" s="31">
        <f t="shared" ca="1" si="6"/>
        <v>20</v>
      </c>
      <c r="AG30" s="31">
        <f t="shared" ca="1" si="7"/>
        <v>47</v>
      </c>
      <c r="AH30" s="31">
        <f t="shared" ca="1" si="8"/>
        <v>27</v>
      </c>
      <c r="AI30" s="31">
        <f t="shared" ca="1" si="9"/>
        <v>61</v>
      </c>
      <c r="AJ30" s="31">
        <f t="shared" ca="1" si="10"/>
        <v>12</v>
      </c>
      <c r="AK30" s="31">
        <f t="shared" ca="1" si="11"/>
        <v>39</v>
      </c>
      <c r="AL30" s="31">
        <f t="shared" ca="1" si="12"/>
        <v>6</v>
      </c>
      <c r="AM30" s="31">
        <f t="shared" ca="1" si="13"/>
        <v>14</v>
      </c>
    </row>
    <row r="31" spans="1:39">
      <c r="A31" s="27"/>
      <c r="B31" s="28">
        <v>45626</v>
      </c>
      <c r="C31" s="29">
        <v>4.5811111111111113E-3</v>
      </c>
      <c r="D31" s="29">
        <v>9.9081591658647383E-3</v>
      </c>
      <c r="E31" s="29">
        <v>1.4879356051105352E-2</v>
      </c>
      <c r="F31" s="29">
        <v>1.225650461519745E-2</v>
      </c>
      <c r="G31" s="29">
        <v>1.4990179852146124E-2</v>
      </c>
      <c r="H31" s="29">
        <v>-2.18E-2</v>
      </c>
      <c r="J31" s="24">
        <v>23</v>
      </c>
      <c r="K31" s="25">
        <f t="shared" si="14"/>
        <v>0.51165609725977634</v>
      </c>
      <c r="L31" s="25">
        <f t="shared" si="0"/>
        <v>16.789786188600559</v>
      </c>
      <c r="N31" s="26">
        <v>23</v>
      </c>
      <c r="O31" s="30">
        <f t="shared" ca="1" si="16"/>
        <v>6.5388079708693176</v>
      </c>
      <c r="P31" s="30">
        <f t="shared" ca="1" si="16"/>
        <v>27.182241406667501</v>
      </c>
      <c r="Q31" s="30">
        <f t="shared" ca="1" si="16"/>
        <v>17.436153064824751</v>
      </c>
      <c r="R31" s="30">
        <f t="shared" ca="1" si="16"/>
        <v>28.730895291946386</v>
      </c>
      <c r="S31" s="30">
        <f t="shared" ca="1" si="16"/>
        <v>8.1839662084139615</v>
      </c>
      <c r="T31" s="30">
        <f t="shared" ca="1" si="16"/>
        <v>30.309599788612438</v>
      </c>
      <c r="U31" s="30">
        <f t="shared" ca="1" si="16"/>
        <v>11.237406297674227</v>
      </c>
      <c r="V31" s="30">
        <f t="shared" ca="1" si="16"/>
        <v>32.026846506091218</v>
      </c>
      <c r="W31" s="30">
        <f t="shared" ca="1" si="16"/>
        <v>2.2304141740310328</v>
      </c>
      <c r="X31" s="30">
        <f t="shared" ca="1" si="16"/>
        <v>6.8758033474679312</v>
      </c>
      <c r="Y31" s="30">
        <f t="shared" ca="1" si="16"/>
        <v>28.929499156423329</v>
      </c>
      <c r="Z31" s="30">
        <f t="shared" ca="1" si="16"/>
        <v>31.923933075212847</v>
      </c>
      <c r="AA31" s="26">
        <v>23</v>
      </c>
      <c r="AB31" s="31">
        <f t="shared" ca="1" si="2"/>
        <v>8</v>
      </c>
      <c r="AC31" s="31">
        <f t="shared" ca="1" si="3"/>
        <v>56</v>
      </c>
      <c r="AD31" s="31">
        <f t="shared" ca="1" si="4"/>
        <v>25</v>
      </c>
      <c r="AE31" s="31">
        <f t="shared" ca="1" si="5"/>
        <v>66</v>
      </c>
      <c r="AF31" s="31">
        <f t="shared" ca="1" si="6"/>
        <v>10</v>
      </c>
      <c r="AG31" s="31">
        <f t="shared" ca="1" si="7"/>
        <v>79</v>
      </c>
      <c r="AH31" s="31">
        <f t="shared" ca="1" si="8"/>
        <v>14</v>
      </c>
      <c r="AI31" s="31">
        <f t="shared" ca="1" si="9"/>
        <v>107</v>
      </c>
      <c r="AJ31" s="31">
        <f t="shared" ca="1" si="10"/>
        <v>3</v>
      </c>
      <c r="AK31" s="31">
        <f t="shared" ca="1" si="11"/>
        <v>8</v>
      </c>
      <c r="AL31" s="31">
        <f t="shared" ca="1" si="12"/>
        <v>67</v>
      </c>
      <c r="AM31" s="31">
        <f t="shared" ca="1" si="13"/>
        <v>104</v>
      </c>
    </row>
    <row r="32" spans="1:39">
      <c r="A32" s="27"/>
      <c r="B32" s="28">
        <v>45596</v>
      </c>
      <c r="C32" s="29">
        <v>4.7288888888888892E-3</v>
      </c>
      <c r="D32" s="29">
        <v>9.5881301495521765E-3</v>
      </c>
      <c r="E32" s="29">
        <v>1.7859106691175297E-2</v>
      </c>
      <c r="F32" s="29">
        <v>8.3413833816337046E-3</v>
      </c>
      <c r="G32" s="29">
        <v>-3.1004851070053685E-2</v>
      </c>
      <c r="H32" s="29">
        <v>3.3E-3</v>
      </c>
      <c r="J32" s="24">
        <v>24</v>
      </c>
      <c r="K32" s="25">
        <f t="shared" si="14"/>
        <v>0.49630641434198303</v>
      </c>
      <c r="L32" s="25">
        <f t="shared" si="0"/>
        <v>17.286092602942542</v>
      </c>
      <c r="N32" s="26">
        <v>24</v>
      </c>
      <c r="O32" s="30">
        <f t="shared" ca="1" si="16"/>
        <v>23.764431982310377</v>
      </c>
      <c r="P32" s="30">
        <f t="shared" ca="1" si="16"/>
        <v>1.5783170664577817</v>
      </c>
      <c r="Q32" s="30">
        <f t="shared" ca="1" si="16"/>
        <v>12.769673576919883</v>
      </c>
      <c r="R32" s="30">
        <f t="shared" ca="1" si="16"/>
        <v>18.995596002661447</v>
      </c>
      <c r="S32" s="30">
        <f t="shared" ca="1" si="16"/>
        <v>18.439780330684435</v>
      </c>
      <c r="T32" s="30">
        <f t="shared" ca="1" si="16"/>
        <v>14.197387567935033</v>
      </c>
      <c r="U32" s="30">
        <f t="shared" ca="1" si="16"/>
        <v>13.346023165414721</v>
      </c>
      <c r="V32" s="30">
        <f t="shared" ca="1" si="16"/>
        <v>5.5080325624431561</v>
      </c>
      <c r="W32" s="30">
        <f t="shared" ca="1" si="16"/>
        <v>32.761943265083261</v>
      </c>
      <c r="X32" s="30">
        <f t="shared" ca="1" si="16"/>
        <v>5.7655305156586971</v>
      </c>
      <c r="Y32" s="30">
        <f t="shared" ca="1" si="16"/>
        <v>27.296829465839664</v>
      </c>
      <c r="Z32" s="30">
        <f t="shared" ca="1" si="16"/>
        <v>17.9074242731959</v>
      </c>
      <c r="AA32" s="26">
        <v>24</v>
      </c>
      <c r="AB32" s="31">
        <f t="shared" ca="1" si="2"/>
        <v>41</v>
      </c>
      <c r="AC32" s="31">
        <f t="shared" ca="1" si="3"/>
        <v>2</v>
      </c>
      <c r="AD32" s="31">
        <f t="shared" ca="1" si="4"/>
        <v>16</v>
      </c>
      <c r="AE32" s="31">
        <f t="shared" ca="1" si="5"/>
        <v>28</v>
      </c>
      <c r="AF32" s="31">
        <f t="shared" ca="1" si="6"/>
        <v>27</v>
      </c>
      <c r="AG32" s="31">
        <f t="shared" ca="1" si="7"/>
        <v>19</v>
      </c>
      <c r="AH32" s="31">
        <f t="shared" ca="1" si="8"/>
        <v>17</v>
      </c>
      <c r="AI32" s="31">
        <f t="shared" ca="1" si="9"/>
        <v>6</v>
      </c>
      <c r="AJ32" s="31">
        <f t="shared" ca="1" si="10"/>
        <v>134</v>
      </c>
      <c r="AK32" s="31">
        <f t="shared" ca="1" si="11"/>
        <v>7</v>
      </c>
      <c r="AL32" s="31">
        <f t="shared" ca="1" si="12"/>
        <v>57</v>
      </c>
      <c r="AM32" s="31">
        <f t="shared" ca="1" si="13"/>
        <v>26</v>
      </c>
    </row>
    <row r="33" spans="1:39">
      <c r="A33" s="27"/>
      <c r="B33" s="28">
        <v>45565</v>
      </c>
      <c r="C33" s="29">
        <v>4.2855555555555555E-3</v>
      </c>
      <c r="D33" s="29">
        <v>4.4006745490372534E-3</v>
      </c>
      <c r="E33" s="29">
        <v>-3.6906453917973092E-4</v>
      </c>
      <c r="F33" s="29">
        <v>-2.9506191713806196E-3</v>
      </c>
      <c r="G33" s="29">
        <v>-1.661319172040443E-2</v>
      </c>
      <c r="H33" s="29">
        <v>6.8000000000000005E-3</v>
      </c>
      <c r="J33" s="24">
        <v>25</v>
      </c>
      <c r="K33" s="25">
        <f t="shared" si="14"/>
        <v>0.48141722191172354</v>
      </c>
      <c r="L33" s="25">
        <f t="shared" si="0"/>
        <v>17.767509824854265</v>
      </c>
      <c r="N33" s="26">
        <v>25</v>
      </c>
      <c r="O33" s="30">
        <f t="shared" ca="1" si="16"/>
        <v>11.542064520957014</v>
      </c>
      <c r="P33" s="30">
        <f t="shared" ca="1" si="16"/>
        <v>11.56806905510261</v>
      </c>
      <c r="Q33" s="30">
        <f t="shared" ca="1" si="16"/>
        <v>27.727231481914874</v>
      </c>
      <c r="R33" s="30">
        <f t="shared" ca="1" si="16"/>
        <v>4.5388571363447801</v>
      </c>
      <c r="S33" s="30">
        <f t="shared" ca="1" si="16"/>
        <v>30.787930033814661</v>
      </c>
      <c r="T33" s="30">
        <f t="shared" ca="1" si="16"/>
        <v>5.903262862184568</v>
      </c>
      <c r="U33" s="30">
        <f t="shared" ca="1" si="16"/>
        <v>2.1002848984059006</v>
      </c>
      <c r="V33" s="30">
        <f t="shared" ca="1" si="16"/>
        <v>25.180598014131672</v>
      </c>
      <c r="W33" s="30">
        <f t="shared" ca="1" si="16"/>
        <v>11.333234533594219</v>
      </c>
      <c r="X33" s="30">
        <f t="shared" ca="1" si="16"/>
        <v>7.4225917904045824</v>
      </c>
      <c r="Y33" s="30">
        <f t="shared" ca="1" si="16"/>
        <v>11.976766795258685</v>
      </c>
      <c r="Z33" s="30">
        <f t="shared" ca="1" si="16"/>
        <v>1.7925235082678885</v>
      </c>
      <c r="AA33" s="26">
        <v>25</v>
      </c>
      <c r="AB33" s="31">
        <f t="shared" ca="1" si="2"/>
        <v>14</v>
      </c>
      <c r="AC33" s="31">
        <f t="shared" ca="1" si="3"/>
        <v>14</v>
      </c>
      <c r="AD33" s="31">
        <f t="shared" ca="1" si="4"/>
        <v>59</v>
      </c>
      <c r="AE33" s="31">
        <f t="shared" ca="1" si="5"/>
        <v>5</v>
      </c>
      <c r="AF33" s="31">
        <f t="shared" ca="1" si="6"/>
        <v>85</v>
      </c>
      <c r="AG33" s="31">
        <f t="shared" ca="1" si="7"/>
        <v>7</v>
      </c>
      <c r="AH33" s="31">
        <f t="shared" ca="1" si="8"/>
        <v>3</v>
      </c>
      <c r="AI33" s="31">
        <f t="shared" ca="1" si="9"/>
        <v>47</v>
      </c>
      <c r="AJ33" s="31">
        <f t="shared" ca="1" si="10"/>
        <v>14</v>
      </c>
      <c r="AK33" s="31">
        <f t="shared" ca="1" si="11"/>
        <v>9</v>
      </c>
      <c r="AL33" s="31">
        <f t="shared" ca="1" si="12"/>
        <v>15</v>
      </c>
      <c r="AM33" s="31">
        <f t="shared" ca="1" si="13"/>
        <v>2</v>
      </c>
    </row>
    <row r="34" spans="1:39">
      <c r="A34" s="27"/>
      <c r="B34" s="28">
        <v>45535</v>
      </c>
      <c r="C34" s="29">
        <v>4.5811111111111113E-3</v>
      </c>
      <c r="D34" s="29">
        <v>-9.7487104254412316E-4</v>
      </c>
      <c r="E34" s="29">
        <v>-9.0343163956111416E-3</v>
      </c>
      <c r="F34" s="29">
        <v>-7.5861022606584783E-3</v>
      </c>
      <c r="G34" s="29">
        <v>3.4895052392196035E-2</v>
      </c>
      <c r="H34" s="29">
        <v>2.1000000000000001E-2</v>
      </c>
      <c r="J34" s="24">
        <v>26</v>
      </c>
      <c r="K34" s="25">
        <f t="shared" si="14"/>
        <v>0.46697470525437179</v>
      </c>
      <c r="L34" s="25">
        <f t="shared" si="0"/>
        <v>18.234484530108638</v>
      </c>
      <c r="N34" s="26">
        <v>26</v>
      </c>
      <c r="O34" s="30">
        <f t="shared" ca="1" si="16"/>
        <v>6.4761094804730863</v>
      </c>
      <c r="P34" s="30">
        <f t="shared" ca="1" si="16"/>
        <v>11.042772489242527</v>
      </c>
      <c r="Q34" s="30">
        <f t="shared" ca="1" si="16"/>
        <v>26.69059713462304</v>
      </c>
      <c r="R34" s="30">
        <f t="shared" ca="1" si="16"/>
        <v>20.245817879636515</v>
      </c>
      <c r="S34" s="30">
        <f t="shared" ca="1" si="16"/>
        <v>5.9626044259190225</v>
      </c>
      <c r="T34" s="30">
        <f t="shared" ca="1" si="16"/>
        <v>26.758382174607302</v>
      </c>
      <c r="U34" s="30">
        <f t="shared" ca="1" si="16"/>
        <v>22.038048122105071</v>
      </c>
      <c r="V34" s="30">
        <f t="shared" ca="1" si="16"/>
        <v>25.772500531203896</v>
      </c>
      <c r="W34" s="30">
        <f t="shared" ca="1" si="16"/>
        <v>10.88338271655182</v>
      </c>
      <c r="X34" s="30">
        <f t="shared" ca="1" si="16"/>
        <v>29.115189937389065</v>
      </c>
      <c r="Y34" s="30">
        <f t="shared" ca="1" si="16"/>
        <v>19.110446916049401</v>
      </c>
      <c r="Z34" s="30">
        <f t="shared" ca="1" si="16"/>
        <v>17.036266716638181</v>
      </c>
      <c r="AA34" s="26">
        <v>26</v>
      </c>
      <c r="AB34" s="31">
        <f t="shared" ca="1" si="2"/>
        <v>8</v>
      </c>
      <c r="AC34" s="31">
        <f t="shared" ca="1" si="3"/>
        <v>14</v>
      </c>
      <c r="AD34" s="31">
        <f t="shared" ca="1" si="4"/>
        <v>53</v>
      </c>
      <c r="AE34" s="31">
        <f t="shared" ca="1" si="5"/>
        <v>31</v>
      </c>
      <c r="AF34" s="31">
        <f t="shared" ca="1" si="6"/>
        <v>7</v>
      </c>
      <c r="AG34" s="31">
        <f t="shared" ca="1" si="7"/>
        <v>54</v>
      </c>
      <c r="AH34" s="31">
        <f t="shared" ca="1" si="8"/>
        <v>36</v>
      </c>
      <c r="AI34" s="31">
        <f t="shared" ca="1" si="9"/>
        <v>49</v>
      </c>
      <c r="AJ34" s="31">
        <f t="shared" ca="1" si="10"/>
        <v>13</v>
      </c>
      <c r="AK34" s="31">
        <f t="shared" ca="1" si="11"/>
        <v>68</v>
      </c>
      <c r="AL34" s="31">
        <f t="shared" ca="1" si="12"/>
        <v>28</v>
      </c>
      <c r="AM34" s="31">
        <f t="shared" ca="1" si="13"/>
        <v>24</v>
      </c>
    </row>
    <row r="35" spans="1:39">
      <c r="A35" s="27"/>
      <c r="B35" s="28">
        <v>45504</v>
      </c>
      <c r="C35" s="29">
        <v>4.5811111111111113E-3</v>
      </c>
      <c r="D35" s="29">
        <v>3.7764529843480332E-3</v>
      </c>
      <c r="E35" s="29">
        <v>5.4454128655703204E-3</v>
      </c>
      <c r="F35" s="29">
        <v>5.3922951957470211E-3</v>
      </c>
      <c r="G35" s="29">
        <v>4.4295311164845419E-2</v>
      </c>
      <c r="H35" s="29">
        <v>1.6899999999999998E-2</v>
      </c>
      <c r="J35" s="24">
        <v>27</v>
      </c>
      <c r="K35" s="25">
        <f t="shared" si="14"/>
        <v>0.4529654640967406</v>
      </c>
      <c r="L35" s="25">
        <f t="shared" si="0"/>
        <v>18.68744999420538</v>
      </c>
      <c r="N35" s="26">
        <v>27</v>
      </c>
      <c r="O35" s="30">
        <f t="shared" ca="1" si="16"/>
        <v>8.3006797557664225</v>
      </c>
      <c r="P35" s="30">
        <f t="shared" ca="1" si="16"/>
        <v>24.204156460008235</v>
      </c>
      <c r="Q35" s="30">
        <f t="shared" ca="1" si="16"/>
        <v>27.743950071618592</v>
      </c>
      <c r="R35" s="30">
        <f t="shared" ca="1" si="16"/>
        <v>29.264913628085814</v>
      </c>
      <c r="S35" s="30">
        <f t="shared" ca="1" si="16"/>
        <v>4.0879679101786897</v>
      </c>
      <c r="T35" s="30">
        <f t="shared" ca="1" si="16"/>
        <v>11.576653545595534</v>
      </c>
      <c r="U35" s="30">
        <f t="shared" ca="1" si="16"/>
        <v>13.676831807254404</v>
      </c>
      <c r="V35" s="30">
        <f t="shared" ca="1" si="16"/>
        <v>10.020363758739373</v>
      </c>
      <c r="W35" s="30">
        <f t="shared" ca="1" si="16"/>
        <v>8.0061570732471345</v>
      </c>
      <c r="X35" s="30">
        <f t="shared" ca="1" si="16"/>
        <v>4.2486458536183696</v>
      </c>
      <c r="Y35" s="30">
        <f t="shared" ca="1" si="16"/>
        <v>7.0180213008760068</v>
      </c>
      <c r="Z35" s="30">
        <f t="shared" ca="1" si="16"/>
        <v>4.2687008206113396E-2</v>
      </c>
      <c r="AA35" s="26">
        <v>27</v>
      </c>
      <c r="AB35" s="31">
        <f t="shared" ca="1" si="2"/>
        <v>10</v>
      </c>
      <c r="AC35" s="31">
        <f t="shared" ca="1" si="3"/>
        <v>43</v>
      </c>
      <c r="AD35" s="31">
        <f t="shared" ca="1" si="4"/>
        <v>59</v>
      </c>
      <c r="AE35" s="31">
        <f t="shared" ca="1" si="5"/>
        <v>70</v>
      </c>
      <c r="AF35" s="31">
        <f t="shared" ca="1" si="6"/>
        <v>5</v>
      </c>
      <c r="AG35" s="31">
        <f t="shared" ca="1" si="7"/>
        <v>15</v>
      </c>
      <c r="AH35" s="31">
        <f t="shared" ca="1" si="8"/>
        <v>18</v>
      </c>
      <c r="AI35" s="31">
        <f t="shared" ca="1" si="9"/>
        <v>12</v>
      </c>
      <c r="AJ35" s="31">
        <f t="shared" ca="1" si="10"/>
        <v>10</v>
      </c>
      <c r="AK35" s="31">
        <f t="shared" ca="1" si="11"/>
        <v>5</v>
      </c>
      <c r="AL35" s="31">
        <f t="shared" ca="1" si="12"/>
        <v>8</v>
      </c>
      <c r="AM35" s="31">
        <f t="shared" ca="1" si="13"/>
        <v>1</v>
      </c>
    </row>
    <row r="36" spans="1:39">
      <c r="A36" s="27"/>
      <c r="B36" s="28">
        <v>45473</v>
      </c>
      <c r="C36" s="29">
        <v>4.4333333333333343E-3</v>
      </c>
      <c r="D36" s="29">
        <v>3.9391670521582434E-3</v>
      </c>
      <c r="E36" s="29">
        <v>-4.3012770882711049E-4</v>
      </c>
      <c r="F36" s="29">
        <v>3.0508965822573231E-5</v>
      </c>
      <c r="G36" s="29">
        <v>1.1184933798575436E-2</v>
      </c>
      <c r="H36" s="29">
        <v>1.01E-2</v>
      </c>
      <c r="J36" s="24">
        <v>28</v>
      </c>
      <c r="K36" s="25">
        <f t="shared" si="14"/>
        <v>0.43937650017383839</v>
      </c>
      <c r="L36" s="25">
        <f t="shared" si="0"/>
        <v>19.12682649437922</v>
      </c>
      <c r="N36" s="26">
        <v>28</v>
      </c>
      <c r="O36" s="30">
        <f t="shared" ca="1" si="16"/>
        <v>6.8564865170431828</v>
      </c>
      <c r="P36" s="30">
        <f t="shared" ca="1" si="16"/>
        <v>27.561228584501901</v>
      </c>
      <c r="Q36" s="30">
        <f t="shared" ca="1" si="16"/>
        <v>12.340398905106113</v>
      </c>
      <c r="R36" s="30">
        <f t="shared" ca="1" si="16"/>
        <v>25.978192496042904</v>
      </c>
      <c r="S36" s="30">
        <f t="shared" ca="1" si="16"/>
        <v>7.9988577742528308</v>
      </c>
      <c r="T36" s="30">
        <f t="shared" ca="1" si="16"/>
        <v>26.903335877282956</v>
      </c>
      <c r="U36" s="30">
        <f t="shared" ca="1" si="16"/>
        <v>31.921908997927222</v>
      </c>
      <c r="V36" s="30">
        <f t="shared" ca="1" si="16"/>
        <v>13.730041090321578</v>
      </c>
      <c r="W36" s="30">
        <f t="shared" ca="1" si="16"/>
        <v>16.875712404451289</v>
      </c>
      <c r="X36" s="30">
        <f t="shared" ca="1" si="16"/>
        <v>26.867427386568359</v>
      </c>
      <c r="Y36" s="30">
        <f t="shared" ca="1" si="16"/>
        <v>30.260978129115259</v>
      </c>
      <c r="Z36" s="30">
        <f t="shared" ca="1" si="16"/>
        <v>30.276802600395168</v>
      </c>
      <c r="AA36" s="26">
        <v>28</v>
      </c>
      <c r="AB36" s="31">
        <f t="shared" ca="1" si="2"/>
        <v>8</v>
      </c>
      <c r="AC36" s="31">
        <f t="shared" ca="1" si="3"/>
        <v>58</v>
      </c>
      <c r="AD36" s="31">
        <f t="shared" ca="1" si="4"/>
        <v>16</v>
      </c>
      <c r="AE36" s="31">
        <f t="shared" ca="1" si="5"/>
        <v>50</v>
      </c>
      <c r="AF36" s="31">
        <f t="shared" ca="1" si="6"/>
        <v>10</v>
      </c>
      <c r="AG36" s="31">
        <f t="shared" ca="1" si="7"/>
        <v>55</v>
      </c>
      <c r="AH36" s="31">
        <f t="shared" ca="1" si="8"/>
        <v>104</v>
      </c>
      <c r="AI36" s="31">
        <f t="shared" ca="1" si="9"/>
        <v>18</v>
      </c>
      <c r="AJ36" s="31">
        <f t="shared" ca="1" si="10"/>
        <v>24</v>
      </c>
      <c r="AK36" s="31">
        <f t="shared" ca="1" si="11"/>
        <v>54</v>
      </c>
      <c r="AL36" s="31">
        <f t="shared" ca="1" si="12"/>
        <v>79</v>
      </c>
      <c r="AM36" s="31">
        <f t="shared" ca="1" si="13"/>
        <v>79</v>
      </c>
    </row>
    <row r="37" spans="1:39">
      <c r="A37" s="27"/>
      <c r="B37" s="28">
        <v>45443</v>
      </c>
      <c r="C37" s="29">
        <v>4.1377777777777784E-3</v>
      </c>
      <c r="D37" s="29">
        <v>7.6502784759029385E-3</v>
      </c>
      <c r="E37" s="29">
        <v>1.5220083841463339E-2</v>
      </c>
      <c r="F37" s="29">
        <v>1.5420003407735416E-2</v>
      </c>
      <c r="G37" s="29">
        <v>-1.9558946984686632E-2</v>
      </c>
      <c r="H37" s="29">
        <v>8.199999999999999E-3</v>
      </c>
      <c r="J37" s="24">
        <v>29</v>
      </c>
      <c r="K37" s="25">
        <f t="shared" si="14"/>
        <v>0.42619520516862325</v>
      </c>
      <c r="L37" s="25">
        <f t="shared" si="0"/>
        <v>19.553021699547841</v>
      </c>
      <c r="N37" s="26">
        <v>29</v>
      </c>
      <c r="O37" s="30">
        <f t="shared" ca="1" si="16"/>
        <v>23.149112668714015</v>
      </c>
      <c r="P37" s="30">
        <f t="shared" ca="1" si="16"/>
        <v>20.84730562847686</v>
      </c>
      <c r="Q37" s="30">
        <f t="shared" ca="1" si="16"/>
        <v>1.8311625817055002</v>
      </c>
      <c r="R37" s="30">
        <f t="shared" ca="1" si="16"/>
        <v>23.817906587266588</v>
      </c>
      <c r="S37" s="30">
        <f t="shared" ca="1" si="16"/>
        <v>5.2150389003883522</v>
      </c>
      <c r="T37" s="30">
        <f t="shared" ca="1" si="16"/>
        <v>22.227171048108467</v>
      </c>
      <c r="U37" s="30">
        <f t="shared" ca="1" si="16"/>
        <v>7.2314661780468814</v>
      </c>
      <c r="V37" s="30">
        <f t="shared" ca="1" si="16"/>
        <v>32.351313108961534</v>
      </c>
      <c r="W37" s="30">
        <f t="shared" ca="1" si="16"/>
        <v>23.652646138320556</v>
      </c>
      <c r="X37" s="30">
        <f t="shared" ca="1" si="16"/>
        <v>2.3927419316683682</v>
      </c>
      <c r="Y37" s="30">
        <f t="shared" ca="1" si="16"/>
        <v>15.297389713286373</v>
      </c>
      <c r="Z37" s="30">
        <f t="shared" ca="1" si="16"/>
        <v>5.9745043142951442</v>
      </c>
      <c r="AA37" s="26">
        <v>29</v>
      </c>
      <c r="AB37" s="31">
        <f t="shared" ca="1" si="2"/>
        <v>39</v>
      </c>
      <c r="AC37" s="31">
        <f t="shared" ca="1" si="3"/>
        <v>33</v>
      </c>
      <c r="AD37" s="31">
        <f t="shared" ca="1" si="4"/>
        <v>2</v>
      </c>
      <c r="AE37" s="31">
        <f t="shared" ca="1" si="5"/>
        <v>42</v>
      </c>
      <c r="AF37" s="31">
        <f t="shared" ca="1" si="6"/>
        <v>6</v>
      </c>
      <c r="AG37" s="31">
        <f t="shared" ca="1" si="7"/>
        <v>37</v>
      </c>
      <c r="AH37" s="31">
        <f t="shared" ca="1" si="8"/>
        <v>9</v>
      </c>
      <c r="AI37" s="31">
        <f t="shared" ca="1" si="9"/>
        <v>116</v>
      </c>
      <c r="AJ37" s="31">
        <f t="shared" ca="1" si="10"/>
        <v>41</v>
      </c>
      <c r="AK37" s="31">
        <f t="shared" ca="1" si="11"/>
        <v>3</v>
      </c>
      <c r="AL37" s="31">
        <f t="shared" ca="1" si="12"/>
        <v>21</v>
      </c>
      <c r="AM37" s="31">
        <f t="shared" ca="1" si="13"/>
        <v>7</v>
      </c>
    </row>
    <row r="38" spans="1:39">
      <c r="A38" s="27"/>
      <c r="B38" s="28">
        <v>45412</v>
      </c>
      <c r="C38" s="29">
        <v>4.8783899999999998E-3</v>
      </c>
      <c r="D38" s="29">
        <v>2.4809472883005057E-3</v>
      </c>
      <c r="E38" s="29">
        <v>-7.3783172676422648E-4</v>
      </c>
      <c r="F38" s="29">
        <v>-4.1030881544612541E-4</v>
      </c>
      <c r="G38" s="29">
        <v>1.5123549546755433E-2</v>
      </c>
      <c r="H38" s="29">
        <v>1.3000000000000001E-2</v>
      </c>
      <c r="J38" s="24">
        <v>30</v>
      </c>
      <c r="K38" s="25">
        <f t="shared" si="14"/>
        <v>0.41340934901356452</v>
      </c>
      <c r="L38" s="25">
        <f t="shared" si="0"/>
        <v>19.966431048561407</v>
      </c>
      <c r="N38" s="26">
        <v>30</v>
      </c>
      <c r="O38" s="30">
        <f t="shared" ca="1" si="16"/>
        <v>6.2931874194383504</v>
      </c>
      <c r="P38" s="30">
        <f t="shared" ca="1" si="16"/>
        <v>14.721365934971546</v>
      </c>
      <c r="Q38" s="30">
        <f t="shared" ca="1" si="16"/>
        <v>17.092173103334876</v>
      </c>
      <c r="R38" s="30">
        <f t="shared" ca="1" si="16"/>
        <v>16.851582217154089</v>
      </c>
      <c r="S38" s="30">
        <f t="shared" ca="1" si="16"/>
        <v>19.572240969241729</v>
      </c>
      <c r="T38" s="30">
        <f t="shared" ca="1" si="16"/>
        <v>30.944639328601365</v>
      </c>
      <c r="U38" s="30">
        <f t="shared" ca="1" si="16"/>
        <v>17.362398606353157</v>
      </c>
      <c r="V38" s="30">
        <f t="shared" ca="1" si="16"/>
        <v>1.4503369561245338</v>
      </c>
      <c r="W38" s="30">
        <f t="shared" ca="1" si="16"/>
        <v>7.0094654732717805</v>
      </c>
      <c r="X38" s="30">
        <f t="shared" ca="1" si="16"/>
        <v>27.729234417746603</v>
      </c>
      <c r="Y38" s="30">
        <f t="shared" ca="1" si="16"/>
        <v>27.593273330183777</v>
      </c>
      <c r="Z38" s="30">
        <f t="shared" ca="1" si="16"/>
        <v>29.406430625380285</v>
      </c>
      <c r="AA38" s="26">
        <v>30</v>
      </c>
      <c r="AB38" s="31">
        <f t="shared" ca="1" si="2"/>
        <v>7</v>
      </c>
      <c r="AC38" s="31">
        <f t="shared" ca="1" si="3"/>
        <v>20</v>
      </c>
      <c r="AD38" s="31">
        <f t="shared" ca="1" si="4"/>
        <v>24</v>
      </c>
      <c r="AE38" s="31">
        <f t="shared" ca="1" si="5"/>
        <v>24</v>
      </c>
      <c r="AF38" s="31">
        <f t="shared" ca="1" si="6"/>
        <v>30</v>
      </c>
      <c r="AG38" s="31">
        <f t="shared" ca="1" si="7"/>
        <v>87</v>
      </c>
      <c r="AH38" s="31">
        <f t="shared" ca="1" si="8"/>
        <v>25</v>
      </c>
      <c r="AI38" s="31">
        <f t="shared" ca="1" si="9"/>
        <v>2</v>
      </c>
      <c r="AJ38" s="31">
        <f t="shared" ca="1" si="10"/>
        <v>8</v>
      </c>
      <c r="AK38" s="31">
        <f t="shared" ca="1" si="11"/>
        <v>59</v>
      </c>
      <c r="AL38" s="31">
        <f t="shared" ca="1" si="12"/>
        <v>58</v>
      </c>
      <c r="AM38" s="31">
        <f t="shared" ca="1" si="13"/>
        <v>71</v>
      </c>
    </row>
    <row r="39" spans="1:39">
      <c r="A39" s="27"/>
      <c r="B39" s="28">
        <v>45382</v>
      </c>
      <c r="C39" s="29">
        <v>4.3097222222222217E-3</v>
      </c>
      <c r="D39" s="29">
        <v>-9.633818556664675E-5</v>
      </c>
      <c r="E39" s="29">
        <v>-8.31615552863052E-3</v>
      </c>
      <c r="F39" s="29">
        <v>-5.8033480854339237E-3</v>
      </c>
      <c r="G39" s="29">
        <v>1.4027649897837557E-2</v>
      </c>
      <c r="H39" s="29">
        <v>1.7600000000000001E-2</v>
      </c>
      <c r="J39" s="24">
        <v>31</v>
      </c>
      <c r="K39" s="25">
        <f t="shared" si="14"/>
        <v>0.4010070685431576</v>
      </c>
      <c r="L39" s="25">
        <f t="shared" si="0"/>
        <v>20.367438117104566</v>
      </c>
      <c r="N39" s="26">
        <v>31</v>
      </c>
      <c r="O39" s="30">
        <f t="shared" ref="O39:Z48" ca="1" si="17">RAND()*sumweights</f>
        <v>32.838758172522823</v>
      </c>
      <c r="P39" s="30">
        <f t="shared" ca="1" si="17"/>
        <v>4.4462844256384324</v>
      </c>
      <c r="Q39" s="30">
        <f t="shared" ca="1" si="17"/>
        <v>10.375769690976576</v>
      </c>
      <c r="R39" s="30">
        <f t="shared" ca="1" si="17"/>
        <v>0.62170983539348723</v>
      </c>
      <c r="S39" s="30">
        <f t="shared" ca="1" si="17"/>
        <v>30.227987388501454</v>
      </c>
      <c r="T39" s="30">
        <f t="shared" ca="1" si="17"/>
        <v>23.737175676771244</v>
      </c>
      <c r="U39" s="30">
        <f t="shared" ca="1" si="17"/>
        <v>9.7738134404845418</v>
      </c>
      <c r="V39" s="30">
        <f t="shared" ca="1" si="17"/>
        <v>1.2110845914693928</v>
      </c>
      <c r="W39" s="30">
        <f t="shared" ca="1" si="17"/>
        <v>33.157572017778726</v>
      </c>
      <c r="X39" s="30">
        <f t="shared" ca="1" si="17"/>
        <v>26.52232116833995</v>
      </c>
      <c r="Y39" s="30">
        <f t="shared" ca="1" si="17"/>
        <v>29.79125793353727</v>
      </c>
      <c r="Z39" s="30">
        <f t="shared" ca="1" si="17"/>
        <v>29.655981821209384</v>
      </c>
      <c r="AA39" s="26">
        <v>31</v>
      </c>
      <c r="AB39" s="31">
        <f t="shared" ca="1" si="2"/>
        <v>139</v>
      </c>
      <c r="AC39" s="31">
        <f t="shared" ca="1" si="3"/>
        <v>5</v>
      </c>
      <c r="AD39" s="31">
        <f t="shared" ca="1" si="4"/>
        <v>13</v>
      </c>
      <c r="AE39" s="31">
        <f t="shared" ca="1" si="5"/>
        <v>1</v>
      </c>
      <c r="AF39" s="31">
        <f t="shared" ca="1" si="6"/>
        <v>78</v>
      </c>
      <c r="AG39" s="31">
        <f t="shared" ca="1" si="7"/>
        <v>41</v>
      </c>
      <c r="AH39" s="31">
        <f t="shared" ca="1" si="8"/>
        <v>12</v>
      </c>
      <c r="AI39" s="31">
        <f t="shared" ca="1" si="9"/>
        <v>2</v>
      </c>
      <c r="AJ39" s="31">
        <f t="shared" ca="1" si="10"/>
        <v>173</v>
      </c>
      <c r="AK39" s="31">
        <f t="shared" ca="1" si="11"/>
        <v>53</v>
      </c>
      <c r="AL39" s="31">
        <f t="shared" ca="1" si="12"/>
        <v>74</v>
      </c>
      <c r="AM39" s="31">
        <f t="shared" ca="1" si="13"/>
        <v>73</v>
      </c>
    </row>
    <row r="40" spans="1:39">
      <c r="A40" s="27"/>
      <c r="B40" s="28">
        <v>45351</v>
      </c>
      <c r="C40" s="29">
        <v>4.4333333333333343E-3</v>
      </c>
      <c r="D40" s="29">
        <v>5.0980638976707571E-3</v>
      </c>
      <c r="E40" s="29">
        <v>1.0325667909350411E-2</v>
      </c>
      <c r="F40" s="29">
        <v>1.1601199050103261E-2</v>
      </c>
      <c r="G40" s="29">
        <v>1.9015869324568335E-2</v>
      </c>
      <c r="H40" s="29">
        <v>1.8600000000000002E-2</v>
      </c>
      <c r="J40" s="24">
        <v>32</v>
      </c>
      <c r="K40" s="25">
        <f t="shared" si="14"/>
        <v>0.38897685648686287</v>
      </c>
      <c r="L40" s="25">
        <f t="shared" si="0"/>
        <v>20.756414973591429</v>
      </c>
      <c r="N40" s="26">
        <v>32</v>
      </c>
      <c r="O40" s="30">
        <f t="shared" ca="1" si="17"/>
        <v>12.941268374182288</v>
      </c>
      <c r="P40" s="30">
        <f t="shared" ca="1" si="17"/>
        <v>15.337628623639048</v>
      </c>
      <c r="Q40" s="30">
        <f t="shared" ca="1" si="17"/>
        <v>25.167730329896617</v>
      </c>
      <c r="R40" s="30">
        <f t="shared" ca="1" si="17"/>
        <v>10.338910008793592</v>
      </c>
      <c r="S40" s="30">
        <f t="shared" ca="1" si="17"/>
        <v>14.787549663913838</v>
      </c>
      <c r="T40" s="30">
        <f t="shared" ca="1" si="17"/>
        <v>21.22316470797</v>
      </c>
      <c r="U40" s="30">
        <f t="shared" ca="1" si="17"/>
        <v>19.883413792161566</v>
      </c>
      <c r="V40" s="30">
        <f t="shared" ca="1" si="17"/>
        <v>11.790656882646882</v>
      </c>
      <c r="W40" s="30">
        <f t="shared" ca="1" si="17"/>
        <v>21.722307074483414</v>
      </c>
      <c r="X40" s="30">
        <f t="shared" ca="1" si="17"/>
        <v>24.128680740481187</v>
      </c>
      <c r="Y40" s="30">
        <f t="shared" ca="1" si="17"/>
        <v>2.1179800240785949</v>
      </c>
      <c r="Z40" s="30">
        <f t="shared" ca="1" si="17"/>
        <v>4.4423158184079679</v>
      </c>
      <c r="AA40" s="26">
        <v>32</v>
      </c>
      <c r="AB40" s="31">
        <f t="shared" ca="1" si="2"/>
        <v>17</v>
      </c>
      <c r="AC40" s="31">
        <f t="shared" ca="1" si="3"/>
        <v>21</v>
      </c>
      <c r="AD40" s="31">
        <f t="shared" ca="1" si="4"/>
        <v>47</v>
      </c>
      <c r="AE40" s="31">
        <f t="shared" ca="1" si="5"/>
        <v>13</v>
      </c>
      <c r="AF40" s="31">
        <f t="shared" ca="1" si="6"/>
        <v>20</v>
      </c>
      <c r="AG40" s="31">
        <f t="shared" ca="1" si="7"/>
        <v>34</v>
      </c>
      <c r="AH40" s="31">
        <f t="shared" ca="1" si="8"/>
        <v>30</v>
      </c>
      <c r="AI40" s="31">
        <f t="shared" ca="1" si="9"/>
        <v>15</v>
      </c>
      <c r="AJ40" s="31">
        <f t="shared" ca="1" si="10"/>
        <v>35</v>
      </c>
      <c r="AK40" s="31">
        <f t="shared" ca="1" si="11"/>
        <v>43</v>
      </c>
      <c r="AL40" s="31">
        <f t="shared" ca="1" si="12"/>
        <v>3</v>
      </c>
      <c r="AM40" s="31">
        <f t="shared" ca="1" si="13"/>
        <v>5</v>
      </c>
    </row>
    <row r="41" spans="1:39">
      <c r="A41" s="27"/>
      <c r="B41" s="28">
        <v>45322</v>
      </c>
      <c r="C41" s="29">
        <v>4.73056E-3</v>
      </c>
      <c r="D41" s="29">
        <v>3.966305843010165E-3</v>
      </c>
      <c r="E41" s="29">
        <v>5.3181500349614996E-3</v>
      </c>
      <c r="F41" s="29">
        <v>6.61488662993448E-3</v>
      </c>
      <c r="G41" s="29">
        <v>3.2585952679720531E-2</v>
      </c>
      <c r="H41" s="29">
        <v>1.6899999999999998E-2</v>
      </c>
      <c r="J41" s="24">
        <v>33</v>
      </c>
      <c r="K41" s="25">
        <f t="shared" si="14"/>
        <v>0.37730755079225697</v>
      </c>
      <c r="L41" s="25">
        <f t="shared" si="0"/>
        <v>21.133722524383685</v>
      </c>
      <c r="N41" s="26">
        <v>33</v>
      </c>
      <c r="O41" s="30">
        <f t="shared" ca="1" si="17"/>
        <v>12.835488436859535</v>
      </c>
      <c r="P41" s="30">
        <f t="shared" ca="1" si="17"/>
        <v>29.109627252536669</v>
      </c>
      <c r="Q41" s="30">
        <f t="shared" ca="1" si="17"/>
        <v>28.353010647294276</v>
      </c>
      <c r="R41" s="30">
        <f t="shared" ca="1" si="17"/>
        <v>21.977723785826313</v>
      </c>
      <c r="S41" s="30">
        <f t="shared" ca="1" si="17"/>
        <v>3.7686096842046752</v>
      </c>
      <c r="T41" s="30">
        <f t="shared" ca="1" si="17"/>
        <v>15.974835666516057</v>
      </c>
      <c r="U41" s="30">
        <f t="shared" ca="1" si="17"/>
        <v>25.478238984998054</v>
      </c>
      <c r="V41" s="30">
        <f t="shared" ca="1" si="17"/>
        <v>8.3755980109564288</v>
      </c>
      <c r="W41" s="30">
        <f t="shared" ca="1" si="17"/>
        <v>20.340751651208571</v>
      </c>
      <c r="X41" s="30">
        <f t="shared" ca="1" si="17"/>
        <v>3.0583592572176728</v>
      </c>
      <c r="Y41" s="30">
        <f t="shared" ca="1" si="17"/>
        <v>26.368067581784413</v>
      </c>
      <c r="Z41" s="30">
        <f t="shared" ca="1" si="17"/>
        <v>1.3203295853743786</v>
      </c>
      <c r="AA41" s="26">
        <v>33</v>
      </c>
      <c r="AB41" s="31">
        <f t="shared" ca="1" si="2"/>
        <v>16</v>
      </c>
      <c r="AC41" s="31">
        <f t="shared" ca="1" si="3"/>
        <v>68</v>
      </c>
      <c r="AD41" s="31">
        <f t="shared" ca="1" si="4"/>
        <v>63</v>
      </c>
      <c r="AE41" s="31">
        <f t="shared" ca="1" si="5"/>
        <v>36</v>
      </c>
      <c r="AF41" s="31">
        <f t="shared" ca="1" si="6"/>
        <v>4</v>
      </c>
      <c r="AG41" s="31">
        <f t="shared" ca="1" si="7"/>
        <v>22</v>
      </c>
      <c r="AH41" s="31">
        <f t="shared" ca="1" si="8"/>
        <v>48</v>
      </c>
      <c r="AI41" s="31">
        <f t="shared" ca="1" si="9"/>
        <v>10</v>
      </c>
      <c r="AJ41" s="31">
        <f t="shared" ca="1" si="10"/>
        <v>31</v>
      </c>
      <c r="AK41" s="31">
        <f t="shared" ca="1" si="11"/>
        <v>4</v>
      </c>
      <c r="AL41" s="31">
        <f t="shared" ca="1" si="12"/>
        <v>52</v>
      </c>
      <c r="AM41" s="31">
        <f t="shared" ca="1" si="13"/>
        <v>2</v>
      </c>
    </row>
    <row r="42" spans="1:39">
      <c r="A42" s="27"/>
      <c r="B42" s="28">
        <v>45291</v>
      </c>
      <c r="C42" s="29">
        <v>4.2936111111111109E-3</v>
      </c>
      <c r="D42" s="29">
        <v>5.0709592320281605E-3</v>
      </c>
      <c r="E42" s="29">
        <v>9.1408341666396886E-3</v>
      </c>
      <c r="F42" s="29">
        <v>8.7839974699557288E-3</v>
      </c>
      <c r="G42" s="29">
        <v>2.577030812324943E-2</v>
      </c>
      <c r="H42" s="29">
        <v>-2.9999999999999997E-4</v>
      </c>
      <c r="J42" s="24">
        <v>34</v>
      </c>
      <c r="K42" s="25">
        <f t="shared" si="14"/>
        <v>0.36598832426848926</v>
      </c>
      <c r="L42" s="25">
        <f t="shared" si="0"/>
        <v>21.499710848652175</v>
      </c>
      <c r="N42" s="26">
        <v>34</v>
      </c>
      <c r="O42" s="30">
        <f t="shared" ca="1" si="17"/>
        <v>23.136421721409448</v>
      </c>
      <c r="P42" s="30">
        <f t="shared" ca="1" si="17"/>
        <v>20.752214056639747</v>
      </c>
      <c r="Q42" s="30">
        <f t="shared" ca="1" si="17"/>
        <v>12.445953984169112</v>
      </c>
      <c r="R42" s="30">
        <f t="shared" ca="1" si="17"/>
        <v>7.4960412559394847</v>
      </c>
      <c r="S42" s="30">
        <f t="shared" ca="1" si="17"/>
        <v>24.919834856203146</v>
      </c>
      <c r="T42" s="30">
        <f t="shared" ca="1" si="17"/>
        <v>28.255603421116597</v>
      </c>
      <c r="U42" s="30">
        <f t="shared" ca="1" si="17"/>
        <v>8.8830860627826471</v>
      </c>
      <c r="V42" s="30">
        <f t="shared" ca="1" si="17"/>
        <v>6.7990459148077296</v>
      </c>
      <c r="W42" s="30">
        <f t="shared" ca="1" si="17"/>
        <v>31.38599701668506</v>
      </c>
      <c r="X42" s="30">
        <f t="shared" ca="1" si="17"/>
        <v>14.494839084828973</v>
      </c>
      <c r="Y42" s="30">
        <f t="shared" ca="1" si="17"/>
        <v>5.9539241889794958</v>
      </c>
      <c r="Z42" s="30">
        <f t="shared" ca="1" si="17"/>
        <v>18.225399761085562</v>
      </c>
      <c r="AA42" s="26">
        <v>34</v>
      </c>
      <c r="AB42" s="31">
        <f t="shared" ca="1" si="2"/>
        <v>39</v>
      </c>
      <c r="AC42" s="31">
        <f t="shared" ca="1" si="3"/>
        <v>32</v>
      </c>
      <c r="AD42" s="31">
        <f t="shared" ca="1" si="4"/>
        <v>16</v>
      </c>
      <c r="AE42" s="31">
        <f t="shared" ca="1" si="5"/>
        <v>9</v>
      </c>
      <c r="AF42" s="31">
        <f t="shared" ca="1" si="6"/>
        <v>46</v>
      </c>
      <c r="AG42" s="31">
        <f t="shared" ca="1" si="7"/>
        <v>62</v>
      </c>
      <c r="AH42" s="31">
        <f t="shared" ca="1" si="8"/>
        <v>11</v>
      </c>
      <c r="AI42" s="31">
        <f t="shared" ca="1" si="9"/>
        <v>8</v>
      </c>
      <c r="AJ42" s="31">
        <f t="shared" ca="1" si="10"/>
        <v>94</v>
      </c>
      <c r="AK42" s="31">
        <f t="shared" ca="1" si="11"/>
        <v>19</v>
      </c>
      <c r="AL42" s="31">
        <f t="shared" ca="1" si="12"/>
        <v>7</v>
      </c>
      <c r="AM42" s="31">
        <f t="shared" ca="1" si="13"/>
        <v>26</v>
      </c>
    </row>
    <row r="43" spans="1:39">
      <c r="A43" s="27"/>
      <c r="B43" s="28">
        <v>45260</v>
      </c>
      <c r="C43" s="29">
        <v>4.6419313888888892E-3</v>
      </c>
      <c r="D43" s="29">
        <v>7.0202884861365611E-3</v>
      </c>
      <c r="E43" s="29">
        <v>1.458417708831905E-2</v>
      </c>
      <c r="F43" s="29">
        <v>1.5308293129329797E-2</v>
      </c>
      <c r="G43" s="29">
        <v>2.3792987680645084E-2</v>
      </c>
      <c r="H43" s="29">
        <v>7.8000000000000005E-3</v>
      </c>
      <c r="J43" s="24">
        <v>35</v>
      </c>
      <c r="K43" s="25">
        <f t="shared" si="14"/>
        <v>0.35500867454043455</v>
      </c>
      <c r="L43" s="25">
        <f t="shared" si="0"/>
        <v>21.85471952319261</v>
      </c>
      <c r="N43" s="26">
        <v>35</v>
      </c>
      <c r="O43" s="30">
        <f t="shared" ca="1" si="17"/>
        <v>17.85945226355679</v>
      </c>
      <c r="P43" s="30">
        <f t="shared" ca="1" si="17"/>
        <v>7.7802466217467696</v>
      </c>
      <c r="Q43" s="30">
        <f t="shared" ca="1" si="17"/>
        <v>6.7960069426013767</v>
      </c>
      <c r="R43" s="30">
        <f t="shared" ca="1" si="17"/>
        <v>7.2677705989844608</v>
      </c>
      <c r="S43" s="30">
        <f t="shared" ca="1" si="17"/>
        <v>14.463773180469376</v>
      </c>
      <c r="T43" s="30">
        <f t="shared" ca="1" si="17"/>
        <v>2.1321048932902484</v>
      </c>
      <c r="U43" s="30">
        <f t="shared" ca="1" si="17"/>
        <v>13.026582906704583</v>
      </c>
      <c r="V43" s="30">
        <f t="shared" ca="1" si="17"/>
        <v>6.0350909670900705</v>
      </c>
      <c r="W43" s="30">
        <f t="shared" ca="1" si="17"/>
        <v>1.2757262992554732</v>
      </c>
      <c r="X43" s="30">
        <f t="shared" ca="1" si="17"/>
        <v>1.2941513834110565</v>
      </c>
      <c r="Y43" s="30">
        <f t="shared" ca="1" si="17"/>
        <v>8.4119962631471914</v>
      </c>
      <c r="Z43" s="30">
        <f t="shared" ca="1" si="17"/>
        <v>21.951898597899394</v>
      </c>
      <c r="AA43" s="26">
        <v>35</v>
      </c>
      <c r="AB43" s="31">
        <f t="shared" ca="1" si="2"/>
        <v>26</v>
      </c>
      <c r="AC43" s="31">
        <f t="shared" ca="1" si="3"/>
        <v>9</v>
      </c>
      <c r="AD43" s="31">
        <f t="shared" ca="1" si="4"/>
        <v>8</v>
      </c>
      <c r="AE43" s="31">
        <f t="shared" ca="1" si="5"/>
        <v>9</v>
      </c>
      <c r="AF43" s="31">
        <f t="shared" ca="1" si="6"/>
        <v>19</v>
      </c>
      <c r="AG43" s="31">
        <f t="shared" ca="1" si="7"/>
        <v>3</v>
      </c>
      <c r="AH43" s="31">
        <f t="shared" ca="1" si="8"/>
        <v>17</v>
      </c>
      <c r="AI43" s="31">
        <f t="shared" ca="1" si="9"/>
        <v>7</v>
      </c>
      <c r="AJ43" s="31">
        <f t="shared" ca="1" si="10"/>
        <v>2</v>
      </c>
      <c r="AK43" s="31">
        <f t="shared" ca="1" si="11"/>
        <v>2</v>
      </c>
      <c r="AL43" s="31">
        <f t="shared" ca="1" si="12"/>
        <v>10</v>
      </c>
      <c r="AM43" s="31">
        <f t="shared" ca="1" si="13"/>
        <v>36</v>
      </c>
    </row>
    <row r="44" spans="1:39">
      <c r="A44" s="27"/>
      <c r="B44" s="28">
        <v>45230</v>
      </c>
      <c r="C44" s="29">
        <v>4.5934938888888893E-3</v>
      </c>
      <c r="D44" s="29">
        <v>7.4392740140856173E-3</v>
      </c>
      <c r="E44" s="29">
        <v>1.258466063254704E-2</v>
      </c>
      <c r="F44" s="29">
        <v>1.3521979318368738E-2</v>
      </c>
      <c r="G44" s="29">
        <v>6.1685354666292103E-3</v>
      </c>
      <c r="H44" s="29">
        <v>-2.0999999999999999E-3</v>
      </c>
      <c r="J44" s="24">
        <v>36</v>
      </c>
      <c r="K44" s="25">
        <f t="shared" si="14"/>
        <v>0.34435841430422148</v>
      </c>
      <c r="L44" s="25">
        <f t="shared" si="0"/>
        <v>22.199077937496831</v>
      </c>
      <c r="N44" s="26">
        <v>36</v>
      </c>
      <c r="O44" s="30">
        <f t="shared" ca="1" si="17"/>
        <v>30.260866806518528</v>
      </c>
      <c r="P44" s="30">
        <f t="shared" ca="1" si="17"/>
        <v>12.369904997967827</v>
      </c>
      <c r="Q44" s="30">
        <f t="shared" ca="1" si="17"/>
        <v>19.234097719277457</v>
      </c>
      <c r="R44" s="30">
        <f t="shared" ca="1" si="17"/>
        <v>9.0526462703021799</v>
      </c>
      <c r="S44" s="30">
        <f t="shared" ca="1" si="17"/>
        <v>22.205428286362569</v>
      </c>
      <c r="T44" s="30">
        <f t="shared" ca="1" si="17"/>
        <v>26.328989570975573</v>
      </c>
      <c r="U44" s="30">
        <f t="shared" ca="1" si="17"/>
        <v>21.248449484781204</v>
      </c>
      <c r="V44" s="30">
        <f t="shared" ca="1" si="17"/>
        <v>3.0140017634035838</v>
      </c>
      <c r="W44" s="30">
        <f t="shared" ca="1" si="17"/>
        <v>19.123369364113405</v>
      </c>
      <c r="X44" s="30">
        <f t="shared" ca="1" si="17"/>
        <v>23.717275224247633</v>
      </c>
      <c r="Y44" s="30">
        <f t="shared" ca="1" si="17"/>
        <v>21.55920719315985</v>
      </c>
      <c r="Z44" s="30">
        <f t="shared" ca="1" si="17"/>
        <v>10.695907793585222</v>
      </c>
      <c r="AA44" s="26">
        <v>36</v>
      </c>
      <c r="AB44" s="31">
        <f t="shared" ca="1" si="2"/>
        <v>79</v>
      </c>
      <c r="AC44" s="31">
        <f t="shared" ca="1" si="3"/>
        <v>16</v>
      </c>
      <c r="AD44" s="31">
        <f t="shared" ca="1" si="4"/>
        <v>29</v>
      </c>
      <c r="AE44" s="31">
        <f t="shared" ca="1" si="5"/>
        <v>11</v>
      </c>
      <c r="AF44" s="31">
        <f t="shared" ca="1" si="6"/>
        <v>37</v>
      </c>
      <c r="AG44" s="31">
        <f t="shared" ca="1" si="7"/>
        <v>52</v>
      </c>
      <c r="AH44" s="31">
        <f t="shared" ca="1" si="8"/>
        <v>34</v>
      </c>
      <c r="AI44" s="31">
        <f t="shared" ca="1" si="9"/>
        <v>4</v>
      </c>
      <c r="AJ44" s="31">
        <f t="shared" ca="1" si="10"/>
        <v>28</v>
      </c>
      <c r="AK44" s="31">
        <f t="shared" ca="1" si="11"/>
        <v>41</v>
      </c>
      <c r="AL44" s="31">
        <f t="shared" ca="1" si="12"/>
        <v>35</v>
      </c>
      <c r="AM44" s="31">
        <f t="shared" ca="1" si="13"/>
        <v>13</v>
      </c>
    </row>
    <row r="45" spans="1:39">
      <c r="A45" s="27"/>
      <c r="B45" s="28">
        <v>45199</v>
      </c>
      <c r="C45" s="29">
        <v>4.2588583333333331E-3</v>
      </c>
      <c r="D45" s="29">
        <v>1.8520909262440544E-3</v>
      </c>
      <c r="E45" s="29">
        <v>3.6127648252237687E-3</v>
      </c>
      <c r="F45" s="29">
        <v>2.1198359573098013E-3</v>
      </c>
      <c r="G45" s="29">
        <v>1.3556020448159956E-3</v>
      </c>
      <c r="H45" s="29">
        <v>-6.0000000000000001E-3</v>
      </c>
      <c r="J45" s="24">
        <v>37</v>
      </c>
      <c r="K45" s="25">
        <f t="shared" si="14"/>
        <v>0.33402766187509481</v>
      </c>
      <c r="L45" s="25">
        <f t="shared" si="0"/>
        <v>22.533105599371925</v>
      </c>
      <c r="N45" s="26">
        <v>37</v>
      </c>
      <c r="O45" s="30">
        <f t="shared" ca="1" si="17"/>
        <v>5.7763243387765444</v>
      </c>
      <c r="P45" s="30">
        <f t="shared" ca="1" si="17"/>
        <v>6.130916282516826</v>
      </c>
      <c r="Q45" s="30">
        <f t="shared" ca="1" si="17"/>
        <v>7.1035734792987997</v>
      </c>
      <c r="R45" s="30">
        <f t="shared" ca="1" si="17"/>
        <v>15.850122787150378</v>
      </c>
      <c r="S45" s="30">
        <f t="shared" ca="1" si="17"/>
        <v>3.9438292822212104</v>
      </c>
      <c r="T45" s="30">
        <f t="shared" ca="1" si="17"/>
        <v>21.339923393723684</v>
      </c>
      <c r="U45" s="30">
        <f t="shared" ca="1" si="17"/>
        <v>10.847845817627391</v>
      </c>
      <c r="V45" s="30">
        <f t="shared" ca="1" si="17"/>
        <v>2.3488227919790439</v>
      </c>
      <c r="W45" s="30">
        <f t="shared" ca="1" si="17"/>
        <v>16.514970396400653</v>
      </c>
      <c r="X45" s="30">
        <f t="shared" ca="1" si="17"/>
        <v>29.650873472310629</v>
      </c>
      <c r="Y45" s="30">
        <f t="shared" ca="1" si="17"/>
        <v>15.035691719823541</v>
      </c>
      <c r="Z45" s="30">
        <f t="shared" ca="1" si="17"/>
        <v>0.83632150148298778</v>
      </c>
      <c r="AA45" s="26">
        <v>37</v>
      </c>
      <c r="AB45" s="31">
        <f t="shared" ca="1" si="2"/>
        <v>7</v>
      </c>
      <c r="AC45" s="31">
        <f t="shared" ca="1" si="3"/>
        <v>7</v>
      </c>
      <c r="AD45" s="31">
        <f t="shared" ca="1" si="4"/>
        <v>8</v>
      </c>
      <c r="AE45" s="31">
        <f t="shared" ca="1" si="5"/>
        <v>22</v>
      </c>
      <c r="AF45" s="31">
        <f t="shared" ca="1" si="6"/>
        <v>5</v>
      </c>
      <c r="AG45" s="31">
        <f t="shared" ca="1" si="7"/>
        <v>34</v>
      </c>
      <c r="AH45" s="31">
        <f t="shared" ca="1" si="8"/>
        <v>13</v>
      </c>
      <c r="AI45" s="31">
        <f t="shared" ca="1" si="9"/>
        <v>3</v>
      </c>
      <c r="AJ45" s="31">
        <f t="shared" ca="1" si="10"/>
        <v>23</v>
      </c>
      <c r="AK45" s="31">
        <f t="shared" ca="1" si="11"/>
        <v>73</v>
      </c>
      <c r="AL45" s="31">
        <f t="shared" ca="1" si="12"/>
        <v>20</v>
      </c>
      <c r="AM45" s="31">
        <f t="shared" ca="1" si="13"/>
        <v>1</v>
      </c>
    </row>
    <row r="46" spans="1:39">
      <c r="A46" s="27"/>
      <c r="B46" s="28">
        <v>45169</v>
      </c>
      <c r="C46" s="29">
        <v>4.62E-3</v>
      </c>
      <c r="D46" s="29">
        <v>1.5914538925967392E-3</v>
      </c>
      <c r="E46" s="29">
        <v>-6.2356839090171867E-5</v>
      </c>
      <c r="F46" s="29">
        <v>-1.0669316349301017E-3</v>
      </c>
      <c r="G46" s="29">
        <v>-2.8781322835419565E-2</v>
      </c>
      <c r="H46" s="29">
        <v>-1.9099999999999999E-2</v>
      </c>
      <c r="J46" s="24">
        <v>38</v>
      </c>
      <c r="K46" s="25">
        <f t="shared" si="14"/>
        <v>0.32400683201884195</v>
      </c>
      <c r="L46" s="25">
        <f t="shared" si="0"/>
        <v>22.857112431390767</v>
      </c>
      <c r="N46" s="26">
        <v>38</v>
      </c>
      <c r="O46" s="30">
        <f t="shared" ca="1" si="17"/>
        <v>24.674120188812505</v>
      </c>
      <c r="P46" s="30">
        <f t="shared" ca="1" si="17"/>
        <v>17.512156865585634</v>
      </c>
      <c r="Q46" s="30">
        <f t="shared" ca="1" si="17"/>
        <v>26.991992946651767</v>
      </c>
      <c r="R46" s="30">
        <f t="shared" ca="1" si="17"/>
        <v>9.8396608310522975</v>
      </c>
      <c r="S46" s="30">
        <f t="shared" ca="1" si="17"/>
        <v>3.906597183349878</v>
      </c>
      <c r="T46" s="30">
        <f t="shared" ca="1" si="17"/>
        <v>21.624751843978668</v>
      </c>
      <c r="U46" s="30">
        <f t="shared" ca="1" si="17"/>
        <v>8.1894356068793019</v>
      </c>
      <c r="V46" s="30">
        <f t="shared" ca="1" si="17"/>
        <v>25.290863501605649</v>
      </c>
      <c r="W46" s="30">
        <f t="shared" ca="1" si="17"/>
        <v>0.68115970568941664</v>
      </c>
      <c r="X46" s="30">
        <f t="shared" ca="1" si="17"/>
        <v>17.111353558503289</v>
      </c>
      <c r="Y46" s="30">
        <f t="shared" ca="1" si="17"/>
        <v>27.639973887342226</v>
      </c>
      <c r="Z46" s="30">
        <f t="shared" ca="1" si="17"/>
        <v>22.699283527353415</v>
      </c>
      <c r="AA46" s="26">
        <v>38</v>
      </c>
      <c r="AB46" s="31">
        <f t="shared" ca="1" si="2"/>
        <v>45</v>
      </c>
      <c r="AC46" s="31">
        <f t="shared" ca="1" si="3"/>
        <v>25</v>
      </c>
      <c r="AD46" s="31">
        <f t="shared" ca="1" si="4"/>
        <v>55</v>
      </c>
      <c r="AE46" s="31">
        <f t="shared" ca="1" si="5"/>
        <v>12</v>
      </c>
      <c r="AF46" s="31">
        <f t="shared" ca="1" si="6"/>
        <v>5</v>
      </c>
      <c r="AG46" s="31">
        <f t="shared" ca="1" si="7"/>
        <v>35</v>
      </c>
      <c r="AH46" s="31">
        <f t="shared" ca="1" si="8"/>
        <v>10</v>
      </c>
      <c r="AI46" s="31">
        <f t="shared" ca="1" si="9"/>
        <v>47</v>
      </c>
      <c r="AJ46" s="31">
        <f t="shared" ca="1" si="10"/>
        <v>1</v>
      </c>
      <c r="AK46" s="31">
        <f t="shared" ca="1" si="11"/>
        <v>24</v>
      </c>
      <c r="AL46" s="31">
        <f t="shared" ca="1" si="12"/>
        <v>59</v>
      </c>
      <c r="AM46" s="31">
        <f t="shared" ca="1" si="13"/>
        <v>38</v>
      </c>
    </row>
    <row r="47" spans="1:39">
      <c r="A47" s="27"/>
      <c r="B47" s="28">
        <v>45138</v>
      </c>
      <c r="C47" s="29">
        <v>3.756184444444444E-3</v>
      </c>
      <c r="D47" s="29">
        <v>2.9428782346720972E-3</v>
      </c>
      <c r="E47" s="29">
        <v>-4.1770160622620622E-3</v>
      </c>
      <c r="F47" s="29">
        <v>-1.8129344335596764E-3</v>
      </c>
      <c r="G47" s="29">
        <v>1.3428044983798237E-2</v>
      </c>
      <c r="H47" s="29">
        <v>1.7600000000000001E-2</v>
      </c>
      <c r="J47" s="24">
        <v>39</v>
      </c>
      <c r="K47" s="25">
        <f t="shared" si="14"/>
        <v>0.3142866270582767</v>
      </c>
      <c r="L47" s="25">
        <f t="shared" si="0"/>
        <v>23.171399058449044</v>
      </c>
      <c r="N47" s="26">
        <v>39</v>
      </c>
      <c r="O47" s="30">
        <f t="shared" ca="1" si="17"/>
        <v>23.336560397763396</v>
      </c>
      <c r="P47" s="30">
        <f t="shared" ca="1" si="17"/>
        <v>27.021379783874877</v>
      </c>
      <c r="Q47" s="30">
        <f t="shared" ca="1" si="17"/>
        <v>11.616707769135287</v>
      </c>
      <c r="R47" s="30">
        <f t="shared" ca="1" si="17"/>
        <v>7.3419211970752016</v>
      </c>
      <c r="S47" s="30">
        <f t="shared" ca="1" si="17"/>
        <v>30.144265521058085</v>
      </c>
      <c r="T47" s="30">
        <f t="shared" ca="1" si="17"/>
        <v>30.477769980434235</v>
      </c>
      <c r="U47" s="30">
        <f t="shared" ca="1" si="17"/>
        <v>26.558883932265498</v>
      </c>
      <c r="V47" s="30">
        <f t="shared" ca="1" si="17"/>
        <v>20.822509318392541</v>
      </c>
      <c r="W47" s="30">
        <f t="shared" ca="1" si="17"/>
        <v>27.925240164668246</v>
      </c>
      <c r="X47" s="30">
        <f t="shared" ca="1" si="17"/>
        <v>10.316195255519888</v>
      </c>
      <c r="Y47" s="30">
        <f t="shared" ca="1" si="17"/>
        <v>4.850325510574363</v>
      </c>
      <c r="Z47" s="30">
        <f t="shared" ca="1" si="17"/>
        <v>31.624287947277306</v>
      </c>
      <c r="AA47" s="26">
        <v>39</v>
      </c>
      <c r="AB47" s="31">
        <f t="shared" ca="1" si="2"/>
        <v>40</v>
      </c>
      <c r="AC47" s="31">
        <f t="shared" ca="1" si="3"/>
        <v>55</v>
      </c>
      <c r="AD47" s="31">
        <f t="shared" ca="1" si="4"/>
        <v>15</v>
      </c>
      <c r="AE47" s="31">
        <f t="shared" ca="1" si="5"/>
        <v>9</v>
      </c>
      <c r="AF47" s="31">
        <f t="shared" ca="1" si="6"/>
        <v>78</v>
      </c>
      <c r="AG47" s="31">
        <f t="shared" ca="1" si="7"/>
        <v>81</v>
      </c>
      <c r="AH47" s="31">
        <f t="shared" ca="1" si="8"/>
        <v>53</v>
      </c>
      <c r="AI47" s="31">
        <f t="shared" ca="1" si="9"/>
        <v>33</v>
      </c>
      <c r="AJ47" s="31">
        <f t="shared" ca="1" si="10"/>
        <v>60</v>
      </c>
      <c r="AK47" s="31">
        <f t="shared" ca="1" si="11"/>
        <v>13</v>
      </c>
      <c r="AL47" s="31">
        <f t="shared" ca="1" si="12"/>
        <v>6</v>
      </c>
      <c r="AM47" s="31">
        <f t="shared" ca="1" si="13"/>
        <v>98</v>
      </c>
    </row>
    <row r="48" spans="1:39">
      <c r="A48" s="27"/>
      <c r="B48" s="28">
        <v>45107</v>
      </c>
      <c r="C48" s="29">
        <v>3.9896397222222227E-3</v>
      </c>
      <c r="D48" s="29">
        <v>1.3435556776466573E-3</v>
      </c>
      <c r="E48" s="29">
        <v>-1.0377192299656279E-2</v>
      </c>
      <c r="F48" s="29">
        <v>-9.8129185986605139E-3</v>
      </c>
      <c r="G48" s="29">
        <v>1.2447071513409957E-2</v>
      </c>
      <c r="H48" s="29">
        <v>1.7000000000000001E-2</v>
      </c>
      <c r="J48" s="24">
        <v>40</v>
      </c>
      <c r="K48" s="25">
        <f t="shared" si="14"/>
        <v>0.30485802824652841</v>
      </c>
      <c r="L48" s="25">
        <f t="shared" si="0"/>
        <v>23.476257086695572</v>
      </c>
      <c r="N48" s="26">
        <v>40</v>
      </c>
      <c r="O48" s="30">
        <f t="shared" ca="1" si="17"/>
        <v>22.724436665534181</v>
      </c>
      <c r="P48" s="30">
        <f t="shared" ca="1" si="17"/>
        <v>19.027787659269684</v>
      </c>
      <c r="Q48" s="30">
        <f t="shared" ca="1" si="17"/>
        <v>26.843909350440491</v>
      </c>
      <c r="R48" s="30">
        <f t="shared" ca="1" si="17"/>
        <v>30.752304907859454</v>
      </c>
      <c r="S48" s="30">
        <f t="shared" ca="1" si="17"/>
        <v>3.6014837843997403</v>
      </c>
      <c r="T48" s="30">
        <f t="shared" ca="1" si="17"/>
        <v>29.270878081659173</v>
      </c>
      <c r="U48" s="30">
        <f t="shared" ca="1" si="17"/>
        <v>3.1841871782570732</v>
      </c>
      <c r="V48" s="30">
        <f t="shared" ca="1" si="17"/>
        <v>14.026483645114906</v>
      </c>
      <c r="W48" s="30">
        <f t="shared" ca="1" si="17"/>
        <v>17.126170288399841</v>
      </c>
      <c r="X48" s="30">
        <f t="shared" ca="1" si="17"/>
        <v>0.7395639486182336</v>
      </c>
      <c r="Y48" s="30">
        <f t="shared" ca="1" si="17"/>
        <v>7.6469771078268689</v>
      </c>
      <c r="Z48" s="30">
        <f t="shared" ca="1" si="17"/>
        <v>22.815855288373847</v>
      </c>
      <c r="AA48" s="26">
        <v>40</v>
      </c>
      <c r="AB48" s="31">
        <f t="shared" ca="1" si="2"/>
        <v>38</v>
      </c>
      <c r="AC48" s="31">
        <f t="shared" ca="1" si="3"/>
        <v>28</v>
      </c>
      <c r="AD48" s="31">
        <f t="shared" ca="1" si="4"/>
        <v>54</v>
      </c>
      <c r="AE48" s="31">
        <f t="shared" ca="1" si="5"/>
        <v>84</v>
      </c>
      <c r="AF48" s="31">
        <f t="shared" ca="1" si="6"/>
        <v>4</v>
      </c>
      <c r="AG48" s="31">
        <f t="shared" ca="1" si="7"/>
        <v>70</v>
      </c>
      <c r="AH48" s="31">
        <f t="shared" ca="1" si="8"/>
        <v>4</v>
      </c>
      <c r="AI48" s="31">
        <f t="shared" ca="1" si="9"/>
        <v>18</v>
      </c>
      <c r="AJ48" s="31">
        <f t="shared" ca="1" si="10"/>
        <v>24</v>
      </c>
      <c r="AK48" s="31">
        <f t="shared" ca="1" si="11"/>
        <v>1</v>
      </c>
      <c r="AL48" s="31">
        <f t="shared" ca="1" si="12"/>
        <v>9</v>
      </c>
      <c r="AM48" s="31">
        <f t="shared" ca="1" si="13"/>
        <v>38</v>
      </c>
    </row>
    <row r="49" spans="1:39">
      <c r="A49" s="27"/>
      <c r="B49" s="28">
        <v>45077</v>
      </c>
      <c r="C49" s="29">
        <v>3.5544444444444447E-3</v>
      </c>
      <c r="D49" s="29">
        <v>7.1974449070588697E-4</v>
      </c>
      <c r="E49" s="29">
        <v>1.0211446662620194E-3</v>
      </c>
      <c r="F49" s="29">
        <v>3.3195221826463062E-3</v>
      </c>
      <c r="G49" s="29">
        <v>2.7137217101349531E-3</v>
      </c>
      <c r="H49" s="29">
        <v>3.4999999999999996E-3</v>
      </c>
      <c r="J49" s="24">
        <v>41</v>
      </c>
      <c r="K49" s="25">
        <f t="shared" si="14"/>
        <v>0.29571228739913258</v>
      </c>
      <c r="L49" s="25">
        <f t="shared" si="0"/>
        <v>23.771969374094706</v>
      </c>
      <c r="N49" s="26">
        <v>41</v>
      </c>
      <c r="O49" s="30">
        <f t="shared" ref="O49:Z58" ca="1" si="18">RAND()*sumweights</f>
        <v>21.483711016873549</v>
      </c>
      <c r="P49" s="30">
        <f t="shared" ca="1" si="18"/>
        <v>1.7912949103567477</v>
      </c>
      <c r="Q49" s="30">
        <f t="shared" ca="1" si="18"/>
        <v>18.836151056749909</v>
      </c>
      <c r="R49" s="30">
        <f t="shared" ca="1" si="18"/>
        <v>30.946779924140724</v>
      </c>
      <c r="S49" s="30">
        <f t="shared" ca="1" si="18"/>
        <v>6.2428005215170383</v>
      </c>
      <c r="T49" s="30">
        <f t="shared" ca="1" si="18"/>
        <v>13.807211682503212</v>
      </c>
      <c r="U49" s="30">
        <f t="shared" ca="1" si="18"/>
        <v>2.3114905707454434</v>
      </c>
      <c r="V49" s="30">
        <f t="shared" ca="1" si="18"/>
        <v>11.032651316712531</v>
      </c>
      <c r="W49" s="30">
        <f t="shared" ca="1" si="18"/>
        <v>3.2711626490220262</v>
      </c>
      <c r="X49" s="30">
        <f t="shared" ca="1" si="18"/>
        <v>10.848922340128853</v>
      </c>
      <c r="Y49" s="30">
        <f t="shared" ca="1" si="18"/>
        <v>1.745229944406417</v>
      </c>
      <c r="Z49" s="30">
        <f t="shared" ca="1" si="18"/>
        <v>12.561345184932307</v>
      </c>
      <c r="AA49" s="26">
        <v>41</v>
      </c>
      <c r="AB49" s="31">
        <f t="shared" ca="1" si="2"/>
        <v>34</v>
      </c>
      <c r="AC49" s="31">
        <f t="shared" ca="1" si="3"/>
        <v>2</v>
      </c>
      <c r="AD49" s="31">
        <f t="shared" ca="1" si="4"/>
        <v>28</v>
      </c>
      <c r="AE49" s="31">
        <f t="shared" ca="1" si="5"/>
        <v>87</v>
      </c>
      <c r="AF49" s="31">
        <f t="shared" ca="1" si="6"/>
        <v>7</v>
      </c>
      <c r="AG49" s="31">
        <f t="shared" ca="1" si="7"/>
        <v>18</v>
      </c>
      <c r="AH49" s="31">
        <f t="shared" ca="1" si="8"/>
        <v>3</v>
      </c>
      <c r="AI49" s="31">
        <f t="shared" ca="1" si="9"/>
        <v>14</v>
      </c>
      <c r="AJ49" s="31">
        <f t="shared" ca="1" si="10"/>
        <v>4</v>
      </c>
      <c r="AK49" s="31">
        <f t="shared" ca="1" si="11"/>
        <v>13</v>
      </c>
      <c r="AL49" s="31">
        <f t="shared" ca="1" si="12"/>
        <v>2</v>
      </c>
      <c r="AM49" s="31">
        <f t="shared" ca="1" si="13"/>
        <v>16</v>
      </c>
    </row>
    <row r="50" spans="1:39">
      <c r="A50" s="27"/>
      <c r="B50" s="28">
        <v>45046</v>
      </c>
      <c r="C50" s="29">
        <v>3.9022222222222219E-3</v>
      </c>
      <c r="D50" s="29">
        <v>1.7574604446224384E-3</v>
      </c>
      <c r="E50" s="29">
        <v>-2.5443210916855641E-3</v>
      </c>
      <c r="F50" s="29">
        <v>5.6540070755950467E-5</v>
      </c>
      <c r="G50" s="29">
        <v>2.6477522337827297E-2</v>
      </c>
      <c r="H50" s="29">
        <v>2.8799999999999999E-2</v>
      </c>
      <c r="J50" s="24">
        <v>42</v>
      </c>
      <c r="K50" s="25">
        <f t="shared" si="14"/>
        <v>0.28684091877715862</v>
      </c>
      <c r="L50" s="25">
        <f t="shared" si="0"/>
        <v>24.058810292871865</v>
      </c>
      <c r="N50" s="26">
        <v>42</v>
      </c>
      <c r="O50" s="30">
        <f t="shared" ca="1" si="18"/>
        <v>8.1135334704109727</v>
      </c>
      <c r="P50" s="30">
        <f t="shared" ca="1" si="18"/>
        <v>12.537865578860087</v>
      </c>
      <c r="Q50" s="30">
        <f t="shared" ca="1" si="18"/>
        <v>20.429959624494337</v>
      </c>
      <c r="R50" s="30">
        <f t="shared" ca="1" si="18"/>
        <v>17.543617623919104</v>
      </c>
      <c r="S50" s="30">
        <f t="shared" ca="1" si="18"/>
        <v>19.800101620625934</v>
      </c>
      <c r="T50" s="30">
        <f t="shared" ca="1" si="18"/>
        <v>28.728189290001783</v>
      </c>
      <c r="U50" s="30">
        <f t="shared" ca="1" si="18"/>
        <v>20.287278842318944</v>
      </c>
      <c r="V50" s="30">
        <f t="shared" ca="1" si="18"/>
        <v>31.385975375888272</v>
      </c>
      <c r="W50" s="30">
        <f t="shared" ca="1" si="18"/>
        <v>16.523400752263871</v>
      </c>
      <c r="X50" s="30">
        <f t="shared" ca="1" si="18"/>
        <v>28.099833423527247</v>
      </c>
      <c r="Y50" s="30">
        <f t="shared" ca="1" si="18"/>
        <v>30.438000745226901</v>
      </c>
      <c r="Z50" s="30">
        <f t="shared" ca="1" si="18"/>
        <v>24.443462319215996</v>
      </c>
      <c r="AA50" s="26">
        <v>42</v>
      </c>
      <c r="AB50" s="31">
        <f t="shared" ca="1" si="2"/>
        <v>10</v>
      </c>
      <c r="AC50" s="31">
        <f t="shared" ca="1" si="3"/>
        <v>16</v>
      </c>
      <c r="AD50" s="31">
        <f t="shared" ca="1" si="4"/>
        <v>32</v>
      </c>
      <c r="AE50" s="31">
        <f t="shared" ca="1" si="5"/>
        <v>25</v>
      </c>
      <c r="AF50" s="31">
        <f t="shared" ca="1" si="6"/>
        <v>30</v>
      </c>
      <c r="AG50" s="31">
        <f t="shared" ca="1" si="7"/>
        <v>65</v>
      </c>
      <c r="AH50" s="31">
        <f t="shared" ca="1" si="8"/>
        <v>31</v>
      </c>
      <c r="AI50" s="31">
        <f t="shared" ca="1" si="9"/>
        <v>94</v>
      </c>
      <c r="AJ50" s="31">
        <f t="shared" ca="1" si="10"/>
        <v>23</v>
      </c>
      <c r="AK50" s="31">
        <f t="shared" ca="1" si="11"/>
        <v>61</v>
      </c>
      <c r="AL50" s="31">
        <f t="shared" ca="1" si="12"/>
        <v>81</v>
      </c>
      <c r="AM50" s="31">
        <f t="shared" ca="1" si="13"/>
        <v>44</v>
      </c>
    </row>
    <row r="51" spans="1:39">
      <c r="A51" s="27"/>
      <c r="B51" s="28">
        <v>45016</v>
      </c>
      <c r="C51" s="29">
        <v>3.5781250000000001E-3</v>
      </c>
      <c r="D51" s="29">
        <v>3.5323615570528322E-3</v>
      </c>
      <c r="E51" s="29">
        <v>9.4559328752643612E-3</v>
      </c>
      <c r="F51" s="29">
        <v>9.5075016307892835E-3</v>
      </c>
      <c r="G51" s="29">
        <v>3.4811930795775048E-4</v>
      </c>
      <c r="H51" s="29">
        <v>1.9799999999999998E-2</v>
      </c>
      <c r="J51" s="24">
        <v>43</v>
      </c>
      <c r="K51" s="25">
        <f t="shared" si="14"/>
        <v>0.27823569121384384</v>
      </c>
      <c r="L51" s="25">
        <f t="shared" si="0"/>
        <v>24.337045984085709</v>
      </c>
      <c r="N51" s="26">
        <v>43</v>
      </c>
      <c r="O51" s="30">
        <f t="shared" ca="1" si="18"/>
        <v>22.028041534149672</v>
      </c>
      <c r="P51" s="30">
        <f t="shared" ca="1" si="18"/>
        <v>25.013503523376432</v>
      </c>
      <c r="Q51" s="30">
        <f t="shared" ca="1" si="18"/>
        <v>21.507682755738472</v>
      </c>
      <c r="R51" s="30">
        <f t="shared" ca="1" si="18"/>
        <v>29.164284112486097</v>
      </c>
      <c r="S51" s="30">
        <f t="shared" ca="1" si="18"/>
        <v>20.723351429008112</v>
      </c>
      <c r="T51" s="30">
        <f t="shared" ca="1" si="18"/>
        <v>15.844778050313737</v>
      </c>
      <c r="U51" s="30">
        <f t="shared" ca="1" si="18"/>
        <v>29.553862165842254</v>
      </c>
      <c r="V51" s="30">
        <f t="shared" ca="1" si="18"/>
        <v>16.216333882609678</v>
      </c>
      <c r="W51" s="30">
        <f t="shared" ca="1" si="18"/>
        <v>15.700354802662817</v>
      </c>
      <c r="X51" s="30">
        <f t="shared" ca="1" si="18"/>
        <v>15.652682576102752</v>
      </c>
      <c r="Y51" s="30">
        <f t="shared" ca="1" si="18"/>
        <v>24.975890946661757</v>
      </c>
      <c r="Z51" s="30">
        <f t="shared" ca="1" si="18"/>
        <v>18.330683947133782</v>
      </c>
      <c r="AA51" s="26">
        <v>43</v>
      </c>
      <c r="AB51" s="31">
        <f t="shared" ca="1" si="2"/>
        <v>36</v>
      </c>
      <c r="AC51" s="31">
        <f t="shared" ca="1" si="3"/>
        <v>46</v>
      </c>
      <c r="AD51" s="31">
        <f t="shared" ca="1" si="4"/>
        <v>35</v>
      </c>
      <c r="AE51" s="31">
        <f t="shared" ca="1" si="5"/>
        <v>69</v>
      </c>
      <c r="AF51" s="31">
        <f t="shared" ca="1" si="6"/>
        <v>32</v>
      </c>
      <c r="AG51" s="31">
        <f t="shared" ca="1" si="7"/>
        <v>22</v>
      </c>
      <c r="AH51" s="31">
        <f t="shared" ca="1" si="8"/>
        <v>72</v>
      </c>
      <c r="AI51" s="31">
        <f t="shared" ca="1" si="9"/>
        <v>22</v>
      </c>
      <c r="AJ51" s="31">
        <f t="shared" ca="1" si="10"/>
        <v>21</v>
      </c>
      <c r="AK51" s="31">
        <f t="shared" ca="1" si="11"/>
        <v>21</v>
      </c>
      <c r="AL51" s="31">
        <f t="shared" ca="1" si="12"/>
        <v>46</v>
      </c>
      <c r="AM51" s="31">
        <f t="shared" ca="1" si="13"/>
        <v>27</v>
      </c>
    </row>
    <row r="52" spans="1:39">
      <c r="A52" s="27"/>
      <c r="B52" s="28">
        <v>44985</v>
      </c>
      <c r="C52" s="29">
        <v>3.4083333333333331E-3</v>
      </c>
      <c r="D52" s="29">
        <v>3.3273340492143699E-3</v>
      </c>
      <c r="E52" s="29">
        <v>5.2216936883087151E-3</v>
      </c>
      <c r="F52" s="29">
        <v>4.4226044226045591E-3</v>
      </c>
      <c r="G52" s="29">
        <v>3.7822297888814305E-2</v>
      </c>
      <c r="H52" s="29">
        <v>1.6799999999999999E-2</v>
      </c>
      <c r="J52" s="24">
        <v>44</v>
      </c>
      <c r="K52" s="25">
        <f t="shared" si="14"/>
        <v>0.26988862047742851</v>
      </c>
      <c r="L52" s="25">
        <f t="shared" si="0"/>
        <v>24.606934604563136</v>
      </c>
      <c r="N52" s="26">
        <v>44</v>
      </c>
      <c r="O52" s="30">
        <f t="shared" ca="1" si="18"/>
        <v>15.991940502819848</v>
      </c>
      <c r="P52" s="30">
        <f t="shared" ca="1" si="18"/>
        <v>24.923580163871257</v>
      </c>
      <c r="Q52" s="30">
        <f t="shared" ca="1" si="18"/>
        <v>1.935059114153362</v>
      </c>
      <c r="R52" s="30">
        <f t="shared" ca="1" si="18"/>
        <v>18.401908568849855</v>
      </c>
      <c r="S52" s="30">
        <f t="shared" ca="1" si="18"/>
        <v>6.4261408988571835</v>
      </c>
      <c r="T52" s="30">
        <f t="shared" ca="1" si="18"/>
        <v>0.64872914092771217</v>
      </c>
      <c r="U52" s="30">
        <f t="shared" ca="1" si="18"/>
        <v>22.695176211069015</v>
      </c>
      <c r="V52" s="30">
        <f t="shared" ca="1" si="18"/>
        <v>3.647376757616986</v>
      </c>
      <c r="W52" s="30">
        <f t="shared" ca="1" si="18"/>
        <v>23.583080070151823</v>
      </c>
      <c r="X52" s="30">
        <f t="shared" ca="1" si="18"/>
        <v>10.41615040526141</v>
      </c>
      <c r="Y52" s="30">
        <f t="shared" ca="1" si="18"/>
        <v>25.717633186154476</v>
      </c>
      <c r="Z52" s="30">
        <f t="shared" ca="1" si="18"/>
        <v>23.639033966277964</v>
      </c>
      <c r="AA52" s="26">
        <v>44</v>
      </c>
      <c r="AB52" s="31">
        <f t="shared" ca="1" si="2"/>
        <v>22</v>
      </c>
      <c r="AC52" s="31">
        <f t="shared" ca="1" si="3"/>
        <v>46</v>
      </c>
      <c r="AD52" s="31">
        <f t="shared" ca="1" si="4"/>
        <v>2</v>
      </c>
      <c r="AE52" s="31">
        <f t="shared" ca="1" si="5"/>
        <v>27</v>
      </c>
      <c r="AF52" s="31">
        <f t="shared" ca="1" si="6"/>
        <v>8</v>
      </c>
      <c r="AG52" s="31">
        <f t="shared" ca="1" si="7"/>
        <v>1</v>
      </c>
      <c r="AH52" s="31">
        <f t="shared" ca="1" si="8"/>
        <v>38</v>
      </c>
      <c r="AI52" s="31">
        <f t="shared" ca="1" si="9"/>
        <v>4</v>
      </c>
      <c r="AJ52" s="31">
        <f t="shared" ca="1" si="10"/>
        <v>41</v>
      </c>
      <c r="AK52" s="31">
        <f t="shared" ca="1" si="11"/>
        <v>13</v>
      </c>
      <c r="AL52" s="31">
        <f t="shared" ca="1" si="12"/>
        <v>49</v>
      </c>
      <c r="AM52" s="31">
        <f t="shared" ca="1" si="13"/>
        <v>41</v>
      </c>
    </row>
    <row r="53" spans="1:39">
      <c r="A53" s="27"/>
      <c r="B53" s="28">
        <v>44957</v>
      </c>
      <c r="C53" s="29">
        <v>3.3271180555555558E-3</v>
      </c>
      <c r="D53" s="29">
        <v>-2.8223957099593466E-4</v>
      </c>
      <c r="E53" s="29">
        <v>-7.7185409733434573E-3</v>
      </c>
      <c r="F53" s="29">
        <v>-7.9139379560264622E-3</v>
      </c>
      <c r="G53" s="29">
        <v>-1.6670866376760629E-2</v>
      </c>
      <c r="H53" s="29">
        <v>-1.4499999999999999E-2</v>
      </c>
      <c r="J53" s="24">
        <v>45</v>
      </c>
      <c r="K53" s="25">
        <f t="shared" si="14"/>
        <v>0.26179196186310566</v>
      </c>
      <c r="L53" s="25">
        <f t="shared" si="0"/>
        <v>24.868726566426243</v>
      </c>
      <c r="N53" s="26">
        <v>45</v>
      </c>
      <c r="O53" s="30">
        <f t="shared" ca="1" si="18"/>
        <v>15.425432173039955</v>
      </c>
      <c r="P53" s="30">
        <f t="shared" ca="1" si="18"/>
        <v>11.839965132479211</v>
      </c>
      <c r="Q53" s="30">
        <f t="shared" ca="1" si="18"/>
        <v>27.972457599953067</v>
      </c>
      <c r="R53" s="30">
        <f t="shared" ca="1" si="18"/>
        <v>13.502379830036533</v>
      </c>
      <c r="S53" s="30">
        <f t="shared" ca="1" si="18"/>
        <v>32.504126693207049</v>
      </c>
      <c r="T53" s="30">
        <f t="shared" ca="1" si="18"/>
        <v>22.93942769460617</v>
      </c>
      <c r="U53" s="30">
        <f t="shared" ca="1" si="18"/>
        <v>31.242447674360736</v>
      </c>
      <c r="V53" s="30">
        <f t="shared" ca="1" si="18"/>
        <v>10.035169208680044</v>
      </c>
      <c r="W53" s="30">
        <f t="shared" ca="1" si="18"/>
        <v>31.764610628330235</v>
      </c>
      <c r="X53" s="30">
        <f t="shared" ca="1" si="18"/>
        <v>15.943775141841687</v>
      </c>
      <c r="Y53" s="30">
        <f t="shared" ca="1" si="18"/>
        <v>31.572426935725019</v>
      </c>
      <c r="Z53" s="30">
        <f t="shared" ca="1" si="18"/>
        <v>19.305671594288675</v>
      </c>
      <c r="AA53" s="26">
        <v>45</v>
      </c>
      <c r="AB53" s="31">
        <f t="shared" ca="1" si="2"/>
        <v>21</v>
      </c>
      <c r="AC53" s="31">
        <f t="shared" ca="1" si="3"/>
        <v>15</v>
      </c>
      <c r="AD53" s="31">
        <f t="shared" ca="1" si="4"/>
        <v>60</v>
      </c>
      <c r="AE53" s="31">
        <f t="shared" ca="1" si="5"/>
        <v>18</v>
      </c>
      <c r="AF53" s="31">
        <f t="shared" ca="1" si="6"/>
        <v>122</v>
      </c>
      <c r="AG53" s="31">
        <f t="shared" ca="1" si="7"/>
        <v>39</v>
      </c>
      <c r="AH53" s="31">
        <f t="shared" ca="1" si="8"/>
        <v>91</v>
      </c>
      <c r="AI53" s="31">
        <f t="shared" ca="1" si="9"/>
        <v>12</v>
      </c>
      <c r="AJ53" s="31">
        <f t="shared" ca="1" si="10"/>
        <v>101</v>
      </c>
      <c r="AK53" s="31">
        <f t="shared" ca="1" si="11"/>
        <v>22</v>
      </c>
      <c r="AL53" s="31">
        <f t="shared" ca="1" si="12"/>
        <v>97</v>
      </c>
      <c r="AM53" s="31">
        <f t="shared" ca="1" si="13"/>
        <v>29</v>
      </c>
    </row>
    <row r="54" spans="1:39">
      <c r="A54" s="27"/>
      <c r="B54" s="28">
        <v>44926</v>
      </c>
      <c r="C54" s="29">
        <v>3.0833333333333333E-3</v>
      </c>
      <c r="D54" s="29">
        <v>-2.6791189569027596E-3</v>
      </c>
      <c r="E54" s="29">
        <v>-1.3309383216766224E-2</v>
      </c>
      <c r="F54" s="29">
        <v>-1.0301153954404674E-2</v>
      </c>
      <c r="G54" s="29">
        <v>8.0993155538693351E-3</v>
      </c>
      <c r="H54" s="29">
        <v>1.55E-2</v>
      </c>
      <c r="J54" s="24">
        <v>46</v>
      </c>
      <c r="K54" s="25">
        <f t="shared" si="14"/>
        <v>0.25393820300721248</v>
      </c>
      <c r="L54" s="25">
        <f t="shared" si="0"/>
        <v>25.122664769433456</v>
      </c>
      <c r="N54" s="26">
        <v>46</v>
      </c>
      <c r="O54" s="30">
        <f t="shared" ca="1" si="18"/>
        <v>19.728737007652363</v>
      </c>
      <c r="P54" s="30">
        <f t="shared" ca="1" si="18"/>
        <v>28.758918900623716</v>
      </c>
      <c r="Q54" s="30">
        <f t="shared" ca="1" si="18"/>
        <v>29.876222267030574</v>
      </c>
      <c r="R54" s="30">
        <f t="shared" ca="1" si="18"/>
        <v>18.486995756473696</v>
      </c>
      <c r="S54" s="30">
        <f t="shared" ca="1" si="18"/>
        <v>32.638377445186549</v>
      </c>
      <c r="T54" s="30">
        <f t="shared" ca="1" si="18"/>
        <v>18.926114314326195</v>
      </c>
      <c r="U54" s="30">
        <f t="shared" ca="1" si="18"/>
        <v>10.528404133952522</v>
      </c>
      <c r="V54" s="30">
        <f t="shared" ca="1" si="18"/>
        <v>4.8876574701798079</v>
      </c>
      <c r="W54" s="30">
        <f t="shared" ca="1" si="18"/>
        <v>19.299323506818602</v>
      </c>
      <c r="X54" s="30">
        <f t="shared" ca="1" si="18"/>
        <v>10.50527902577902</v>
      </c>
      <c r="Y54" s="30">
        <f t="shared" ca="1" si="18"/>
        <v>27.015242448222956</v>
      </c>
      <c r="Z54" s="30">
        <f t="shared" ca="1" si="18"/>
        <v>18.159742872834006</v>
      </c>
      <c r="AA54" s="26">
        <v>46</v>
      </c>
      <c r="AB54" s="31">
        <f t="shared" ca="1" si="2"/>
        <v>30</v>
      </c>
      <c r="AC54" s="31">
        <f t="shared" ca="1" si="3"/>
        <v>66</v>
      </c>
      <c r="AD54" s="31">
        <f t="shared" ca="1" si="4"/>
        <v>75</v>
      </c>
      <c r="AE54" s="31">
        <f t="shared" ca="1" si="5"/>
        <v>27</v>
      </c>
      <c r="AF54" s="31">
        <f t="shared" ca="1" si="6"/>
        <v>128</v>
      </c>
      <c r="AG54" s="31">
        <f t="shared" ca="1" si="7"/>
        <v>28</v>
      </c>
      <c r="AH54" s="31">
        <f t="shared" ca="1" si="8"/>
        <v>13</v>
      </c>
      <c r="AI54" s="31">
        <f t="shared" ca="1" si="9"/>
        <v>6</v>
      </c>
      <c r="AJ54" s="31">
        <f t="shared" ca="1" si="10"/>
        <v>29</v>
      </c>
      <c r="AK54" s="31">
        <f t="shared" ca="1" si="11"/>
        <v>13</v>
      </c>
      <c r="AL54" s="31">
        <f t="shared" ca="1" si="12"/>
        <v>55</v>
      </c>
      <c r="AM54" s="31">
        <f t="shared" ca="1" si="13"/>
        <v>26</v>
      </c>
    </row>
    <row r="55" spans="1:39">
      <c r="A55" s="27"/>
      <c r="B55" s="28">
        <v>44895</v>
      </c>
      <c r="C55" s="29">
        <v>3.2255208333333333E-3</v>
      </c>
      <c r="D55" s="29">
        <v>6.7149413770943855E-3</v>
      </c>
      <c r="E55" s="29">
        <v>1.6415179290603321E-2</v>
      </c>
      <c r="F55" s="29">
        <v>1.2811324135459712E-2</v>
      </c>
      <c r="G55" s="29">
        <v>-9.1240639354249753E-3</v>
      </c>
      <c r="H55" s="29">
        <v>8.3999999999999995E-3</v>
      </c>
      <c r="J55" s="24">
        <v>47</v>
      </c>
      <c r="K55" s="25">
        <f t="shared" si="14"/>
        <v>0.2463200569169961</v>
      </c>
      <c r="L55" s="25">
        <f t="shared" si="0"/>
        <v>25.368984826350452</v>
      </c>
      <c r="N55" s="26">
        <v>47</v>
      </c>
      <c r="O55" s="30">
        <f t="shared" ca="1" si="18"/>
        <v>13.327294036054434</v>
      </c>
      <c r="P55" s="30">
        <f t="shared" ca="1" si="18"/>
        <v>23.149036394280177</v>
      </c>
      <c r="Q55" s="30">
        <f t="shared" ca="1" si="18"/>
        <v>10.880865712695401</v>
      </c>
      <c r="R55" s="30">
        <f t="shared" ca="1" si="18"/>
        <v>25.526963210305361</v>
      </c>
      <c r="S55" s="30">
        <f t="shared" ca="1" si="18"/>
        <v>12.809185701512906</v>
      </c>
      <c r="T55" s="30">
        <f t="shared" ca="1" si="18"/>
        <v>2.5871082834808869</v>
      </c>
      <c r="U55" s="30">
        <f t="shared" ca="1" si="18"/>
        <v>21.943545352894269</v>
      </c>
      <c r="V55" s="30">
        <f t="shared" ca="1" si="18"/>
        <v>21.518082085322828</v>
      </c>
      <c r="W55" s="30">
        <f t="shared" ca="1" si="18"/>
        <v>31.402344286538366</v>
      </c>
      <c r="X55" s="30">
        <f t="shared" ca="1" si="18"/>
        <v>6.8762348676041443</v>
      </c>
      <c r="Y55" s="30">
        <f t="shared" ca="1" si="18"/>
        <v>2.2470049286295736E-2</v>
      </c>
      <c r="Z55" s="30">
        <f t="shared" ca="1" si="18"/>
        <v>27.401068918004981</v>
      </c>
      <c r="AA55" s="26">
        <v>47</v>
      </c>
      <c r="AB55" s="31">
        <f t="shared" ca="1" si="2"/>
        <v>17</v>
      </c>
      <c r="AC55" s="31">
        <f t="shared" ca="1" si="3"/>
        <v>39</v>
      </c>
      <c r="AD55" s="31">
        <f t="shared" ca="1" si="4"/>
        <v>13</v>
      </c>
      <c r="AE55" s="31">
        <f t="shared" ca="1" si="5"/>
        <v>48</v>
      </c>
      <c r="AF55" s="31">
        <f t="shared" ca="1" si="6"/>
        <v>16</v>
      </c>
      <c r="AG55" s="31">
        <f t="shared" ca="1" si="7"/>
        <v>3</v>
      </c>
      <c r="AH55" s="31">
        <f t="shared" ca="1" si="8"/>
        <v>36</v>
      </c>
      <c r="AI55" s="31">
        <f t="shared" ca="1" si="9"/>
        <v>35</v>
      </c>
      <c r="AJ55" s="31">
        <f t="shared" ca="1" si="10"/>
        <v>94</v>
      </c>
      <c r="AK55" s="31">
        <f t="shared" ca="1" si="11"/>
        <v>8</v>
      </c>
      <c r="AL55" s="31">
        <f t="shared" ca="1" si="12"/>
        <v>1</v>
      </c>
      <c r="AM55" s="31">
        <f t="shared" ca="1" si="13"/>
        <v>57</v>
      </c>
    </row>
    <row r="56" spans="1:39">
      <c r="A56" s="27"/>
      <c r="B56" s="28">
        <v>44865</v>
      </c>
      <c r="C56" s="29">
        <v>2.6905555555555554E-3</v>
      </c>
      <c r="D56" s="29">
        <v>-3.4743933678923478E-3</v>
      </c>
      <c r="E56" s="29">
        <v>-1.5453876279519996E-2</v>
      </c>
      <c r="F56" s="29">
        <v>-9.0953845160560709E-3</v>
      </c>
      <c r="G56" s="29">
        <v>3.7188506134778532E-2</v>
      </c>
      <c r="H56" s="29">
        <v>1.7399999999999999E-2</v>
      </c>
      <c r="J56" s="24">
        <v>48</v>
      </c>
      <c r="K56" s="25">
        <f t="shared" si="14"/>
        <v>0.23893045520948622</v>
      </c>
      <c r="L56" s="25">
        <f t="shared" si="0"/>
        <v>25.60791528155994</v>
      </c>
      <c r="N56" s="26">
        <v>48</v>
      </c>
      <c r="O56" s="30">
        <f t="shared" ca="1" si="18"/>
        <v>16.912311864544389</v>
      </c>
      <c r="P56" s="30">
        <f t="shared" ca="1" si="18"/>
        <v>13.540923755893223</v>
      </c>
      <c r="Q56" s="30">
        <f t="shared" ca="1" si="18"/>
        <v>15.987999332019859</v>
      </c>
      <c r="R56" s="30">
        <f t="shared" ca="1" si="18"/>
        <v>22.365530262212744</v>
      </c>
      <c r="S56" s="30">
        <f t="shared" ca="1" si="18"/>
        <v>29.129080959921868</v>
      </c>
      <c r="T56" s="30">
        <f t="shared" ca="1" si="18"/>
        <v>17.177722897994606</v>
      </c>
      <c r="U56" s="30">
        <f t="shared" ca="1" si="18"/>
        <v>11.697215527796484</v>
      </c>
      <c r="V56" s="30">
        <f t="shared" ca="1" si="18"/>
        <v>18.828620738963643</v>
      </c>
      <c r="W56" s="30">
        <f t="shared" ca="1" si="18"/>
        <v>6.0527125049526207</v>
      </c>
      <c r="X56" s="30">
        <f t="shared" ca="1" si="18"/>
        <v>19.868219154652863</v>
      </c>
      <c r="Y56" s="30">
        <f t="shared" ca="1" si="18"/>
        <v>6.3270595543185371</v>
      </c>
      <c r="Z56" s="30">
        <f t="shared" ca="1" si="18"/>
        <v>13.961644047859597</v>
      </c>
      <c r="AA56" s="26">
        <v>48</v>
      </c>
      <c r="AB56" s="31">
        <f t="shared" ca="1" si="2"/>
        <v>24</v>
      </c>
      <c r="AC56" s="31">
        <f t="shared" ca="1" si="3"/>
        <v>18</v>
      </c>
      <c r="AD56" s="31">
        <f t="shared" ca="1" si="4"/>
        <v>22</v>
      </c>
      <c r="AE56" s="31">
        <f t="shared" ca="1" si="5"/>
        <v>37</v>
      </c>
      <c r="AF56" s="31">
        <f t="shared" ca="1" si="6"/>
        <v>68</v>
      </c>
      <c r="AG56" s="31">
        <f t="shared" ca="1" si="7"/>
        <v>24</v>
      </c>
      <c r="AH56" s="31">
        <f t="shared" ca="1" si="8"/>
        <v>15</v>
      </c>
      <c r="AI56" s="31">
        <f t="shared" ca="1" si="9"/>
        <v>28</v>
      </c>
      <c r="AJ56" s="31">
        <f t="shared" ca="1" si="10"/>
        <v>7</v>
      </c>
      <c r="AK56" s="31">
        <f t="shared" ca="1" si="11"/>
        <v>30</v>
      </c>
      <c r="AL56" s="31">
        <f t="shared" ca="1" si="12"/>
        <v>7</v>
      </c>
      <c r="AM56" s="31">
        <f t="shared" ca="1" si="13"/>
        <v>18</v>
      </c>
    </row>
    <row r="57" spans="1:39">
      <c r="A57" s="27"/>
      <c r="B57" s="28">
        <v>44834</v>
      </c>
      <c r="C57" s="29">
        <v>2.6083333333333332E-3</v>
      </c>
      <c r="D57" s="29">
        <v>1.9047041645825491E-3</v>
      </c>
      <c r="E57" s="29">
        <v>6.5083114001875941E-3</v>
      </c>
      <c r="F57" s="29">
        <v>5.4529078117773189E-3</v>
      </c>
      <c r="G57" s="29">
        <v>1.4193890792315589E-3</v>
      </c>
      <c r="H57" s="29">
        <v>1.3600000000000001E-2</v>
      </c>
      <c r="J57" s="24">
        <v>49</v>
      </c>
      <c r="K57" s="25">
        <f t="shared" si="14"/>
        <v>0.23176254155320164</v>
      </c>
      <c r="L57" s="25">
        <f t="shared" si="0"/>
        <v>25.839677823113142</v>
      </c>
      <c r="N57" s="26">
        <v>49</v>
      </c>
      <c r="O57" s="30">
        <f t="shared" ca="1" si="18"/>
        <v>24.448314147531669</v>
      </c>
      <c r="P57" s="30">
        <f t="shared" ca="1" si="18"/>
        <v>8.2308266431307562</v>
      </c>
      <c r="Q57" s="30">
        <f t="shared" ca="1" si="18"/>
        <v>6.4202571338134201E-2</v>
      </c>
      <c r="R57" s="30">
        <f t="shared" ca="1" si="18"/>
        <v>5.5654617970105846</v>
      </c>
      <c r="S57" s="30">
        <f t="shared" ca="1" si="18"/>
        <v>26.925207764592283</v>
      </c>
      <c r="T57" s="30">
        <f t="shared" ca="1" si="18"/>
        <v>21.147317351348306</v>
      </c>
      <c r="U57" s="30">
        <f t="shared" ca="1" si="18"/>
        <v>22.484944706251905</v>
      </c>
      <c r="V57" s="30">
        <f t="shared" ca="1" si="18"/>
        <v>22.658492662719556</v>
      </c>
      <c r="W57" s="30">
        <f t="shared" ca="1" si="18"/>
        <v>28.101563590484421</v>
      </c>
      <c r="X57" s="30">
        <f t="shared" ca="1" si="18"/>
        <v>6.8707434226895856</v>
      </c>
      <c r="Y57" s="30">
        <f t="shared" ca="1" si="18"/>
        <v>11.61594877352146</v>
      </c>
      <c r="Z57" s="30">
        <f t="shared" ca="1" si="18"/>
        <v>13.991426910679417</v>
      </c>
      <c r="AA57" s="26">
        <v>49</v>
      </c>
      <c r="AB57" s="31">
        <f t="shared" ca="1" si="2"/>
        <v>44</v>
      </c>
      <c r="AC57" s="31">
        <f t="shared" ca="1" si="3"/>
        <v>10</v>
      </c>
      <c r="AD57" s="31">
        <f t="shared" ca="1" si="4"/>
        <v>1</v>
      </c>
      <c r="AE57" s="31">
        <f t="shared" ca="1" si="5"/>
        <v>6</v>
      </c>
      <c r="AF57" s="31">
        <f t="shared" ca="1" si="6"/>
        <v>55</v>
      </c>
      <c r="AG57" s="31">
        <f t="shared" ca="1" si="7"/>
        <v>34</v>
      </c>
      <c r="AH57" s="31">
        <f t="shared" ca="1" si="8"/>
        <v>37</v>
      </c>
      <c r="AI57" s="31">
        <f t="shared" ca="1" si="9"/>
        <v>38</v>
      </c>
      <c r="AJ57" s="31">
        <f t="shared" ca="1" si="10"/>
        <v>61</v>
      </c>
      <c r="AK57" s="31">
        <f t="shared" ca="1" si="11"/>
        <v>8</v>
      </c>
      <c r="AL57" s="31">
        <f t="shared" ca="1" si="12"/>
        <v>15</v>
      </c>
      <c r="AM57" s="31">
        <f t="shared" ca="1" si="13"/>
        <v>18</v>
      </c>
    </row>
    <row r="58" spans="1:39">
      <c r="A58" s="27"/>
      <c r="B58" s="28">
        <v>44804</v>
      </c>
      <c r="C58" s="29">
        <v>2.7455555555555558E-3</v>
      </c>
      <c r="D58" s="29">
        <v>4.0887761572607761E-3</v>
      </c>
      <c r="E58" s="29">
        <v>1.3209300010783132E-2</v>
      </c>
      <c r="F58" s="29">
        <v>1.0818747026689834E-2</v>
      </c>
      <c r="G58" s="29">
        <v>3.1818997505050683E-2</v>
      </c>
      <c r="H58" s="29">
        <v>2.3999999999999998E-3</v>
      </c>
      <c r="J58" s="24">
        <v>50</v>
      </c>
      <c r="K58" s="25">
        <f t="shared" si="14"/>
        <v>0.22480966530660559</v>
      </c>
      <c r="L58" s="25">
        <f t="shared" si="0"/>
        <v>26.064487488419747</v>
      </c>
      <c r="N58" s="26">
        <v>50</v>
      </c>
      <c r="O58" s="30">
        <f t="shared" ca="1" si="18"/>
        <v>14.53052655194746</v>
      </c>
      <c r="P58" s="30">
        <f t="shared" ca="1" si="18"/>
        <v>31.188000031915433</v>
      </c>
      <c r="Q58" s="30">
        <f t="shared" ca="1" si="18"/>
        <v>4.5114128266555706</v>
      </c>
      <c r="R58" s="30">
        <f t="shared" ca="1" si="18"/>
        <v>14.258235936106024</v>
      </c>
      <c r="S58" s="30">
        <f t="shared" ca="1" si="18"/>
        <v>19.565752389164018</v>
      </c>
      <c r="T58" s="30">
        <f t="shared" ca="1" si="18"/>
        <v>23.682695670423353</v>
      </c>
      <c r="U58" s="30">
        <f t="shared" ca="1" si="18"/>
        <v>5.4276578547134005</v>
      </c>
      <c r="V58" s="30">
        <f t="shared" ca="1" si="18"/>
        <v>7.8129711912530997</v>
      </c>
      <c r="W58" s="30">
        <f t="shared" ca="1" si="18"/>
        <v>22.456738945342202</v>
      </c>
      <c r="X58" s="30">
        <f t="shared" ca="1" si="18"/>
        <v>0.70628450839737178</v>
      </c>
      <c r="Y58" s="30">
        <f t="shared" ca="1" si="18"/>
        <v>19.896402666587718</v>
      </c>
      <c r="Z58" s="30">
        <f t="shared" ca="1" si="18"/>
        <v>7.3917441440774176</v>
      </c>
      <c r="AA58" s="26">
        <v>50</v>
      </c>
      <c r="AB58" s="31">
        <f t="shared" ca="1" si="2"/>
        <v>19</v>
      </c>
      <c r="AC58" s="31">
        <f t="shared" ca="1" si="3"/>
        <v>91</v>
      </c>
      <c r="AD58" s="31">
        <f t="shared" ca="1" si="4"/>
        <v>5</v>
      </c>
      <c r="AE58" s="31">
        <f t="shared" ca="1" si="5"/>
        <v>19</v>
      </c>
      <c r="AF58" s="31">
        <f t="shared" ca="1" si="6"/>
        <v>30</v>
      </c>
      <c r="AG58" s="31">
        <f t="shared" ca="1" si="7"/>
        <v>41</v>
      </c>
      <c r="AH58" s="31">
        <f t="shared" ca="1" si="8"/>
        <v>6</v>
      </c>
      <c r="AI58" s="31">
        <f t="shared" ca="1" si="9"/>
        <v>9</v>
      </c>
      <c r="AJ58" s="31">
        <f t="shared" ca="1" si="10"/>
        <v>37</v>
      </c>
      <c r="AK58" s="31">
        <f t="shared" ca="1" si="11"/>
        <v>1</v>
      </c>
      <c r="AL58" s="31">
        <f t="shared" ca="1" si="12"/>
        <v>30</v>
      </c>
      <c r="AM58" s="31">
        <f t="shared" ca="1" si="13"/>
        <v>9</v>
      </c>
    </row>
    <row r="59" spans="1:39">
      <c r="A59" s="27"/>
      <c r="B59" s="28">
        <v>44773</v>
      </c>
      <c r="C59" s="29">
        <v>2.3119444444444446E-3</v>
      </c>
      <c r="D59" s="29">
        <v>5.3602211409977674E-3</v>
      </c>
      <c r="E59" s="29">
        <v>1.664628747312058E-2</v>
      </c>
      <c r="F59" s="29">
        <v>1.3533959597638923E-2</v>
      </c>
      <c r="G59" s="29">
        <v>-1.8966009743952905E-2</v>
      </c>
      <c r="H59" s="29">
        <v>-1.41E-2</v>
      </c>
      <c r="J59" s="24">
        <v>51</v>
      </c>
      <c r="K59" s="25">
        <f t="shared" si="14"/>
        <v>0.21806537534740741</v>
      </c>
      <c r="L59" s="25">
        <f t="shared" si="0"/>
        <v>26.282552863767155</v>
      </c>
      <c r="N59" s="26">
        <v>51</v>
      </c>
      <c r="O59" s="30">
        <f t="shared" ref="O59:Z68" ca="1" si="19">RAND()*sumweights</f>
        <v>16.697757386014509</v>
      </c>
      <c r="P59" s="30">
        <f t="shared" ca="1" si="19"/>
        <v>24.498086227914914</v>
      </c>
      <c r="Q59" s="30">
        <f t="shared" ca="1" si="19"/>
        <v>4.0313012922118405</v>
      </c>
      <c r="R59" s="30">
        <f t="shared" ca="1" si="19"/>
        <v>25.488125706554545</v>
      </c>
      <c r="S59" s="30">
        <f t="shared" ca="1" si="19"/>
        <v>18.57634223959187</v>
      </c>
      <c r="T59" s="30">
        <f t="shared" ca="1" si="19"/>
        <v>20.274449326814359</v>
      </c>
      <c r="U59" s="30">
        <f t="shared" ca="1" si="19"/>
        <v>29.816882769322255</v>
      </c>
      <c r="V59" s="30">
        <f t="shared" ca="1" si="19"/>
        <v>11.535034245330491</v>
      </c>
      <c r="W59" s="30">
        <f t="shared" ca="1" si="19"/>
        <v>11.466232068133003</v>
      </c>
      <c r="X59" s="30">
        <f t="shared" ca="1" si="19"/>
        <v>18.360347313954904</v>
      </c>
      <c r="Y59" s="30">
        <f t="shared" ca="1" si="19"/>
        <v>22.417979869329212</v>
      </c>
      <c r="Z59" s="30">
        <f t="shared" ca="1" si="19"/>
        <v>12.250311513355415</v>
      </c>
      <c r="AA59" s="26">
        <v>51</v>
      </c>
      <c r="AB59" s="31">
        <f t="shared" ca="1" si="2"/>
        <v>23</v>
      </c>
      <c r="AC59" s="31">
        <f t="shared" ca="1" si="3"/>
        <v>44</v>
      </c>
      <c r="AD59" s="31">
        <f t="shared" ca="1" si="4"/>
        <v>5</v>
      </c>
      <c r="AE59" s="31">
        <f t="shared" ca="1" si="5"/>
        <v>48</v>
      </c>
      <c r="AF59" s="31">
        <f t="shared" ca="1" si="6"/>
        <v>27</v>
      </c>
      <c r="AG59" s="31">
        <f t="shared" ca="1" si="7"/>
        <v>31</v>
      </c>
      <c r="AH59" s="31">
        <f t="shared" ca="1" si="8"/>
        <v>74</v>
      </c>
      <c r="AI59" s="31">
        <f t="shared" ca="1" si="9"/>
        <v>14</v>
      </c>
      <c r="AJ59" s="31">
        <f t="shared" ca="1" si="10"/>
        <v>14</v>
      </c>
      <c r="AK59" s="31">
        <f t="shared" ca="1" si="11"/>
        <v>27</v>
      </c>
      <c r="AL59" s="31">
        <f t="shared" ca="1" si="12"/>
        <v>37</v>
      </c>
      <c r="AM59" s="31">
        <f t="shared" ca="1" si="13"/>
        <v>16</v>
      </c>
    </row>
    <row r="60" spans="1:39">
      <c r="A60" s="27"/>
      <c r="B60" s="28">
        <v>44742</v>
      </c>
      <c r="C60" s="29">
        <v>2.3389930555555555E-3</v>
      </c>
      <c r="D60" s="29">
        <v>3.4182452667508301E-4</v>
      </c>
      <c r="E60" s="29">
        <v>-2.2590836618190391E-3</v>
      </c>
      <c r="F60" s="29">
        <v>-5.1360091306827949E-3</v>
      </c>
      <c r="G60" s="29">
        <v>-1.7708050346111448E-2</v>
      </c>
      <c r="H60" s="29">
        <v>-5.5000000000000005E-3</v>
      </c>
      <c r="J60" s="24">
        <v>52</v>
      </c>
      <c r="K60" s="25">
        <f t="shared" si="14"/>
        <v>0.21152341408698519</v>
      </c>
      <c r="L60" s="25">
        <f t="shared" si="0"/>
        <v>26.494076277854141</v>
      </c>
      <c r="N60" s="26">
        <v>52</v>
      </c>
      <c r="O60" s="30">
        <f t="shared" ca="1" si="19"/>
        <v>14.454959509964333</v>
      </c>
      <c r="P60" s="30">
        <f t="shared" ca="1" si="19"/>
        <v>32.902977243477018</v>
      </c>
      <c r="Q60" s="30">
        <f t="shared" ca="1" si="19"/>
        <v>13.716437841748135</v>
      </c>
      <c r="R60" s="30">
        <f t="shared" ca="1" si="19"/>
        <v>24.224992807955829</v>
      </c>
      <c r="S60" s="30">
        <f t="shared" ca="1" si="19"/>
        <v>21.893885182786988</v>
      </c>
      <c r="T60" s="30">
        <f t="shared" ca="1" si="19"/>
        <v>3.5114664450645279</v>
      </c>
      <c r="U60" s="30">
        <f t="shared" ca="1" si="19"/>
        <v>26.986236351078055</v>
      </c>
      <c r="V60" s="30">
        <f t="shared" ca="1" si="19"/>
        <v>10.229283592807297</v>
      </c>
      <c r="W60" s="30">
        <f t="shared" ca="1" si="19"/>
        <v>3.5221548401979303</v>
      </c>
      <c r="X60" s="30">
        <f t="shared" ca="1" si="19"/>
        <v>28.243409180594632</v>
      </c>
      <c r="Y60" s="30">
        <f t="shared" ca="1" si="19"/>
        <v>20.386461581691162</v>
      </c>
      <c r="Z60" s="30">
        <f t="shared" ca="1" si="19"/>
        <v>18.747553501042784</v>
      </c>
      <c r="AA60" s="26">
        <v>52</v>
      </c>
      <c r="AB60" s="31">
        <f t="shared" ca="1" si="2"/>
        <v>19</v>
      </c>
      <c r="AC60" s="31">
        <f t="shared" ca="1" si="3"/>
        <v>143</v>
      </c>
      <c r="AD60" s="31">
        <f t="shared" ca="1" si="4"/>
        <v>18</v>
      </c>
      <c r="AE60" s="31">
        <f t="shared" ca="1" si="5"/>
        <v>43</v>
      </c>
      <c r="AF60" s="31">
        <f t="shared" ca="1" si="6"/>
        <v>36</v>
      </c>
      <c r="AG60" s="31">
        <f t="shared" ca="1" si="7"/>
        <v>4</v>
      </c>
      <c r="AH60" s="31">
        <f t="shared" ca="1" si="8"/>
        <v>55</v>
      </c>
      <c r="AI60" s="31">
        <f t="shared" ca="1" si="9"/>
        <v>13</v>
      </c>
      <c r="AJ60" s="31">
        <f t="shared" ca="1" si="10"/>
        <v>4</v>
      </c>
      <c r="AK60" s="31">
        <f t="shared" ca="1" si="11"/>
        <v>62</v>
      </c>
      <c r="AL60" s="31">
        <f t="shared" ca="1" si="12"/>
        <v>32</v>
      </c>
      <c r="AM60" s="31">
        <f t="shared" ca="1" si="13"/>
        <v>28</v>
      </c>
    </row>
    <row r="61" spans="1:39">
      <c r="A61" s="27"/>
      <c r="B61" s="28">
        <v>44712</v>
      </c>
      <c r="C61" s="29">
        <v>2.0144444444444441E-3</v>
      </c>
      <c r="D61" s="29">
        <v>-2.6510217373605371E-3</v>
      </c>
      <c r="E61" s="29">
        <v>-8.7653090584590698E-3</v>
      </c>
      <c r="F61" s="29">
        <v>-5.9031974282449662E-3</v>
      </c>
      <c r="G61" s="29">
        <v>2.1044219802652586E-2</v>
      </c>
      <c r="H61" s="29">
        <v>1.3600000000000001E-2</v>
      </c>
      <c r="J61" s="24">
        <v>53</v>
      </c>
      <c r="K61" s="25">
        <f t="shared" si="14"/>
        <v>0.20517771166437562</v>
      </c>
      <c r="L61" s="25">
        <f t="shared" si="0"/>
        <v>26.699253989518517</v>
      </c>
      <c r="N61" s="26">
        <v>53</v>
      </c>
      <c r="O61" s="30">
        <f t="shared" ca="1" si="19"/>
        <v>25.830740224321765</v>
      </c>
      <c r="P61" s="30">
        <f t="shared" ca="1" si="19"/>
        <v>25.793538899906249</v>
      </c>
      <c r="Q61" s="30">
        <f t="shared" ca="1" si="19"/>
        <v>0.71535187571698977</v>
      </c>
      <c r="R61" s="30">
        <f t="shared" ca="1" si="19"/>
        <v>12.757423123336286</v>
      </c>
      <c r="S61" s="30">
        <f t="shared" ca="1" si="19"/>
        <v>9.6169925024920513</v>
      </c>
      <c r="T61" s="30">
        <f t="shared" ca="1" si="19"/>
        <v>13.549006279607264</v>
      </c>
      <c r="U61" s="30">
        <f t="shared" ca="1" si="19"/>
        <v>23.981019328025951</v>
      </c>
      <c r="V61" s="30">
        <f t="shared" ca="1" si="19"/>
        <v>1.6298197258702722</v>
      </c>
      <c r="W61" s="30">
        <f t="shared" ca="1" si="19"/>
        <v>31.362257359780276</v>
      </c>
      <c r="X61" s="30">
        <f t="shared" ca="1" si="19"/>
        <v>24.279405729171863</v>
      </c>
      <c r="Y61" s="30">
        <f t="shared" ca="1" si="19"/>
        <v>9.5834713820203206</v>
      </c>
      <c r="Z61" s="30">
        <f t="shared" ca="1" si="19"/>
        <v>17.641310706344438</v>
      </c>
      <c r="AA61" s="26">
        <v>53</v>
      </c>
      <c r="AB61" s="31">
        <f t="shared" ca="1" si="2"/>
        <v>49</v>
      </c>
      <c r="AC61" s="31">
        <f t="shared" ca="1" si="3"/>
        <v>49</v>
      </c>
      <c r="AD61" s="31">
        <f t="shared" ca="1" si="4"/>
        <v>1</v>
      </c>
      <c r="AE61" s="31">
        <f t="shared" ca="1" si="5"/>
        <v>16</v>
      </c>
      <c r="AF61" s="31">
        <f t="shared" ca="1" si="6"/>
        <v>12</v>
      </c>
      <c r="AG61" s="31">
        <f t="shared" ca="1" si="7"/>
        <v>18</v>
      </c>
      <c r="AH61" s="31">
        <f t="shared" ca="1" si="8"/>
        <v>42</v>
      </c>
      <c r="AI61" s="31">
        <f t="shared" ca="1" si="9"/>
        <v>2</v>
      </c>
      <c r="AJ61" s="31">
        <f t="shared" ca="1" si="10"/>
        <v>93</v>
      </c>
      <c r="AK61" s="31">
        <f t="shared" ca="1" si="11"/>
        <v>43</v>
      </c>
      <c r="AL61" s="31">
        <f t="shared" ca="1" si="12"/>
        <v>12</v>
      </c>
      <c r="AM61" s="31">
        <f t="shared" ca="1" si="13"/>
        <v>25</v>
      </c>
    </row>
    <row r="62" spans="1:39">
      <c r="A62" s="27"/>
      <c r="B62" s="28">
        <v>44681</v>
      </c>
      <c r="C62" s="29">
        <v>2.0666666666666663E-3</v>
      </c>
      <c r="D62" s="29">
        <v>-4.2215338917961365E-4</v>
      </c>
      <c r="E62" s="29">
        <v>7.3976676972711264E-3</v>
      </c>
      <c r="F62" s="29">
        <v>6.2794738148423956E-3</v>
      </c>
      <c r="G62" s="29">
        <v>-2.4375009724664221E-2</v>
      </c>
      <c r="H62" s="29">
        <v>0</v>
      </c>
      <c r="J62" s="24">
        <v>54</v>
      </c>
      <c r="K62" s="25">
        <f t="shared" si="14"/>
        <v>0.19902238031444436</v>
      </c>
      <c r="L62" s="25">
        <f t="shared" si="0"/>
        <v>26.898276369832963</v>
      </c>
      <c r="N62" s="26">
        <v>54</v>
      </c>
      <c r="O62" s="30">
        <f t="shared" ca="1" si="19"/>
        <v>28.488141976519486</v>
      </c>
      <c r="P62" s="30">
        <f t="shared" ca="1" si="19"/>
        <v>11.605509944168123</v>
      </c>
      <c r="Q62" s="30">
        <f t="shared" ca="1" si="19"/>
        <v>7.1886634561828737</v>
      </c>
      <c r="R62" s="30">
        <f t="shared" ca="1" si="19"/>
        <v>28.371149886546867</v>
      </c>
      <c r="S62" s="30">
        <f t="shared" ca="1" si="19"/>
        <v>9.1050168163474456</v>
      </c>
      <c r="T62" s="30">
        <f t="shared" ca="1" si="19"/>
        <v>16.331763342140452</v>
      </c>
      <c r="U62" s="30">
        <f t="shared" ca="1" si="19"/>
        <v>15.243927266554024</v>
      </c>
      <c r="V62" s="30">
        <f t="shared" ca="1" si="19"/>
        <v>6.8003137766869299</v>
      </c>
      <c r="W62" s="30">
        <f t="shared" ca="1" si="19"/>
        <v>25.641279828425795</v>
      </c>
      <c r="X62" s="30">
        <f t="shared" ca="1" si="19"/>
        <v>8.3961649484634062</v>
      </c>
      <c r="Y62" s="30">
        <f t="shared" ca="1" si="19"/>
        <v>5.4874614278648961</v>
      </c>
      <c r="Z62" s="30">
        <f t="shared" ca="1" si="19"/>
        <v>18.515519244881769</v>
      </c>
      <c r="AA62" s="26">
        <v>54</v>
      </c>
      <c r="AB62" s="31">
        <f t="shared" ca="1" si="2"/>
        <v>64</v>
      </c>
      <c r="AC62" s="31">
        <f t="shared" ca="1" si="3"/>
        <v>15</v>
      </c>
      <c r="AD62" s="31">
        <f t="shared" ca="1" si="4"/>
        <v>8</v>
      </c>
      <c r="AE62" s="31">
        <f t="shared" ca="1" si="5"/>
        <v>63</v>
      </c>
      <c r="AF62" s="31">
        <f t="shared" ca="1" si="6"/>
        <v>11</v>
      </c>
      <c r="AG62" s="31">
        <f t="shared" ca="1" si="7"/>
        <v>23</v>
      </c>
      <c r="AH62" s="31">
        <f t="shared" ca="1" si="8"/>
        <v>21</v>
      </c>
      <c r="AI62" s="31">
        <f t="shared" ca="1" si="9"/>
        <v>8</v>
      </c>
      <c r="AJ62" s="31">
        <f t="shared" ca="1" si="10"/>
        <v>49</v>
      </c>
      <c r="AK62" s="31">
        <f t="shared" ca="1" si="11"/>
        <v>10</v>
      </c>
      <c r="AL62" s="31">
        <f t="shared" ca="1" si="12"/>
        <v>6</v>
      </c>
      <c r="AM62" s="31">
        <f t="shared" ca="1" si="13"/>
        <v>27</v>
      </c>
    </row>
    <row r="63" spans="1:39">
      <c r="A63" s="27"/>
      <c r="B63" s="28">
        <v>44651</v>
      </c>
      <c r="C63" s="29">
        <v>1.9719444444444441E-3</v>
      </c>
      <c r="D63" s="29">
        <v>2.1509870583977797E-3</v>
      </c>
      <c r="E63" s="29">
        <v>9.5206591943275409E-3</v>
      </c>
      <c r="F63" s="29">
        <v>9.2011221695278422E-3</v>
      </c>
      <c r="G63" s="29">
        <v>3.4028662429531842E-2</v>
      </c>
      <c r="H63" s="29">
        <v>1.46E-2</v>
      </c>
      <c r="J63" s="24">
        <v>55</v>
      </c>
      <c r="K63" s="25">
        <f t="shared" si="14"/>
        <v>0.19305170890501103</v>
      </c>
      <c r="L63" s="25">
        <f t="shared" si="0"/>
        <v>27.091328078737973</v>
      </c>
      <c r="N63" s="26">
        <v>55</v>
      </c>
      <c r="O63" s="30">
        <f t="shared" ca="1" si="19"/>
        <v>7.5779612220371453</v>
      </c>
      <c r="P63" s="30">
        <f t="shared" ca="1" si="19"/>
        <v>24.133364182969252</v>
      </c>
      <c r="Q63" s="30">
        <f t="shared" ca="1" si="19"/>
        <v>31.307492750457875</v>
      </c>
      <c r="R63" s="30">
        <f t="shared" ca="1" si="19"/>
        <v>8.4486519315009154</v>
      </c>
      <c r="S63" s="30">
        <f t="shared" ca="1" si="19"/>
        <v>13.81645085675229</v>
      </c>
      <c r="T63" s="30">
        <f t="shared" ca="1" si="19"/>
        <v>15.670893691084682</v>
      </c>
      <c r="U63" s="30">
        <f t="shared" ca="1" si="19"/>
        <v>24.834740765470031</v>
      </c>
      <c r="V63" s="30">
        <f t="shared" ca="1" si="19"/>
        <v>29.238335418103716</v>
      </c>
      <c r="W63" s="30">
        <f t="shared" ca="1" si="19"/>
        <v>3.0625726034806871</v>
      </c>
      <c r="X63" s="30">
        <f t="shared" ca="1" si="19"/>
        <v>5.6202874504348639</v>
      </c>
      <c r="Y63" s="30">
        <f t="shared" ca="1" si="19"/>
        <v>9.5556609679574738</v>
      </c>
      <c r="Z63" s="30">
        <f t="shared" ca="1" si="19"/>
        <v>26.48254509502906</v>
      </c>
      <c r="AA63" s="26">
        <v>55</v>
      </c>
      <c r="AB63" s="31">
        <f t="shared" ca="1" si="2"/>
        <v>9</v>
      </c>
      <c r="AC63" s="31">
        <f t="shared" ca="1" si="3"/>
        <v>43</v>
      </c>
      <c r="AD63" s="31">
        <f t="shared" ca="1" si="4"/>
        <v>92</v>
      </c>
      <c r="AE63" s="31">
        <f t="shared" ca="1" si="5"/>
        <v>10</v>
      </c>
      <c r="AF63" s="31">
        <f t="shared" ca="1" si="6"/>
        <v>18</v>
      </c>
      <c r="AG63" s="31">
        <f t="shared" ca="1" si="7"/>
        <v>21</v>
      </c>
      <c r="AH63" s="31">
        <f t="shared" ca="1" si="8"/>
        <v>45</v>
      </c>
      <c r="AI63" s="31">
        <f t="shared" ca="1" si="9"/>
        <v>69</v>
      </c>
      <c r="AJ63" s="31">
        <f t="shared" ca="1" si="10"/>
        <v>4</v>
      </c>
      <c r="AK63" s="31">
        <f t="shared" ca="1" si="11"/>
        <v>7</v>
      </c>
      <c r="AL63" s="31">
        <f t="shared" ca="1" si="12"/>
        <v>12</v>
      </c>
      <c r="AM63" s="31">
        <f t="shared" ca="1" si="13"/>
        <v>52</v>
      </c>
    </row>
    <row r="64" spans="1:39">
      <c r="A64" s="27"/>
      <c r="B64" s="28">
        <v>44620</v>
      </c>
      <c r="C64" s="29">
        <v>1.7777777777777779E-3</v>
      </c>
      <c r="D64" s="29">
        <v>-5.0712767953587923E-3</v>
      </c>
      <c r="E64" s="29">
        <v>-1.3050338814922013E-2</v>
      </c>
      <c r="F64" s="29">
        <v>-7.9764103668484854E-3</v>
      </c>
      <c r="G64" s="29">
        <v>4.0461567250511088E-2</v>
      </c>
      <c r="H64" s="29">
        <v>2.5499999999999998E-2</v>
      </c>
      <c r="J64" s="24">
        <v>56</v>
      </c>
      <c r="K64" s="25">
        <f t="shared" si="14"/>
        <v>0.18726015763786069</v>
      </c>
      <c r="L64" s="25">
        <f t="shared" si="0"/>
        <v>27.278588236375835</v>
      </c>
      <c r="N64" s="26">
        <v>56</v>
      </c>
      <c r="O64" s="30">
        <f t="shared" ca="1" si="19"/>
        <v>22.326025233074798</v>
      </c>
      <c r="P64" s="30">
        <f t="shared" ca="1" si="19"/>
        <v>12.774979931510464</v>
      </c>
      <c r="Q64" s="30">
        <f t="shared" ca="1" si="19"/>
        <v>5.3139039480377548</v>
      </c>
      <c r="R64" s="30">
        <f t="shared" ca="1" si="19"/>
        <v>3.9342067820152637</v>
      </c>
      <c r="S64" s="30">
        <f t="shared" ca="1" si="19"/>
        <v>27.044344284889029</v>
      </c>
      <c r="T64" s="30">
        <f t="shared" ca="1" si="19"/>
        <v>26.467960970089973</v>
      </c>
      <c r="U64" s="30">
        <f t="shared" ca="1" si="19"/>
        <v>20.867770625442372</v>
      </c>
      <c r="V64" s="30">
        <f t="shared" ca="1" si="19"/>
        <v>4.5970519218396797</v>
      </c>
      <c r="W64" s="30">
        <f t="shared" ca="1" si="19"/>
        <v>23.586129844162937</v>
      </c>
      <c r="X64" s="30">
        <f t="shared" ca="1" si="19"/>
        <v>29.715830255131205</v>
      </c>
      <c r="Y64" s="30">
        <f t="shared" ca="1" si="19"/>
        <v>1.8927277116072732</v>
      </c>
      <c r="Z64" s="30">
        <f t="shared" ca="1" si="19"/>
        <v>17.479196367311182</v>
      </c>
      <c r="AA64" s="26">
        <v>56</v>
      </c>
      <c r="AB64" s="31">
        <f t="shared" ca="1" si="2"/>
        <v>37</v>
      </c>
      <c r="AC64" s="31">
        <f t="shared" ca="1" si="3"/>
        <v>16</v>
      </c>
      <c r="AD64" s="31">
        <f t="shared" ca="1" si="4"/>
        <v>6</v>
      </c>
      <c r="AE64" s="31">
        <f t="shared" ca="1" si="5"/>
        <v>5</v>
      </c>
      <c r="AF64" s="31">
        <f t="shared" ca="1" si="6"/>
        <v>55</v>
      </c>
      <c r="AG64" s="31">
        <f t="shared" ca="1" si="7"/>
        <v>52</v>
      </c>
      <c r="AH64" s="31">
        <f t="shared" ca="1" si="8"/>
        <v>33</v>
      </c>
      <c r="AI64" s="31">
        <f t="shared" ca="1" si="9"/>
        <v>5</v>
      </c>
      <c r="AJ64" s="31">
        <f t="shared" ca="1" si="10"/>
        <v>41</v>
      </c>
      <c r="AK64" s="31">
        <f t="shared" ca="1" si="11"/>
        <v>73</v>
      </c>
      <c r="AL64" s="31">
        <f t="shared" ca="1" si="12"/>
        <v>2</v>
      </c>
      <c r="AM64" s="31">
        <f t="shared" ca="1" si="13"/>
        <v>25</v>
      </c>
    </row>
    <row r="65" spans="1:39">
      <c r="A65" s="27"/>
      <c r="B65" s="28">
        <v>44592</v>
      </c>
      <c r="C65" s="29">
        <v>1.4822222222222222E-3</v>
      </c>
      <c r="D65" s="29">
        <v>3.2255602757498281E-3</v>
      </c>
      <c r="E65" s="29">
        <v>7.901353312409265E-3</v>
      </c>
      <c r="F65" s="29">
        <v>8.3857442348007627E-3</v>
      </c>
      <c r="G65" s="29">
        <v>1.5277271954742933E-2</v>
      </c>
      <c r="H65" s="29">
        <v>7.8000000000000005E-3</v>
      </c>
      <c r="J65" s="24">
        <v>57</v>
      </c>
      <c r="K65" s="25">
        <f t="shared" si="14"/>
        <v>0.18164235290872485</v>
      </c>
      <c r="L65" s="25">
        <f t="shared" si="0"/>
        <v>27.46023058928456</v>
      </c>
      <c r="N65" s="26">
        <v>57</v>
      </c>
      <c r="O65" s="30">
        <f t="shared" ca="1" si="19"/>
        <v>26.292377564632083</v>
      </c>
      <c r="P65" s="30">
        <f t="shared" ca="1" si="19"/>
        <v>4.5482445541789298</v>
      </c>
      <c r="Q65" s="30">
        <f t="shared" ca="1" si="19"/>
        <v>13.377294147935618</v>
      </c>
      <c r="R65" s="30">
        <f t="shared" ca="1" si="19"/>
        <v>14.731473360891316</v>
      </c>
      <c r="S65" s="30">
        <f t="shared" ca="1" si="19"/>
        <v>4.1048076125040316</v>
      </c>
      <c r="T65" s="30">
        <f t="shared" ca="1" si="19"/>
        <v>21.60777496051686</v>
      </c>
      <c r="U65" s="30">
        <f t="shared" ca="1" si="19"/>
        <v>0.84968166663694555</v>
      </c>
      <c r="V65" s="30">
        <f t="shared" ca="1" si="19"/>
        <v>17.641823156423097</v>
      </c>
      <c r="W65" s="30">
        <f t="shared" ca="1" si="19"/>
        <v>19.411225050577585</v>
      </c>
      <c r="X65" s="30">
        <f t="shared" ca="1" si="19"/>
        <v>30.505526137173486</v>
      </c>
      <c r="Y65" s="30">
        <f t="shared" ca="1" si="19"/>
        <v>5.7939472363692595</v>
      </c>
      <c r="Z65" s="30">
        <f t="shared" ca="1" si="19"/>
        <v>20.287967900266832</v>
      </c>
      <c r="AA65" s="26">
        <v>57</v>
      </c>
      <c r="AB65" s="31">
        <f t="shared" ca="1" si="2"/>
        <v>52</v>
      </c>
      <c r="AC65" s="31">
        <f t="shared" ca="1" si="3"/>
        <v>5</v>
      </c>
      <c r="AD65" s="31">
        <f t="shared" ca="1" si="4"/>
        <v>17</v>
      </c>
      <c r="AE65" s="31">
        <f t="shared" ca="1" si="5"/>
        <v>20</v>
      </c>
      <c r="AF65" s="31">
        <f t="shared" ca="1" si="6"/>
        <v>5</v>
      </c>
      <c r="AG65" s="31">
        <f t="shared" ca="1" si="7"/>
        <v>35</v>
      </c>
      <c r="AH65" s="31">
        <f t="shared" ca="1" si="8"/>
        <v>1</v>
      </c>
      <c r="AI65" s="31">
        <f t="shared" ca="1" si="9"/>
        <v>25</v>
      </c>
      <c r="AJ65" s="31">
        <f t="shared" ca="1" si="10"/>
        <v>29</v>
      </c>
      <c r="AK65" s="31">
        <f t="shared" ca="1" si="11"/>
        <v>81</v>
      </c>
      <c r="AL65" s="31">
        <f t="shared" ca="1" si="12"/>
        <v>7</v>
      </c>
      <c r="AM65" s="31">
        <f t="shared" ca="1" si="13"/>
        <v>31</v>
      </c>
    </row>
    <row r="66" spans="1:39">
      <c r="A66" s="27"/>
      <c r="B66" s="28">
        <v>44561</v>
      </c>
      <c r="C66" s="29">
        <v>1.3916666666666665E-3</v>
      </c>
      <c r="D66" s="29">
        <v>-1.3058146860963626E-3</v>
      </c>
      <c r="E66" s="29">
        <v>1.8299769668026489E-3</v>
      </c>
      <c r="F66" s="29">
        <v>2.7134996608124684E-3</v>
      </c>
      <c r="G66" s="29">
        <v>1.0830590712639587E-2</v>
      </c>
      <c r="H66" s="29">
        <v>8.8999999999999999E-3</v>
      </c>
      <c r="J66" s="24">
        <v>58</v>
      </c>
      <c r="K66" s="25">
        <f t="shared" si="14"/>
        <v>0.17619308232146311</v>
      </c>
      <c r="L66" s="25">
        <f t="shared" si="0"/>
        <v>27.636423671606025</v>
      </c>
      <c r="N66" s="26">
        <v>58</v>
      </c>
      <c r="O66" s="30">
        <f t="shared" ca="1" si="19"/>
        <v>30.296083107828004</v>
      </c>
      <c r="P66" s="30">
        <f t="shared" ca="1" si="19"/>
        <v>5.0876342451852983</v>
      </c>
      <c r="Q66" s="30">
        <f t="shared" ca="1" si="19"/>
        <v>4.2601714044954866</v>
      </c>
      <c r="R66" s="30">
        <f t="shared" ca="1" si="19"/>
        <v>22.25291090149911</v>
      </c>
      <c r="S66" s="30">
        <f t="shared" ca="1" si="19"/>
        <v>19.673040765981177</v>
      </c>
      <c r="T66" s="30">
        <f t="shared" ca="1" si="19"/>
        <v>15.266801665526827</v>
      </c>
      <c r="U66" s="30">
        <f t="shared" ca="1" si="19"/>
        <v>17.296294655199475</v>
      </c>
      <c r="V66" s="30">
        <f t="shared" ca="1" si="19"/>
        <v>14.571034093607729</v>
      </c>
      <c r="W66" s="30">
        <f t="shared" ca="1" si="19"/>
        <v>8.8431070317606242</v>
      </c>
      <c r="X66" s="30">
        <f t="shared" ca="1" si="19"/>
        <v>19.307570079299147</v>
      </c>
      <c r="Y66" s="30">
        <f t="shared" ca="1" si="19"/>
        <v>0.12901872405016307</v>
      </c>
      <c r="Z66" s="30">
        <f t="shared" ca="1" si="19"/>
        <v>15.642905630326133</v>
      </c>
      <c r="AA66" s="26">
        <v>58</v>
      </c>
      <c r="AB66" s="31">
        <f t="shared" ca="1" si="2"/>
        <v>79</v>
      </c>
      <c r="AC66" s="31">
        <f t="shared" ca="1" si="3"/>
        <v>6</v>
      </c>
      <c r="AD66" s="31">
        <f t="shared" ca="1" si="4"/>
        <v>5</v>
      </c>
      <c r="AE66" s="31">
        <f t="shared" ca="1" si="5"/>
        <v>37</v>
      </c>
      <c r="AF66" s="31">
        <f t="shared" ca="1" si="6"/>
        <v>30</v>
      </c>
      <c r="AG66" s="31">
        <f t="shared" ca="1" si="7"/>
        <v>21</v>
      </c>
      <c r="AH66" s="31">
        <f t="shared" ca="1" si="8"/>
        <v>25</v>
      </c>
      <c r="AI66" s="31">
        <f t="shared" ca="1" si="9"/>
        <v>19</v>
      </c>
      <c r="AJ66" s="31">
        <f t="shared" ca="1" si="10"/>
        <v>11</v>
      </c>
      <c r="AK66" s="31">
        <f t="shared" ca="1" si="11"/>
        <v>29</v>
      </c>
      <c r="AL66" s="31">
        <f t="shared" ca="1" si="12"/>
        <v>1</v>
      </c>
      <c r="AM66" s="31">
        <f t="shared" ca="1" si="13"/>
        <v>21</v>
      </c>
    </row>
    <row r="67" spans="1:39">
      <c r="A67" s="27"/>
      <c r="B67" s="28">
        <v>44530</v>
      </c>
      <c r="C67" s="29">
        <v>1.3366666666666666E-3</v>
      </c>
      <c r="D67" s="29">
        <v>7.4943178327906423E-3</v>
      </c>
      <c r="E67" s="29">
        <v>2.1199552875879935E-2</v>
      </c>
      <c r="F67" s="29">
        <v>1.9075174108971638E-2</v>
      </c>
      <c r="G67" s="29">
        <v>4.0449416052368292E-3</v>
      </c>
      <c r="H67" s="29">
        <v>-1E-4</v>
      </c>
      <c r="J67" s="24">
        <v>59</v>
      </c>
      <c r="K67" s="25">
        <f t="shared" si="14"/>
        <v>0.17090728985181922</v>
      </c>
      <c r="L67" s="25">
        <f t="shared" si="0"/>
        <v>27.807330961457843</v>
      </c>
      <c r="N67" s="26">
        <v>59</v>
      </c>
      <c r="O67" s="30">
        <f t="shared" ca="1" si="19"/>
        <v>18.321310936442423</v>
      </c>
      <c r="P67" s="30">
        <f t="shared" ca="1" si="19"/>
        <v>29.067851615265557</v>
      </c>
      <c r="Q67" s="30">
        <f t="shared" ca="1" si="19"/>
        <v>30.875998532394039</v>
      </c>
      <c r="R67" s="30">
        <f t="shared" ca="1" si="19"/>
        <v>0.56093253734667514</v>
      </c>
      <c r="S67" s="30">
        <f t="shared" ca="1" si="19"/>
        <v>20.488454084247632</v>
      </c>
      <c r="T67" s="30">
        <f t="shared" ca="1" si="19"/>
        <v>0.59234366511770997</v>
      </c>
      <c r="U67" s="30">
        <f t="shared" ca="1" si="19"/>
        <v>15.511339557941342</v>
      </c>
      <c r="V67" s="30">
        <f t="shared" ca="1" si="19"/>
        <v>5.4163673104622294</v>
      </c>
      <c r="W67" s="30">
        <f t="shared" ca="1" si="19"/>
        <v>6.8933013057224208</v>
      </c>
      <c r="X67" s="30">
        <f t="shared" ca="1" si="19"/>
        <v>25.967433041617738</v>
      </c>
      <c r="Y67" s="30">
        <f t="shared" ca="1" si="19"/>
        <v>11.251706455084694</v>
      </c>
      <c r="Z67" s="30">
        <f t="shared" ca="1" si="19"/>
        <v>28.973564369646613</v>
      </c>
      <c r="AA67" s="26">
        <v>59</v>
      </c>
      <c r="AB67" s="31">
        <f t="shared" ca="1" si="2"/>
        <v>27</v>
      </c>
      <c r="AC67" s="31">
        <f t="shared" ca="1" si="3"/>
        <v>68</v>
      </c>
      <c r="AD67" s="31">
        <f t="shared" ca="1" si="4"/>
        <v>86</v>
      </c>
      <c r="AE67" s="31">
        <f t="shared" ca="1" si="5"/>
        <v>1</v>
      </c>
      <c r="AF67" s="31">
        <f t="shared" ca="1" si="6"/>
        <v>32</v>
      </c>
      <c r="AG67" s="31">
        <f t="shared" ca="1" si="7"/>
        <v>1</v>
      </c>
      <c r="AH67" s="31">
        <f t="shared" ca="1" si="8"/>
        <v>21</v>
      </c>
      <c r="AI67" s="31">
        <f t="shared" ca="1" si="9"/>
        <v>6</v>
      </c>
      <c r="AJ67" s="31">
        <f t="shared" ca="1" si="10"/>
        <v>8</v>
      </c>
      <c r="AK67" s="31">
        <f t="shared" ca="1" si="11"/>
        <v>50</v>
      </c>
      <c r="AL67" s="31">
        <f t="shared" ca="1" si="12"/>
        <v>14</v>
      </c>
      <c r="AM67" s="31">
        <f t="shared" ca="1" si="13"/>
        <v>67</v>
      </c>
    </row>
    <row r="68" spans="1:39">
      <c r="A68" s="27"/>
      <c r="B68" s="28">
        <v>44500</v>
      </c>
      <c r="C68" s="29">
        <v>1.1406249999999999E-3</v>
      </c>
      <c r="D68" s="29">
        <v>2.8234376122959759E-3</v>
      </c>
      <c r="E68" s="29">
        <v>7.5751975334947819E-3</v>
      </c>
      <c r="F68" s="29">
        <v>9.9122549949146599E-3</v>
      </c>
      <c r="G68" s="29">
        <v>-3.3096937979278374E-2</v>
      </c>
      <c r="H68" s="29">
        <v>-5.7999999999999996E-3</v>
      </c>
      <c r="J68" s="24">
        <v>60</v>
      </c>
      <c r="K68" s="25">
        <f t="shared" si="14"/>
        <v>0.16578007115626464</v>
      </c>
      <c r="L68" s="25">
        <f t="shared" si="0"/>
        <v>27.973111032614106</v>
      </c>
      <c r="N68" s="26">
        <v>60</v>
      </c>
      <c r="O68" s="30">
        <f t="shared" ca="1" si="19"/>
        <v>20.414887595663686</v>
      </c>
      <c r="P68" s="30">
        <f t="shared" ca="1" si="19"/>
        <v>14.411370745242152</v>
      </c>
      <c r="Q68" s="30">
        <f t="shared" ca="1" si="19"/>
        <v>28.420155712517822</v>
      </c>
      <c r="R68" s="30">
        <f t="shared" ca="1" si="19"/>
        <v>4.477990085444489</v>
      </c>
      <c r="S68" s="30">
        <f t="shared" ca="1" si="19"/>
        <v>29.826482094049055</v>
      </c>
      <c r="T68" s="30">
        <f t="shared" ca="1" si="19"/>
        <v>27.224453463084679</v>
      </c>
      <c r="U68" s="30">
        <f t="shared" ca="1" si="19"/>
        <v>0.45608416733985385</v>
      </c>
      <c r="V68" s="30">
        <f t="shared" ca="1" si="19"/>
        <v>11.250420998801125</v>
      </c>
      <c r="W68" s="30">
        <f t="shared" ca="1" si="19"/>
        <v>28.573807680774035</v>
      </c>
      <c r="X68" s="30">
        <f t="shared" ca="1" si="19"/>
        <v>7.1911796957809289</v>
      </c>
      <c r="Y68" s="30">
        <f t="shared" ca="1" si="19"/>
        <v>11.370142888964589</v>
      </c>
      <c r="Z68" s="30">
        <f t="shared" ca="1" si="19"/>
        <v>21.8939997797291</v>
      </c>
      <c r="AA68" s="26">
        <v>60</v>
      </c>
      <c r="AB68" s="31">
        <f t="shared" ca="1" si="2"/>
        <v>32</v>
      </c>
      <c r="AC68" s="31">
        <f t="shared" ca="1" si="3"/>
        <v>19</v>
      </c>
      <c r="AD68" s="31">
        <f t="shared" ca="1" si="4"/>
        <v>63</v>
      </c>
      <c r="AE68" s="31">
        <f t="shared" ca="1" si="5"/>
        <v>5</v>
      </c>
      <c r="AF68" s="31">
        <f t="shared" ca="1" si="6"/>
        <v>74</v>
      </c>
      <c r="AG68" s="31">
        <f t="shared" ca="1" si="7"/>
        <v>56</v>
      </c>
      <c r="AH68" s="31">
        <f t="shared" ca="1" si="8"/>
        <v>1</v>
      </c>
      <c r="AI68" s="31">
        <f t="shared" ca="1" si="9"/>
        <v>14</v>
      </c>
      <c r="AJ68" s="31">
        <f t="shared" ca="1" si="10"/>
        <v>64</v>
      </c>
      <c r="AK68" s="31">
        <f t="shared" ca="1" si="11"/>
        <v>8</v>
      </c>
      <c r="AL68" s="31">
        <f t="shared" ca="1" si="12"/>
        <v>14</v>
      </c>
      <c r="AM68" s="31">
        <f t="shared" ca="1" si="13"/>
        <v>36</v>
      </c>
    </row>
    <row r="69" spans="1:39">
      <c r="A69" s="27"/>
      <c r="B69" s="28">
        <v>44469</v>
      </c>
      <c r="C69" s="29">
        <v>9.2812500000000002E-4</v>
      </c>
      <c r="D69" s="29">
        <v>3.2351657380536025E-4</v>
      </c>
      <c r="E69" s="29">
        <v>5.5533449064457674E-3</v>
      </c>
      <c r="F69" s="29">
        <v>5.6515784546573578E-3</v>
      </c>
      <c r="G69" s="29">
        <v>1.9444936980964389E-2</v>
      </c>
      <c r="H69" s="29">
        <v>2.3999999999999998E-3</v>
      </c>
      <c r="J69" s="24">
        <v>61</v>
      </c>
      <c r="K69" s="25">
        <f t="shared" si="14"/>
        <v>0.1608066690215767</v>
      </c>
      <c r="L69" s="25">
        <f t="shared" si="0"/>
        <v>28.133917701635681</v>
      </c>
      <c r="N69" s="26">
        <v>61</v>
      </c>
      <c r="O69" s="30">
        <f t="shared" ref="O69:Z78" ca="1" si="20">RAND()*sumweights</f>
        <v>22.876926019074279</v>
      </c>
      <c r="P69" s="30">
        <f t="shared" ca="1" si="20"/>
        <v>22.265204871785762</v>
      </c>
      <c r="Q69" s="30">
        <f t="shared" ca="1" si="20"/>
        <v>32.331455383394136</v>
      </c>
      <c r="R69" s="30">
        <f t="shared" ca="1" si="20"/>
        <v>32.59117007178321</v>
      </c>
      <c r="S69" s="30">
        <f t="shared" ca="1" si="20"/>
        <v>32.747311391104461</v>
      </c>
      <c r="T69" s="30">
        <f t="shared" ca="1" si="20"/>
        <v>19.70378615662003</v>
      </c>
      <c r="U69" s="30">
        <f t="shared" ca="1" si="20"/>
        <v>3.0171484066872978</v>
      </c>
      <c r="V69" s="30">
        <f t="shared" ca="1" si="20"/>
        <v>12.669691454223956</v>
      </c>
      <c r="W69" s="30">
        <f t="shared" ca="1" si="20"/>
        <v>18.707628476802093</v>
      </c>
      <c r="X69" s="30">
        <f t="shared" ca="1" si="20"/>
        <v>12.52692614587739</v>
      </c>
      <c r="Y69" s="30">
        <f t="shared" ca="1" si="20"/>
        <v>22.267416041728939</v>
      </c>
      <c r="Z69" s="30">
        <f t="shared" ca="1" si="20"/>
        <v>8.2966363938937615</v>
      </c>
      <c r="AA69" s="26">
        <v>61</v>
      </c>
      <c r="AB69" s="31">
        <f t="shared" ca="1" si="2"/>
        <v>39</v>
      </c>
      <c r="AC69" s="31">
        <f t="shared" ca="1" si="3"/>
        <v>37</v>
      </c>
      <c r="AD69" s="31">
        <f t="shared" ca="1" si="4"/>
        <v>116</v>
      </c>
      <c r="AE69" s="31">
        <f t="shared" ca="1" si="5"/>
        <v>125</v>
      </c>
      <c r="AF69" s="31">
        <f t="shared" ca="1" si="6"/>
        <v>133</v>
      </c>
      <c r="AG69" s="31">
        <f t="shared" ca="1" si="7"/>
        <v>30</v>
      </c>
      <c r="AH69" s="31">
        <f t="shared" ca="1" si="8"/>
        <v>4</v>
      </c>
      <c r="AI69" s="31">
        <f t="shared" ca="1" si="9"/>
        <v>16</v>
      </c>
      <c r="AJ69" s="31">
        <f t="shared" ca="1" si="10"/>
        <v>28</v>
      </c>
      <c r="AK69" s="31">
        <f t="shared" ca="1" si="11"/>
        <v>16</v>
      </c>
      <c r="AL69" s="31">
        <f t="shared" ca="1" si="12"/>
        <v>37</v>
      </c>
      <c r="AM69" s="31">
        <f t="shared" ca="1" si="13"/>
        <v>10</v>
      </c>
    </row>
    <row r="70" spans="1:39">
      <c r="A70" s="27"/>
      <c r="B70" s="28">
        <v>44439</v>
      </c>
      <c r="C70" s="29">
        <v>9.4722222222222224E-4</v>
      </c>
      <c r="D70" s="29">
        <v>-6.3122889488753664E-4</v>
      </c>
      <c r="E70" s="29">
        <v>-2.7602867558563782E-3</v>
      </c>
      <c r="F70" s="29">
        <v>-4.0058706725372151E-3</v>
      </c>
      <c r="G70" s="29">
        <v>1.3722898767690728E-2</v>
      </c>
      <c r="H70" s="29">
        <v>-8.6999999999999994E-3</v>
      </c>
      <c r="J70" s="24">
        <v>62</v>
      </c>
      <c r="K70" s="25">
        <f t="shared" si="14"/>
        <v>0.1559824689509294</v>
      </c>
      <c r="L70" s="25">
        <f t="shared" si="0"/>
        <v>28.289900170586609</v>
      </c>
      <c r="N70" s="26">
        <v>62</v>
      </c>
      <c r="O70" s="30">
        <f t="shared" ca="1" si="20"/>
        <v>22.760625452230677</v>
      </c>
      <c r="P70" s="30">
        <f t="shared" ca="1" si="20"/>
        <v>17.695515322168212</v>
      </c>
      <c r="Q70" s="30">
        <f t="shared" ca="1" si="20"/>
        <v>1.8599856112657578</v>
      </c>
      <c r="R70" s="30">
        <f t="shared" ca="1" si="20"/>
        <v>16.054843015671505</v>
      </c>
      <c r="S70" s="30">
        <f t="shared" ca="1" si="20"/>
        <v>9.7060382334298847</v>
      </c>
      <c r="T70" s="30">
        <f t="shared" ca="1" si="20"/>
        <v>31.096556024028715</v>
      </c>
      <c r="U70" s="30">
        <f t="shared" ca="1" si="20"/>
        <v>18.754724149080623</v>
      </c>
      <c r="V70" s="30">
        <f t="shared" ca="1" si="20"/>
        <v>13.09399806457518</v>
      </c>
      <c r="W70" s="30">
        <f t="shared" ca="1" si="20"/>
        <v>15.847686275428766</v>
      </c>
      <c r="X70" s="30">
        <f t="shared" ca="1" si="20"/>
        <v>32.217168369101827</v>
      </c>
      <c r="Y70" s="30">
        <f t="shared" ca="1" si="20"/>
        <v>14.075637123715264</v>
      </c>
      <c r="Z70" s="30">
        <f t="shared" ca="1" si="20"/>
        <v>11.312135477733946</v>
      </c>
      <c r="AA70" s="26">
        <v>62</v>
      </c>
      <c r="AB70" s="31">
        <f t="shared" ca="1" si="2"/>
        <v>38</v>
      </c>
      <c r="AC70" s="31">
        <f t="shared" ca="1" si="3"/>
        <v>25</v>
      </c>
      <c r="AD70" s="31">
        <f t="shared" ca="1" si="4"/>
        <v>2</v>
      </c>
      <c r="AE70" s="31">
        <f t="shared" ca="1" si="5"/>
        <v>22</v>
      </c>
      <c r="AF70" s="31">
        <f t="shared" ca="1" si="6"/>
        <v>12</v>
      </c>
      <c r="AG70" s="31">
        <f t="shared" ca="1" si="7"/>
        <v>89</v>
      </c>
      <c r="AH70" s="31">
        <f t="shared" ca="1" si="8"/>
        <v>28</v>
      </c>
      <c r="AI70" s="31">
        <f t="shared" ca="1" si="9"/>
        <v>17</v>
      </c>
      <c r="AJ70" s="31">
        <f t="shared" ca="1" si="10"/>
        <v>22</v>
      </c>
      <c r="AK70" s="31">
        <f t="shared" ca="1" si="11"/>
        <v>112</v>
      </c>
      <c r="AL70" s="31">
        <f t="shared" ca="1" si="12"/>
        <v>19</v>
      </c>
      <c r="AM70" s="31">
        <f t="shared" ca="1" si="13"/>
        <v>14</v>
      </c>
    </row>
    <row r="71" spans="1:39">
      <c r="A71" s="27"/>
      <c r="B71" s="28">
        <v>44408</v>
      </c>
      <c r="C71" s="29">
        <v>9.0833333333333337E-4</v>
      </c>
      <c r="D71" s="29">
        <v>-1.015960743276878E-2</v>
      </c>
      <c r="E71" s="29">
        <v>-3.2171751488729528E-2</v>
      </c>
      <c r="F71" s="29">
        <v>-2.6016615653694841E-2</v>
      </c>
      <c r="G71" s="29">
        <v>-1.5698428278862364E-2</v>
      </c>
      <c r="H71" s="29">
        <v>-8.8000000000000005E-3</v>
      </c>
      <c r="J71" s="24">
        <v>63</v>
      </c>
      <c r="K71" s="25">
        <f t="shared" si="14"/>
        <v>0.15130299488240151</v>
      </c>
      <c r="L71" s="25">
        <f t="shared" si="0"/>
        <v>28.441203165469009</v>
      </c>
      <c r="N71" s="26">
        <v>63</v>
      </c>
      <c r="O71" s="30">
        <f t="shared" ca="1" si="20"/>
        <v>23.960870715431199</v>
      </c>
      <c r="P71" s="30">
        <f t="shared" ca="1" si="20"/>
        <v>28.044656789315209</v>
      </c>
      <c r="Q71" s="30">
        <f t="shared" ca="1" si="20"/>
        <v>21.452679058918612</v>
      </c>
      <c r="R71" s="30">
        <f t="shared" ca="1" si="20"/>
        <v>28.176336091596006</v>
      </c>
      <c r="S71" s="30">
        <f t="shared" ca="1" si="20"/>
        <v>16.704483646514408</v>
      </c>
      <c r="T71" s="30">
        <f t="shared" ca="1" si="20"/>
        <v>21.427805663010293</v>
      </c>
      <c r="U71" s="30">
        <f t="shared" ca="1" si="20"/>
        <v>28.231432057129766</v>
      </c>
      <c r="V71" s="30">
        <f t="shared" ca="1" si="20"/>
        <v>17.18494204292432</v>
      </c>
      <c r="W71" s="30">
        <f t="shared" ca="1" si="20"/>
        <v>3.9300919036480142</v>
      </c>
      <c r="X71" s="30">
        <f t="shared" ca="1" si="20"/>
        <v>15.789574849606327</v>
      </c>
      <c r="Y71" s="30">
        <f t="shared" ca="1" si="20"/>
        <v>23.040754681845769</v>
      </c>
      <c r="Z71" s="30">
        <f t="shared" ca="1" si="20"/>
        <v>11.553364973035197</v>
      </c>
      <c r="AA71" s="26">
        <v>63</v>
      </c>
      <c r="AB71" s="31">
        <f t="shared" ca="1" si="2"/>
        <v>42</v>
      </c>
      <c r="AC71" s="31">
        <f t="shared" ca="1" si="3"/>
        <v>61</v>
      </c>
      <c r="AD71" s="31">
        <f t="shared" ca="1" si="4"/>
        <v>34</v>
      </c>
      <c r="AE71" s="31">
        <f t="shared" ca="1" si="5"/>
        <v>62</v>
      </c>
      <c r="AF71" s="31">
        <f t="shared" ca="1" si="6"/>
        <v>23</v>
      </c>
      <c r="AG71" s="31">
        <f t="shared" ca="1" si="7"/>
        <v>34</v>
      </c>
      <c r="AH71" s="31">
        <f t="shared" ca="1" si="8"/>
        <v>62</v>
      </c>
      <c r="AI71" s="31">
        <f t="shared" ca="1" si="9"/>
        <v>24</v>
      </c>
      <c r="AJ71" s="31">
        <f t="shared" ca="1" si="10"/>
        <v>5</v>
      </c>
      <c r="AK71" s="31">
        <f t="shared" ca="1" si="11"/>
        <v>22</v>
      </c>
      <c r="AL71" s="31">
        <f t="shared" ca="1" si="12"/>
        <v>39</v>
      </c>
      <c r="AM71" s="31">
        <f t="shared" ca="1" si="13"/>
        <v>14</v>
      </c>
    </row>
    <row r="72" spans="1:39">
      <c r="A72" s="27"/>
      <c r="B72" s="28">
        <v>44377</v>
      </c>
      <c r="C72" s="29">
        <v>1.0060416666666666E-3</v>
      </c>
      <c r="D72" s="29">
        <v>3.3025839661586787E-3</v>
      </c>
      <c r="E72" s="29">
        <v>9.1052727961875579E-3</v>
      </c>
      <c r="F72" s="29">
        <v>7.4889867841410052E-3</v>
      </c>
      <c r="G72" s="29">
        <v>-1.5086232619203943E-2</v>
      </c>
      <c r="H72" s="29">
        <v>4.5000000000000005E-3</v>
      </c>
      <c r="J72" s="24">
        <v>64</v>
      </c>
      <c r="K72" s="25">
        <f t="shared" si="14"/>
        <v>0.14676390503592945</v>
      </c>
      <c r="L72" s="25">
        <f t="shared" si="0"/>
        <v>28.587967070504938</v>
      </c>
      <c r="N72" s="26">
        <v>64</v>
      </c>
      <c r="O72" s="30">
        <f t="shared" ca="1" si="20"/>
        <v>4.3778155363772955</v>
      </c>
      <c r="P72" s="30">
        <f t="shared" ca="1" si="20"/>
        <v>20.588952067477965</v>
      </c>
      <c r="Q72" s="30">
        <f t="shared" ca="1" si="20"/>
        <v>4.656481426486609</v>
      </c>
      <c r="R72" s="30">
        <f t="shared" ca="1" si="20"/>
        <v>31.855960206445506</v>
      </c>
      <c r="S72" s="30">
        <f t="shared" ca="1" si="20"/>
        <v>7.9332418316179973</v>
      </c>
      <c r="T72" s="30">
        <f t="shared" ca="1" si="20"/>
        <v>27.368036746853686</v>
      </c>
      <c r="U72" s="30">
        <f t="shared" ca="1" si="20"/>
        <v>27.501190874107746</v>
      </c>
      <c r="V72" s="30">
        <f t="shared" ca="1" si="20"/>
        <v>28.739884361947443</v>
      </c>
      <c r="W72" s="30">
        <f t="shared" ca="1" si="20"/>
        <v>9.3624761729188002</v>
      </c>
      <c r="X72" s="30">
        <f t="shared" ca="1" si="20"/>
        <v>17.589644299176474</v>
      </c>
      <c r="Y72" s="30">
        <f t="shared" ca="1" si="20"/>
        <v>28.185510947076725</v>
      </c>
      <c r="Z72" s="30">
        <f t="shared" ca="1" si="20"/>
        <v>29.394380823813471</v>
      </c>
      <c r="AA72" s="26">
        <v>64</v>
      </c>
      <c r="AB72" s="31">
        <f t="shared" ca="1" si="2"/>
        <v>5</v>
      </c>
      <c r="AC72" s="31">
        <f t="shared" ca="1" si="3"/>
        <v>32</v>
      </c>
      <c r="AD72" s="31">
        <f t="shared" ca="1" si="4"/>
        <v>5</v>
      </c>
      <c r="AE72" s="31">
        <f t="shared" ca="1" si="5"/>
        <v>103</v>
      </c>
      <c r="AF72" s="31">
        <f t="shared" ca="1" si="6"/>
        <v>9</v>
      </c>
      <c r="AG72" s="31">
        <f t="shared" ca="1" si="7"/>
        <v>57</v>
      </c>
      <c r="AH72" s="31">
        <f t="shared" ca="1" si="8"/>
        <v>58</v>
      </c>
      <c r="AI72" s="31">
        <f t="shared" ca="1" si="9"/>
        <v>66</v>
      </c>
      <c r="AJ72" s="31">
        <f t="shared" ca="1" si="10"/>
        <v>11</v>
      </c>
      <c r="AK72" s="31">
        <f t="shared" ca="1" si="11"/>
        <v>25</v>
      </c>
      <c r="AL72" s="31">
        <f t="shared" ca="1" si="12"/>
        <v>62</v>
      </c>
      <c r="AM72" s="31">
        <f t="shared" ca="1" si="13"/>
        <v>71</v>
      </c>
    </row>
    <row r="73" spans="1:39">
      <c r="A73" s="27"/>
      <c r="B73" s="28">
        <v>44347</v>
      </c>
      <c r="C73" s="29">
        <v>8.5555555555555569E-4</v>
      </c>
      <c r="D73" s="29">
        <v>4.6286340409409377E-3</v>
      </c>
      <c r="E73" s="29">
        <v>1.2622799527345796E-2</v>
      </c>
      <c r="F73" s="29">
        <v>1.0824141946975452E-2</v>
      </c>
      <c r="G73" s="29">
        <v>1.3899443828627511E-2</v>
      </c>
      <c r="H73" s="29">
        <v>1.1000000000000001E-2</v>
      </c>
      <c r="J73" s="24">
        <v>65</v>
      </c>
      <c r="K73" s="25">
        <f t="shared" si="14"/>
        <v>0.14236098788485158</v>
      </c>
      <c r="L73" s="25">
        <f t="shared" si="0"/>
        <v>28.730328058389791</v>
      </c>
      <c r="N73" s="26">
        <v>65</v>
      </c>
      <c r="O73" s="30">
        <f t="shared" ca="1" si="20"/>
        <v>5.2825701311103304</v>
      </c>
      <c r="P73" s="30">
        <f t="shared" ca="1" si="20"/>
        <v>15.362987302535338</v>
      </c>
      <c r="Q73" s="30">
        <f t="shared" ca="1" si="20"/>
        <v>1.5466997712844364</v>
      </c>
      <c r="R73" s="30">
        <f t="shared" ca="1" si="20"/>
        <v>30.228454171225348</v>
      </c>
      <c r="S73" s="30">
        <f t="shared" ca="1" si="20"/>
        <v>32.557727650938993</v>
      </c>
      <c r="T73" s="30">
        <f t="shared" ca="1" si="20"/>
        <v>24.587323709991331</v>
      </c>
      <c r="U73" s="30">
        <f t="shared" ca="1" si="20"/>
        <v>24.444755874637131</v>
      </c>
      <c r="V73" s="30">
        <f t="shared" ca="1" si="20"/>
        <v>25.404834686328655</v>
      </c>
      <c r="W73" s="30">
        <f t="shared" ca="1" si="20"/>
        <v>13.511521360429931</v>
      </c>
      <c r="X73" s="30">
        <f t="shared" ca="1" si="20"/>
        <v>32.562294103447492</v>
      </c>
      <c r="Y73" s="30">
        <f t="shared" ca="1" si="20"/>
        <v>13.358998819958265</v>
      </c>
      <c r="Z73" s="30">
        <f t="shared" ca="1" si="20"/>
        <v>6.7497531760205787</v>
      </c>
      <c r="AA73" s="26">
        <v>65</v>
      </c>
      <c r="AB73" s="31">
        <f t="shared" ca="1" si="2"/>
        <v>6</v>
      </c>
      <c r="AC73" s="31">
        <f t="shared" ref="AC73:AC136" ca="1" si="21">MATCH(P73,cum_wt,1)</f>
        <v>21</v>
      </c>
      <c r="AD73" s="31">
        <f t="shared" ref="AD73:AD136" ca="1" si="22">MATCH(Q73,cum_wt,1)</f>
        <v>2</v>
      </c>
      <c r="AE73" s="31">
        <f t="shared" ref="AE73:AE136" ca="1" si="23">MATCH(R73,cum_wt,1)</f>
        <v>78</v>
      </c>
      <c r="AF73" s="31">
        <f t="shared" ref="AF73:AF136" ca="1" si="24">MATCH(S73,cum_wt,1)</f>
        <v>124</v>
      </c>
      <c r="AG73" s="31">
        <f t="shared" ref="AG73:AG136" ca="1" si="25">MATCH(T73,cum_wt,1)</f>
        <v>44</v>
      </c>
      <c r="AH73" s="31">
        <f t="shared" ref="AH73:AH136" ca="1" si="26">MATCH(U73,cum_wt,1)</f>
        <v>44</v>
      </c>
      <c r="AI73" s="31">
        <f t="shared" ref="AI73:AI136" ca="1" si="27">MATCH(V73,cum_wt,1)</f>
        <v>48</v>
      </c>
      <c r="AJ73" s="31">
        <f t="shared" ref="AJ73:AJ136" ca="1" si="28">MATCH(W73,cum_wt,1)</f>
        <v>18</v>
      </c>
      <c r="AK73" s="31">
        <f t="shared" ref="AK73:AK136" ca="1" si="29">MATCH(X73,cum_wt,1)</f>
        <v>124</v>
      </c>
      <c r="AL73" s="31">
        <f t="shared" ref="AL73:AL136" ca="1" si="30">MATCH(Y73,cum_wt,1)</f>
        <v>17</v>
      </c>
      <c r="AM73" s="31">
        <f t="shared" ref="AM73:AM136" ca="1" si="31">MATCH(Z73,cum_wt,1)</f>
        <v>8</v>
      </c>
    </row>
    <row r="74" spans="1:39">
      <c r="A74" s="27"/>
      <c r="B74" s="28">
        <v>44316</v>
      </c>
      <c r="C74" s="29">
        <v>9.3333333333333332E-4</v>
      </c>
      <c r="D74" s="29">
        <v>2.0265659711355966E-3</v>
      </c>
      <c r="E74" s="29">
        <v>7.9415791875856456E-3</v>
      </c>
      <c r="F74" s="29">
        <v>8.0453023030973014E-3</v>
      </c>
      <c r="G74" s="29">
        <v>1.8354972059948071E-2</v>
      </c>
      <c r="H74" s="29">
        <v>1.5900000000000001E-2</v>
      </c>
      <c r="J74" s="24">
        <v>66</v>
      </c>
      <c r="K74" s="25">
        <f t="shared" ref="K74:K137" si="32">K73*lambda</f>
        <v>0.13809015824830603</v>
      </c>
      <c r="L74" s="25">
        <f t="shared" ref="L74:L137" si="33">L73+K74</f>
        <v>28.868418216638098</v>
      </c>
      <c r="N74" s="26">
        <v>66</v>
      </c>
      <c r="O74" s="30">
        <f t="shared" ca="1" si="20"/>
        <v>28.996698623602548</v>
      </c>
      <c r="P74" s="30">
        <f t="shared" ca="1" si="20"/>
        <v>12.994291745850422</v>
      </c>
      <c r="Q74" s="30">
        <f t="shared" ca="1" si="20"/>
        <v>30.812331701562204</v>
      </c>
      <c r="R74" s="30">
        <f t="shared" ca="1" si="20"/>
        <v>22.738689788681462</v>
      </c>
      <c r="S74" s="30">
        <f t="shared" ca="1" si="20"/>
        <v>16.548894842799619</v>
      </c>
      <c r="T74" s="30">
        <f t="shared" ca="1" si="20"/>
        <v>0.39378110934023641</v>
      </c>
      <c r="U74" s="30">
        <f t="shared" ca="1" si="20"/>
        <v>5.8987417839765044</v>
      </c>
      <c r="V74" s="30">
        <f t="shared" ca="1" si="20"/>
        <v>10.934345222835478</v>
      </c>
      <c r="W74" s="30">
        <f t="shared" ca="1" si="20"/>
        <v>28.527160010979959</v>
      </c>
      <c r="X74" s="30">
        <f t="shared" ca="1" si="20"/>
        <v>3.0123447316605447</v>
      </c>
      <c r="Y74" s="30">
        <f t="shared" ca="1" si="20"/>
        <v>18.974721593378511</v>
      </c>
      <c r="Z74" s="30">
        <f t="shared" ca="1" si="20"/>
        <v>32.067051379456757</v>
      </c>
      <c r="AA74" s="26">
        <v>66</v>
      </c>
      <c r="AB74" s="31">
        <f t="shared" ref="AB74:AB137" ca="1" si="34">MATCH(O74,cum_wt,1)</f>
        <v>67</v>
      </c>
      <c r="AC74" s="31">
        <f t="shared" ca="1" si="21"/>
        <v>17</v>
      </c>
      <c r="AD74" s="31">
        <f t="shared" ca="1" si="22"/>
        <v>85</v>
      </c>
      <c r="AE74" s="31">
        <f t="shared" ca="1" si="23"/>
        <v>38</v>
      </c>
      <c r="AF74" s="31">
        <f t="shared" ca="1" si="24"/>
        <v>23</v>
      </c>
      <c r="AG74" s="31">
        <f t="shared" ca="1" si="25"/>
        <v>1</v>
      </c>
      <c r="AH74" s="31">
        <f t="shared" ca="1" si="26"/>
        <v>7</v>
      </c>
      <c r="AI74" s="31">
        <f t="shared" ca="1" si="27"/>
        <v>14</v>
      </c>
      <c r="AJ74" s="31">
        <f t="shared" ca="1" si="28"/>
        <v>64</v>
      </c>
      <c r="AK74" s="31">
        <f t="shared" ca="1" si="29"/>
        <v>4</v>
      </c>
      <c r="AL74" s="31">
        <f t="shared" ca="1" si="30"/>
        <v>28</v>
      </c>
      <c r="AM74" s="31">
        <f t="shared" ca="1" si="31"/>
        <v>108</v>
      </c>
    </row>
    <row r="75" spans="1:39">
      <c r="A75" s="27"/>
      <c r="B75" s="28">
        <v>44286</v>
      </c>
      <c r="C75" s="29">
        <v>1.0724999999999999E-3</v>
      </c>
      <c r="D75" s="29">
        <v>6.4961554946219024E-3</v>
      </c>
      <c r="E75" s="29">
        <v>9.9965756130970806E-3</v>
      </c>
      <c r="F75" s="29">
        <v>1.0176408521325175E-2</v>
      </c>
      <c r="G75" s="29">
        <v>5.2444577599142894E-2</v>
      </c>
      <c r="H75" s="29">
        <v>1.55E-2</v>
      </c>
      <c r="J75" s="24">
        <v>67</v>
      </c>
      <c r="K75" s="25">
        <f t="shared" si="32"/>
        <v>0.13394745350085685</v>
      </c>
      <c r="L75" s="25">
        <f t="shared" si="33"/>
        <v>29.002365670138953</v>
      </c>
      <c r="N75" s="26">
        <v>67</v>
      </c>
      <c r="O75" s="30">
        <f t="shared" ca="1" si="20"/>
        <v>21.517174108073398</v>
      </c>
      <c r="P75" s="30">
        <f t="shared" ca="1" si="20"/>
        <v>12.313188022392717</v>
      </c>
      <c r="Q75" s="30">
        <f t="shared" ca="1" si="20"/>
        <v>17.212512709051683</v>
      </c>
      <c r="R75" s="30">
        <f t="shared" ca="1" si="20"/>
        <v>27.002005268884229</v>
      </c>
      <c r="S75" s="30">
        <f t="shared" ca="1" si="20"/>
        <v>15.468795464613141</v>
      </c>
      <c r="T75" s="30">
        <f t="shared" ca="1" si="20"/>
        <v>13.816932203058132</v>
      </c>
      <c r="U75" s="30">
        <f t="shared" ca="1" si="20"/>
        <v>27.615056475014306</v>
      </c>
      <c r="V75" s="30">
        <f t="shared" ca="1" si="20"/>
        <v>2.1769757798241693</v>
      </c>
      <c r="W75" s="30">
        <f t="shared" ca="1" si="20"/>
        <v>29.849018048820614</v>
      </c>
      <c r="X75" s="30">
        <f t="shared" ca="1" si="20"/>
        <v>12.229132058204334</v>
      </c>
      <c r="Y75" s="30">
        <f t="shared" ca="1" si="20"/>
        <v>25.945998053808431</v>
      </c>
      <c r="Z75" s="30">
        <f t="shared" ca="1" si="20"/>
        <v>24.113073612032</v>
      </c>
      <c r="AA75" s="26">
        <v>67</v>
      </c>
      <c r="AB75" s="31">
        <f t="shared" ca="1" si="34"/>
        <v>35</v>
      </c>
      <c r="AC75" s="31">
        <f t="shared" ca="1" si="21"/>
        <v>16</v>
      </c>
      <c r="AD75" s="31">
        <f t="shared" ca="1" si="22"/>
        <v>24</v>
      </c>
      <c r="AE75" s="31">
        <f t="shared" ca="1" si="23"/>
        <v>55</v>
      </c>
      <c r="AF75" s="31">
        <f t="shared" ca="1" si="24"/>
        <v>21</v>
      </c>
      <c r="AG75" s="31">
        <f t="shared" ca="1" si="25"/>
        <v>18</v>
      </c>
      <c r="AH75" s="31">
        <f t="shared" ca="1" si="26"/>
        <v>58</v>
      </c>
      <c r="AI75" s="31">
        <f t="shared" ca="1" si="27"/>
        <v>3</v>
      </c>
      <c r="AJ75" s="31">
        <f t="shared" ca="1" si="28"/>
        <v>75</v>
      </c>
      <c r="AK75" s="31">
        <f t="shared" ca="1" si="29"/>
        <v>16</v>
      </c>
      <c r="AL75" s="31">
        <f t="shared" ca="1" si="30"/>
        <v>50</v>
      </c>
      <c r="AM75" s="31">
        <f t="shared" ca="1" si="31"/>
        <v>43</v>
      </c>
    </row>
    <row r="76" spans="1:39">
      <c r="A76" s="27"/>
      <c r="B76" s="28">
        <v>44255</v>
      </c>
      <c r="C76" s="29">
        <v>8.7111111111111124E-4</v>
      </c>
      <c r="D76" s="29">
        <v>-1.1914340533514256E-3</v>
      </c>
      <c r="E76" s="29">
        <v>1.9320786531640266E-4</v>
      </c>
      <c r="F76" s="29">
        <v>2.3950420880571865E-3</v>
      </c>
      <c r="G76" s="29">
        <v>8.7988088571622214E-3</v>
      </c>
      <c r="H76" s="29">
        <v>6.1999999999999998E-3</v>
      </c>
      <c r="J76" s="24">
        <v>68</v>
      </c>
      <c r="K76" s="25">
        <f t="shared" si="32"/>
        <v>0.12992902989583113</v>
      </c>
      <c r="L76" s="25">
        <f t="shared" si="33"/>
        <v>29.132294700034784</v>
      </c>
      <c r="N76" s="26">
        <v>68</v>
      </c>
      <c r="O76" s="30">
        <f t="shared" ca="1" si="20"/>
        <v>19.138323632848152</v>
      </c>
      <c r="P76" s="30">
        <f t="shared" ca="1" si="20"/>
        <v>17.381765397558233</v>
      </c>
      <c r="Q76" s="30">
        <f t="shared" ca="1" si="20"/>
        <v>4.2848465753153242</v>
      </c>
      <c r="R76" s="30">
        <f t="shared" ca="1" si="20"/>
        <v>12.599660373671973</v>
      </c>
      <c r="S76" s="30">
        <f t="shared" ca="1" si="20"/>
        <v>0.24394171060206984</v>
      </c>
      <c r="T76" s="30">
        <f t="shared" ca="1" si="20"/>
        <v>23.620017873751493</v>
      </c>
      <c r="U76" s="30">
        <f t="shared" ca="1" si="20"/>
        <v>17.81283190936557</v>
      </c>
      <c r="V76" s="30">
        <f t="shared" ca="1" si="20"/>
        <v>7.4829187039876439</v>
      </c>
      <c r="W76" s="30">
        <f t="shared" ca="1" si="20"/>
        <v>28.223704478966628</v>
      </c>
      <c r="X76" s="30">
        <f t="shared" ca="1" si="20"/>
        <v>24.850680029021682</v>
      </c>
      <c r="Y76" s="30">
        <f t="shared" ca="1" si="20"/>
        <v>11.441196267911174</v>
      </c>
      <c r="Z76" s="30">
        <f t="shared" ca="1" si="20"/>
        <v>26.805218856066755</v>
      </c>
      <c r="AA76" s="26">
        <v>68</v>
      </c>
      <c r="AB76" s="31">
        <f t="shared" ca="1" si="34"/>
        <v>29</v>
      </c>
      <c r="AC76" s="31">
        <f t="shared" ca="1" si="21"/>
        <v>25</v>
      </c>
      <c r="AD76" s="31">
        <f t="shared" ca="1" si="22"/>
        <v>5</v>
      </c>
      <c r="AE76" s="31">
        <f t="shared" ca="1" si="23"/>
        <v>16</v>
      </c>
      <c r="AF76" s="31">
        <f t="shared" ca="1" si="24"/>
        <v>1</v>
      </c>
      <c r="AG76" s="31">
        <f t="shared" ca="1" si="25"/>
        <v>41</v>
      </c>
      <c r="AH76" s="31">
        <f t="shared" ca="1" si="26"/>
        <v>26</v>
      </c>
      <c r="AI76" s="31">
        <f t="shared" ca="1" si="27"/>
        <v>9</v>
      </c>
      <c r="AJ76" s="31">
        <f t="shared" ca="1" si="28"/>
        <v>62</v>
      </c>
      <c r="AK76" s="31">
        <f t="shared" ca="1" si="29"/>
        <v>45</v>
      </c>
      <c r="AL76" s="31">
        <f t="shared" ca="1" si="30"/>
        <v>14</v>
      </c>
      <c r="AM76" s="31">
        <f t="shared" ca="1" si="31"/>
        <v>54</v>
      </c>
    </row>
    <row r="77" spans="1:39">
      <c r="A77" s="27"/>
      <c r="B77" s="28">
        <v>44227</v>
      </c>
      <c r="C77" s="29">
        <v>9.6444444444444464E-4</v>
      </c>
      <c r="D77" s="29">
        <v>-3.8482682792744249E-3</v>
      </c>
      <c r="E77" s="29">
        <v>-1.4590707294488192E-2</v>
      </c>
      <c r="F77" s="29">
        <v>-9.3262902667128333E-3</v>
      </c>
      <c r="G77" s="29">
        <v>5.6569344326995452E-2</v>
      </c>
      <c r="H77" s="29">
        <v>1.5300000000000001E-2</v>
      </c>
      <c r="J77" s="24">
        <v>69</v>
      </c>
      <c r="K77" s="25">
        <f t="shared" si="32"/>
        <v>0.1260311589989562</v>
      </c>
      <c r="L77" s="25">
        <f t="shared" si="33"/>
        <v>29.258325859033739</v>
      </c>
      <c r="N77" s="26">
        <v>69</v>
      </c>
      <c r="O77" s="30">
        <f t="shared" ca="1" si="20"/>
        <v>9.3675083912989923</v>
      </c>
      <c r="P77" s="30">
        <f t="shared" ca="1" si="20"/>
        <v>14.583739076739215</v>
      </c>
      <c r="Q77" s="30">
        <f t="shared" ca="1" si="20"/>
        <v>31.563813946018538</v>
      </c>
      <c r="R77" s="30">
        <f t="shared" ca="1" si="20"/>
        <v>28.013979820696349</v>
      </c>
      <c r="S77" s="30">
        <f t="shared" ca="1" si="20"/>
        <v>28.917569274203728</v>
      </c>
      <c r="T77" s="30">
        <f t="shared" ca="1" si="20"/>
        <v>23.542586551066094</v>
      </c>
      <c r="U77" s="30">
        <f t="shared" ca="1" si="20"/>
        <v>2.1391946695360886</v>
      </c>
      <c r="V77" s="30">
        <f t="shared" ca="1" si="20"/>
        <v>1.6827596275752508</v>
      </c>
      <c r="W77" s="30">
        <f t="shared" ca="1" si="20"/>
        <v>12.326975443008246</v>
      </c>
      <c r="X77" s="30">
        <f t="shared" ca="1" si="20"/>
        <v>18.422225509933163</v>
      </c>
      <c r="Y77" s="30">
        <f t="shared" ca="1" si="20"/>
        <v>25.61306002660984</v>
      </c>
      <c r="Z77" s="30">
        <f t="shared" ca="1" si="20"/>
        <v>27.767667336055197</v>
      </c>
      <c r="AA77" s="26">
        <v>69</v>
      </c>
      <c r="AB77" s="31">
        <f t="shared" ca="1" si="34"/>
        <v>11</v>
      </c>
      <c r="AC77" s="31">
        <f t="shared" ca="1" si="21"/>
        <v>19</v>
      </c>
      <c r="AD77" s="31">
        <f t="shared" ca="1" si="22"/>
        <v>97</v>
      </c>
      <c r="AE77" s="31">
        <f t="shared" ca="1" si="23"/>
        <v>61</v>
      </c>
      <c r="AF77" s="31">
        <f t="shared" ca="1" si="24"/>
        <v>67</v>
      </c>
      <c r="AG77" s="31">
        <f t="shared" ca="1" si="25"/>
        <v>41</v>
      </c>
      <c r="AH77" s="31">
        <f t="shared" ca="1" si="26"/>
        <v>3</v>
      </c>
      <c r="AI77" s="31">
        <f t="shared" ca="1" si="27"/>
        <v>2</v>
      </c>
      <c r="AJ77" s="31">
        <f t="shared" ca="1" si="28"/>
        <v>16</v>
      </c>
      <c r="AK77" s="31">
        <f t="shared" ca="1" si="29"/>
        <v>27</v>
      </c>
      <c r="AL77" s="31">
        <f t="shared" ca="1" si="30"/>
        <v>49</v>
      </c>
      <c r="AM77" s="31">
        <f t="shared" ca="1" si="31"/>
        <v>59</v>
      </c>
    </row>
    <row r="78" spans="1:39">
      <c r="A78" s="27"/>
      <c r="B78" s="28">
        <v>44196</v>
      </c>
      <c r="C78" s="29">
        <v>9.9500444444444443E-4</v>
      </c>
      <c r="D78" s="29">
        <v>8.6806455290788787E-3</v>
      </c>
      <c r="E78" s="29">
        <v>2.9916262985030695E-2</v>
      </c>
      <c r="F78" s="29">
        <v>2.6470640521946143E-2</v>
      </c>
      <c r="G78" s="29">
        <v>-1.0619557382811506E-2</v>
      </c>
      <c r="H78" s="29">
        <v>1.18E-2</v>
      </c>
      <c r="J78" s="24">
        <v>70</v>
      </c>
      <c r="K78" s="25">
        <f t="shared" si="32"/>
        <v>0.12225022422898751</v>
      </c>
      <c r="L78" s="25">
        <f t="shared" si="33"/>
        <v>29.380576083262728</v>
      </c>
      <c r="N78" s="26">
        <v>70</v>
      </c>
      <c r="O78" s="30">
        <f t="shared" ca="1" si="20"/>
        <v>8.4634651231782794</v>
      </c>
      <c r="P78" s="30">
        <f t="shared" ca="1" si="20"/>
        <v>29.350831155735829</v>
      </c>
      <c r="Q78" s="30">
        <f t="shared" ca="1" si="20"/>
        <v>25.581296022650754</v>
      </c>
      <c r="R78" s="30">
        <f t="shared" ca="1" si="20"/>
        <v>1.290465705008812</v>
      </c>
      <c r="S78" s="30">
        <f t="shared" ca="1" si="20"/>
        <v>25.548311381729597</v>
      </c>
      <c r="T78" s="30">
        <f t="shared" ca="1" si="20"/>
        <v>24.900800852461693</v>
      </c>
      <c r="U78" s="30">
        <f t="shared" ca="1" si="20"/>
        <v>31.924626837784672</v>
      </c>
      <c r="V78" s="30">
        <f t="shared" ca="1" si="20"/>
        <v>6.473656113876288</v>
      </c>
      <c r="W78" s="30">
        <f t="shared" ca="1" si="20"/>
        <v>14.776777251547726</v>
      </c>
      <c r="X78" s="30">
        <f t="shared" ca="1" si="20"/>
        <v>18.254654095547277</v>
      </c>
      <c r="Y78" s="30">
        <f t="shared" ca="1" si="20"/>
        <v>3.5464338514208245</v>
      </c>
      <c r="Z78" s="30">
        <f t="shared" ca="1" si="20"/>
        <v>1.9792916041382467</v>
      </c>
      <c r="AA78" s="26">
        <v>70</v>
      </c>
      <c r="AB78" s="31">
        <f t="shared" ca="1" si="34"/>
        <v>10</v>
      </c>
      <c r="AC78" s="31">
        <f t="shared" ca="1" si="21"/>
        <v>70</v>
      </c>
      <c r="AD78" s="31">
        <f t="shared" ca="1" si="22"/>
        <v>48</v>
      </c>
      <c r="AE78" s="31">
        <f t="shared" ca="1" si="23"/>
        <v>2</v>
      </c>
      <c r="AF78" s="31">
        <f t="shared" ca="1" si="24"/>
        <v>48</v>
      </c>
      <c r="AG78" s="31">
        <f t="shared" ca="1" si="25"/>
        <v>46</v>
      </c>
      <c r="AH78" s="31">
        <f t="shared" ca="1" si="26"/>
        <v>104</v>
      </c>
      <c r="AI78" s="31">
        <f t="shared" ca="1" si="27"/>
        <v>8</v>
      </c>
      <c r="AJ78" s="31">
        <f t="shared" ca="1" si="28"/>
        <v>20</v>
      </c>
      <c r="AK78" s="31">
        <f t="shared" ca="1" si="29"/>
        <v>27</v>
      </c>
      <c r="AL78" s="31">
        <f t="shared" ca="1" si="30"/>
        <v>4</v>
      </c>
      <c r="AM78" s="31">
        <f t="shared" ca="1" si="31"/>
        <v>3</v>
      </c>
    </row>
    <row r="79" spans="1:39">
      <c r="A79" s="27"/>
      <c r="B79" s="28">
        <v>44165</v>
      </c>
      <c r="C79" s="29">
        <v>8.8611111111111117E-4</v>
      </c>
      <c r="D79" s="29">
        <v>5.2889202306394267E-4</v>
      </c>
      <c r="E79" s="29">
        <v>2.940979283527323E-3</v>
      </c>
      <c r="F79" s="29">
        <v>6.6392269148174421E-3</v>
      </c>
      <c r="G79" s="29">
        <v>1.9502499077965973E-2</v>
      </c>
      <c r="H79" s="29">
        <v>8.3000000000000001E-3</v>
      </c>
      <c r="J79" s="24">
        <v>71</v>
      </c>
      <c r="K79" s="25">
        <f t="shared" si="32"/>
        <v>0.11858271750211788</v>
      </c>
      <c r="L79" s="25">
        <f t="shared" si="33"/>
        <v>29.499158800764846</v>
      </c>
      <c r="N79" s="26">
        <v>71</v>
      </c>
      <c r="O79" s="30">
        <f t="shared" ref="O79:Z88" ca="1" si="35">RAND()*sumweights</f>
        <v>31.420375692732531</v>
      </c>
      <c r="P79" s="30">
        <f t="shared" ca="1" si="35"/>
        <v>21.313129777263288</v>
      </c>
      <c r="Q79" s="30">
        <f t="shared" ca="1" si="35"/>
        <v>13.053624826473655</v>
      </c>
      <c r="R79" s="30">
        <f t="shared" ca="1" si="35"/>
        <v>21.069668475499295</v>
      </c>
      <c r="S79" s="30">
        <f t="shared" ca="1" si="35"/>
        <v>5.2465337874116189</v>
      </c>
      <c r="T79" s="30">
        <f t="shared" ca="1" si="35"/>
        <v>28.926821644084061</v>
      </c>
      <c r="U79" s="30">
        <f t="shared" ca="1" si="35"/>
        <v>31.01243485572439</v>
      </c>
      <c r="V79" s="30">
        <f t="shared" ca="1" si="35"/>
        <v>23.558730608917866</v>
      </c>
      <c r="W79" s="30">
        <f t="shared" ca="1" si="35"/>
        <v>16.346523961615546</v>
      </c>
      <c r="X79" s="30">
        <f t="shared" ca="1" si="35"/>
        <v>16.804465789338334</v>
      </c>
      <c r="Y79" s="30">
        <f t="shared" ca="1" si="35"/>
        <v>11.649495147654587</v>
      </c>
      <c r="Z79" s="30">
        <f t="shared" ca="1" si="35"/>
        <v>18.121189296972986</v>
      </c>
      <c r="AA79" s="26">
        <v>71</v>
      </c>
      <c r="AB79" s="31">
        <f t="shared" ca="1" si="34"/>
        <v>94</v>
      </c>
      <c r="AC79" s="31">
        <f t="shared" ca="1" si="21"/>
        <v>34</v>
      </c>
      <c r="AD79" s="31">
        <f t="shared" ca="1" si="22"/>
        <v>17</v>
      </c>
      <c r="AE79" s="31">
        <f t="shared" ca="1" si="23"/>
        <v>33</v>
      </c>
      <c r="AF79" s="31">
        <f t="shared" ca="1" si="24"/>
        <v>6</v>
      </c>
      <c r="AG79" s="31">
        <f t="shared" ca="1" si="25"/>
        <v>67</v>
      </c>
      <c r="AH79" s="31">
        <f t="shared" ca="1" si="26"/>
        <v>88</v>
      </c>
      <c r="AI79" s="31">
        <f t="shared" ca="1" si="27"/>
        <v>41</v>
      </c>
      <c r="AJ79" s="31">
        <f t="shared" ca="1" si="28"/>
        <v>23</v>
      </c>
      <c r="AK79" s="31">
        <f t="shared" ca="1" si="29"/>
        <v>24</v>
      </c>
      <c r="AL79" s="31">
        <f t="shared" ca="1" si="30"/>
        <v>15</v>
      </c>
      <c r="AM79" s="31">
        <f t="shared" ca="1" si="31"/>
        <v>26</v>
      </c>
    </row>
    <row r="80" spans="1:39">
      <c r="A80" s="27"/>
      <c r="B80" s="28">
        <v>44135</v>
      </c>
      <c r="C80" s="29">
        <v>9.6444444444444464E-4</v>
      </c>
      <c r="D80" s="29">
        <v>-4.9788206644274524E-3</v>
      </c>
      <c r="E80" s="29">
        <v>-4.0776690704234952E-2</v>
      </c>
      <c r="F80" s="29">
        <v>-3.3619258439402389E-2</v>
      </c>
      <c r="G80" s="29">
        <v>1.7631350045903327E-2</v>
      </c>
      <c r="H80" s="29">
        <v>2.3E-3</v>
      </c>
      <c r="J80" s="24">
        <v>72</v>
      </c>
      <c r="K80" s="25">
        <f t="shared" si="32"/>
        <v>0.11502523597705434</v>
      </c>
      <c r="L80" s="25">
        <f t="shared" si="33"/>
        <v>29.6141840367419</v>
      </c>
      <c r="N80" s="26">
        <v>72</v>
      </c>
      <c r="O80" s="30">
        <f t="shared" ca="1" si="35"/>
        <v>32.044198818377453</v>
      </c>
      <c r="P80" s="30">
        <f t="shared" ca="1" si="35"/>
        <v>9.8967879579262057</v>
      </c>
      <c r="Q80" s="30">
        <f t="shared" ca="1" si="35"/>
        <v>27.005574566863235</v>
      </c>
      <c r="R80" s="30">
        <f t="shared" ca="1" si="35"/>
        <v>29.781560848630594</v>
      </c>
      <c r="S80" s="30">
        <f t="shared" ca="1" si="35"/>
        <v>26.986478907715714</v>
      </c>
      <c r="T80" s="30">
        <f t="shared" ca="1" si="35"/>
        <v>24.766012628107081</v>
      </c>
      <c r="U80" s="30">
        <f t="shared" ca="1" si="35"/>
        <v>24.598862443911013</v>
      </c>
      <c r="V80" s="30">
        <f t="shared" ca="1" si="35"/>
        <v>8.3289048688924119</v>
      </c>
      <c r="W80" s="30">
        <f t="shared" ca="1" si="35"/>
        <v>8.1165573355749299</v>
      </c>
      <c r="X80" s="30">
        <f t="shared" ca="1" si="35"/>
        <v>30.006518621488716</v>
      </c>
      <c r="Y80" s="30">
        <f t="shared" ca="1" si="35"/>
        <v>4.7133446213492514</v>
      </c>
      <c r="Z80" s="30">
        <f t="shared" ca="1" si="35"/>
        <v>16.251984719302495</v>
      </c>
      <c r="AA80" s="26">
        <v>72</v>
      </c>
      <c r="AB80" s="31">
        <f t="shared" ca="1" si="34"/>
        <v>107</v>
      </c>
      <c r="AC80" s="31">
        <f t="shared" ca="1" si="21"/>
        <v>12</v>
      </c>
      <c r="AD80" s="31">
        <f t="shared" ca="1" si="22"/>
        <v>55</v>
      </c>
      <c r="AE80" s="31">
        <f t="shared" ca="1" si="23"/>
        <v>74</v>
      </c>
      <c r="AF80" s="31">
        <f t="shared" ca="1" si="24"/>
        <v>55</v>
      </c>
      <c r="AG80" s="31">
        <f t="shared" ca="1" si="25"/>
        <v>45</v>
      </c>
      <c r="AH80" s="31">
        <f t="shared" ca="1" si="26"/>
        <v>44</v>
      </c>
      <c r="AI80" s="31">
        <f t="shared" ca="1" si="27"/>
        <v>10</v>
      </c>
      <c r="AJ80" s="31">
        <f t="shared" ca="1" si="28"/>
        <v>10</v>
      </c>
      <c r="AK80" s="31">
        <f t="shared" ca="1" si="29"/>
        <v>76</v>
      </c>
      <c r="AL80" s="31">
        <f t="shared" ca="1" si="30"/>
        <v>6</v>
      </c>
      <c r="AM80" s="31">
        <f t="shared" ca="1" si="31"/>
        <v>22</v>
      </c>
    </row>
    <row r="81" spans="1:39">
      <c r="A81" s="27"/>
      <c r="B81" s="28">
        <v>44104</v>
      </c>
      <c r="C81" s="29">
        <v>1.1366666666666667E-3</v>
      </c>
      <c r="D81" s="29">
        <v>1.8763762677169726E-3</v>
      </c>
      <c r="E81" s="29">
        <v>-5.8859381060151206E-3</v>
      </c>
      <c r="F81" s="29">
        <v>-1.9848461312759191E-3</v>
      </c>
      <c r="G81" s="29">
        <v>1.2756839718220059E-2</v>
      </c>
      <c r="H81" s="29">
        <v>6.7000000000000002E-3</v>
      </c>
      <c r="J81" s="24">
        <v>73</v>
      </c>
      <c r="K81" s="25">
        <f t="shared" si="32"/>
        <v>0.1115744788977427</v>
      </c>
      <c r="L81" s="25">
        <f t="shared" si="33"/>
        <v>29.725758515639644</v>
      </c>
      <c r="N81" s="26">
        <v>73</v>
      </c>
      <c r="O81" s="30">
        <f t="shared" ca="1" si="35"/>
        <v>7.3845044081626217</v>
      </c>
      <c r="P81" s="30">
        <f t="shared" ca="1" si="35"/>
        <v>4.0819334094521551</v>
      </c>
      <c r="Q81" s="30">
        <f t="shared" ca="1" si="35"/>
        <v>9.7050021712597658</v>
      </c>
      <c r="R81" s="30">
        <f t="shared" ca="1" si="35"/>
        <v>14.82092571033473</v>
      </c>
      <c r="S81" s="30">
        <f t="shared" ca="1" si="35"/>
        <v>11.372020899213936</v>
      </c>
      <c r="T81" s="30">
        <f t="shared" ca="1" si="35"/>
        <v>17.55182698545693</v>
      </c>
      <c r="U81" s="30">
        <f t="shared" ca="1" si="35"/>
        <v>3.3867889032242249</v>
      </c>
      <c r="V81" s="30">
        <f t="shared" ca="1" si="35"/>
        <v>27.049129104615645</v>
      </c>
      <c r="W81" s="30">
        <f t="shared" ca="1" si="35"/>
        <v>19.485309068619451</v>
      </c>
      <c r="X81" s="30">
        <f t="shared" ca="1" si="35"/>
        <v>12.069758673790187</v>
      </c>
      <c r="Y81" s="30">
        <f t="shared" ca="1" si="35"/>
        <v>10.800244223664899</v>
      </c>
      <c r="Z81" s="30">
        <f t="shared" ca="1" si="35"/>
        <v>32.392951403725647</v>
      </c>
      <c r="AA81" s="26">
        <v>73</v>
      </c>
      <c r="AB81" s="31">
        <f t="shared" ca="1" si="34"/>
        <v>9</v>
      </c>
      <c r="AC81" s="31">
        <f t="shared" ca="1" si="21"/>
        <v>5</v>
      </c>
      <c r="AD81" s="31">
        <f t="shared" ca="1" si="22"/>
        <v>12</v>
      </c>
      <c r="AE81" s="31">
        <f t="shared" ca="1" si="23"/>
        <v>20</v>
      </c>
      <c r="AF81" s="31">
        <f t="shared" ca="1" si="24"/>
        <v>14</v>
      </c>
      <c r="AG81" s="31">
        <f t="shared" ca="1" si="25"/>
        <v>25</v>
      </c>
      <c r="AH81" s="31">
        <f t="shared" ca="1" si="26"/>
        <v>4</v>
      </c>
      <c r="AI81" s="31">
        <f t="shared" ca="1" si="27"/>
        <v>55</v>
      </c>
      <c r="AJ81" s="31">
        <f t="shared" ca="1" si="28"/>
        <v>29</v>
      </c>
      <c r="AK81" s="31">
        <f t="shared" ca="1" si="29"/>
        <v>15</v>
      </c>
      <c r="AL81" s="31">
        <f t="shared" ca="1" si="30"/>
        <v>13</v>
      </c>
      <c r="AM81" s="31">
        <f t="shared" ca="1" si="31"/>
        <v>118</v>
      </c>
    </row>
    <row r="82" spans="1:39">
      <c r="A82" s="27"/>
      <c r="B82" s="28">
        <v>44074</v>
      </c>
      <c r="C82" s="29">
        <v>1.1000000000000001E-3</v>
      </c>
      <c r="D82" s="29">
        <v>4.1889219365587316E-3</v>
      </c>
      <c r="E82" s="29">
        <v>3.2325765575501597E-2</v>
      </c>
      <c r="F82" s="29">
        <v>1.8645006461140978E-2</v>
      </c>
      <c r="G82" s="29">
        <v>5.2687153762136285E-2</v>
      </c>
      <c r="H82" s="29">
        <v>2.0799999999999999E-2</v>
      </c>
      <c r="J82" s="24">
        <v>74</v>
      </c>
      <c r="K82" s="25">
        <f t="shared" si="32"/>
        <v>0.10822724453081042</v>
      </c>
      <c r="L82" s="25">
        <f t="shared" si="33"/>
        <v>29.833985760170453</v>
      </c>
      <c r="N82" s="26">
        <v>74</v>
      </c>
      <c r="O82" s="30">
        <f t="shared" ca="1" si="35"/>
        <v>19.10145725628924</v>
      </c>
      <c r="P82" s="30">
        <f t="shared" ca="1" si="35"/>
        <v>4.730351023209602</v>
      </c>
      <c r="Q82" s="30">
        <f t="shared" ca="1" si="35"/>
        <v>12.443549602070382</v>
      </c>
      <c r="R82" s="30">
        <f t="shared" ca="1" si="35"/>
        <v>4.9958996349158475</v>
      </c>
      <c r="S82" s="30">
        <f t="shared" ca="1" si="35"/>
        <v>10.107475772110417</v>
      </c>
      <c r="T82" s="30">
        <f t="shared" ca="1" si="35"/>
        <v>8.0503553004564932</v>
      </c>
      <c r="U82" s="30">
        <f t="shared" ca="1" si="35"/>
        <v>23.639196996173887</v>
      </c>
      <c r="V82" s="30">
        <f t="shared" ca="1" si="35"/>
        <v>16.835435746362879</v>
      </c>
      <c r="W82" s="30">
        <f t="shared" ca="1" si="35"/>
        <v>1.029299960327019</v>
      </c>
      <c r="X82" s="30">
        <f t="shared" ca="1" si="35"/>
        <v>27.635954347309962</v>
      </c>
      <c r="Y82" s="30">
        <f t="shared" ca="1" si="35"/>
        <v>5.7662695529155599</v>
      </c>
      <c r="Z82" s="30">
        <f t="shared" ca="1" si="35"/>
        <v>11.646902434024389</v>
      </c>
      <c r="AA82" s="26">
        <v>74</v>
      </c>
      <c r="AB82" s="31">
        <f t="shared" ca="1" si="34"/>
        <v>28</v>
      </c>
      <c r="AC82" s="31">
        <f t="shared" ca="1" si="21"/>
        <v>6</v>
      </c>
      <c r="AD82" s="31">
        <f t="shared" ca="1" si="22"/>
        <v>16</v>
      </c>
      <c r="AE82" s="31">
        <f t="shared" ca="1" si="23"/>
        <v>6</v>
      </c>
      <c r="AF82" s="31">
        <f t="shared" ca="1" si="24"/>
        <v>12</v>
      </c>
      <c r="AG82" s="31">
        <f t="shared" ca="1" si="25"/>
        <v>10</v>
      </c>
      <c r="AH82" s="31">
        <f t="shared" ca="1" si="26"/>
        <v>41</v>
      </c>
      <c r="AI82" s="31">
        <f t="shared" ca="1" si="27"/>
        <v>24</v>
      </c>
      <c r="AJ82" s="31">
        <f t="shared" ca="1" si="28"/>
        <v>2</v>
      </c>
      <c r="AK82" s="31">
        <f t="shared" ca="1" si="29"/>
        <v>58</v>
      </c>
      <c r="AL82" s="31">
        <f t="shared" ca="1" si="30"/>
        <v>7</v>
      </c>
      <c r="AM82" s="31">
        <f t="shared" ca="1" si="31"/>
        <v>15</v>
      </c>
    </row>
    <row r="83" spans="1:39">
      <c r="A83" s="27"/>
      <c r="B83" s="28">
        <v>44043</v>
      </c>
      <c r="C83" s="29">
        <v>1.0833333333333333E-3</v>
      </c>
      <c r="D83" s="29">
        <v>1.9607435222650516E-3</v>
      </c>
      <c r="E83" s="29">
        <v>5.0722362503481389E-3</v>
      </c>
      <c r="F83" s="29">
        <v>8.2516441245812366E-3</v>
      </c>
      <c r="G83" s="29">
        <v>8.2370547936233551E-2</v>
      </c>
      <c r="H83" s="29">
        <v>1.2199999999999999E-2</v>
      </c>
      <c r="J83" s="24">
        <v>75</v>
      </c>
      <c r="K83" s="25">
        <f t="shared" si="32"/>
        <v>0.10498042719488611</v>
      </c>
      <c r="L83" s="25">
        <f t="shared" si="33"/>
        <v>29.938966187365338</v>
      </c>
      <c r="N83" s="26">
        <v>75</v>
      </c>
      <c r="O83" s="30">
        <f t="shared" ca="1" si="35"/>
        <v>21.148411479001702</v>
      </c>
      <c r="P83" s="30">
        <f t="shared" ca="1" si="35"/>
        <v>29.020370283545454</v>
      </c>
      <c r="Q83" s="30">
        <f t="shared" ca="1" si="35"/>
        <v>22.079258748916324</v>
      </c>
      <c r="R83" s="30">
        <f t="shared" ca="1" si="35"/>
        <v>21.521014424233861</v>
      </c>
      <c r="S83" s="30">
        <f t="shared" ca="1" si="35"/>
        <v>2.7129540300631927</v>
      </c>
      <c r="T83" s="30">
        <f t="shared" ca="1" si="35"/>
        <v>13.807930607537084</v>
      </c>
      <c r="U83" s="30">
        <f t="shared" ca="1" si="35"/>
        <v>9.5788284762871641</v>
      </c>
      <c r="V83" s="30">
        <f t="shared" ca="1" si="35"/>
        <v>0.58533192326382522</v>
      </c>
      <c r="W83" s="30">
        <f t="shared" ca="1" si="35"/>
        <v>20.734634457432605</v>
      </c>
      <c r="X83" s="30">
        <f t="shared" ca="1" si="35"/>
        <v>26.827690642640583</v>
      </c>
      <c r="Y83" s="30">
        <f t="shared" ca="1" si="35"/>
        <v>25.230940140885664</v>
      </c>
      <c r="Z83" s="30">
        <f t="shared" ca="1" si="35"/>
        <v>18.983646014498884</v>
      </c>
      <c r="AA83" s="26">
        <v>75</v>
      </c>
      <c r="AB83" s="31">
        <f t="shared" ca="1" si="34"/>
        <v>34</v>
      </c>
      <c r="AC83" s="31">
        <f t="shared" ca="1" si="21"/>
        <v>68</v>
      </c>
      <c r="AD83" s="31">
        <f t="shared" ca="1" si="22"/>
        <v>36</v>
      </c>
      <c r="AE83" s="31">
        <f t="shared" ca="1" si="23"/>
        <v>35</v>
      </c>
      <c r="AF83" s="31">
        <f t="shared" ca="1" si="24"/>
        <v>3</v>
      </c>
      <c r="AG83" s="31">
        <f t="shared" ca="1" si="25"/>
        <v>18</v>
      </c>
      <c r="AH83" s="31">
        <f t="shared" ca="1" si="26"/>
        <v>12</v>
      </c>
      <c r="AI83" s="31">
        <f t="shared" ca="1" si="27"/>
        <v>1</v>
      </c>
      <c r="AJ83" s="31">
        <f t="shared" ca="1" si="28"/>
        <v>32</v>
      </c>
      <c r="AK83" s="31">
        <f t="shared" ca="1" si="29"/>
        <v>54</v>
      </c>
      <c r="AL83" s="31">
        <f t="shared" ca="1" si="30"/>
        <v>47</v>
      </c>
      <c r="AM83" s="31">
        <f t="shared" ca="1" si="31"/>
        <v>28</v>
      </c>
    </row>
    <row r="84" spans="1:39">
      <c r="A84" s="27"/>
      <c r="B84" s="28">
        <v>44012</v>
      </c>
      <c r="C84" s="29">
        <v>1.151736111111111E-3</v>
      </c>
      <c r="D84" s="29">
        <v>2.0533666875131029E-3</v>
      </c>
      <c r="E84" s="29">
        <v>-4.1220950459991412E-3</v>
      </c>
      <c r="F84" s="29">
        <v>-7.7050472487683042E-4</v>
      </c>
      <c r="G84" s="29">
        <v>9.7089304800896947E-3</v>
      </c>
      <c r="H84" s="29">
        <v>-2.9999999999999997E-4</v>
      </c>
      <c r="J84" s="24">
        <v>76</v>
      </c>
      <c r="K84" s="25">
        <f t="shared" si="32"/>
        <v>0.10183101437903952</v>
      </c>
      <c r="L84" s="25">
        <f t="shared" si="33"/>
        <v>30.040797201744379</v>
      </c>
      <c r="N84" s="26">
        <v>76</v>
      </c>
      <c r="O84" s="30">
        <f t="shared" ca="1" si="35"/>
        <v>26.837875159606373</v>
      </c>
      <c r="P84" s="30">
        <f t="shared" ca="1" si="35"/>
        <v>23.217303227598496</v>
      </c>
      <c r="Q84" s="30">
        <f t="shared" ca="1" si="35"/>
        <v>0.58607880716253136</v>
      </c>
      <c r="R84" s="30">
        <f t="shared" ca="1" si="35"/>
        <v>22.961972023123554</v>
      </c>
      <c r="S84" s="30">
        <f t="shared" ca="1" si="35"/>
        <v>14.523681932324763</v>
      </c>
      <c r="T84" s="30">
        <f t="shared" ca="1" si="35"/>
        <v>7.4460093112995391</v>
      </c>
      <c r="U84" s="30">
        <f t="shared" ca="1" si="35"/>
        <v>9.2370341980186428</v>
      </c>
      <c r="V84" s="30">
        <f t="shared" ca="1" si="35"/>
        <v>26.081382985233539</v>
      </c>
      <c r="W84" s="30">
        <f t="shared" ca="1" si="35"/>
        <v>9.3420856840745152</v>
      </c>
      <c r="X84" s="30">
        <f t="shared" ca="1" si="35"/>
        <v>12.718700873929041</v>
      </c>
      <c r="Y84" s="30">
        <f t="shared" ca="1" si="35"/>
        <v>0.50553471618657841</v>
      </c>
      <c r="Z84" s="30">
        <f t="shared" ca="1" si="35"/>
        <v>0.84686504824406039</v>
      </c>
      <c r="AA84" s="26">
        <v>76</v>
      </c>
      <c r="AB84" s="31">
        <f t="shared" ca="1" si="34"/>
        <v>54</v>
      </c>
      <c r="AC84" s="31">
        <f t="shared" ca="1" si="21"/>
        <v>40</v>
      </c>
      <c r="AD84" s="31">
        <f t="shared" ca="1" si="22"/>
        <v>1</v>
      </c>
      <c r="AE84" s="31">
        <f t="shared" ca="1" si="23"/>
        <v>39</v>
      </c>
      <c r="AF84" s="31">
        <f t="shared" ca="1" si="24"/>
        <v>19</v>
      </c>
      <c r="AG84" s="31">
        <f t="shared" ca="1" si="25"/>
        <v>9</v>
      </c>
      <c r="AH84" s="31">
        <f t="shared" ca="1" si="26"/>
        <v>11</v>
      </c>
      <c r="AI84" s="31">
        <f t="shared" ca="1" si="27"/>
        <v>51</v>
      </c>
      <c r="AJ84" s="31">
        <f t="shared" ca="1" si="28"/>
        <v>11</v>
      </c>
      <c r="AK84" s="31">
        <f t="shared" ca="1" si="29"/>
        <v>16</v>
      </c>
      <c r="AL84" s="31">
        <f t="shared" ca="1" si="30"/>
        <v>1</v>
      </c>
      <c r="AM84" s="31">
        <f t="shared" ca="1" si="31"/>
        <v>1</v>
      </c>
    </row>
    <row r="85" spans="1:39">
      <c r="A85" s="27"/>
      <c r="B85" s="28">
        <v>43982</v>
      </c>
      <c r="C85" s="29">
        <v>1.0422222222222224E-3</v>
      </c>
      <c r="D85" s="29">
        <v>4.7861923064838052E-3</v>
      </c>
      <c r="E85" s="29">
        <v>1.9659528225208778E-2</v>
      </c>
      <c r="F85" s="29">
        <v>1.3836511870128909E-2</v>
      </c>
      <c r="G85" s="29">
        <v>-1.5004014206872474E-2</v>
      </c>
      <c r="H85" s="29">
        <v>3.4000000000000002E-3</v>
      </c>
      <c r="J85" s="24">
        <v>77</v>
      </c>
      <c r="K85" s="25">
        <f t="shared" si="32"/>
        <v>9.8776083947668333E-2</v>
      </c>
      <c r="L85" s="25">
        <f t="shared" si="33"/>
        <v>30.139573285692048</v>
      </c>
      <c r="N85" s="26">
        <v>77</v>
      </c>
      <c r="O85" s="30">
        <f t="shared" ca="1" si="35"/>
        <v>33.121117410254982</v>
      </c>
      <c r="P85" s="30">
        <f t="shared" ca="1" si="35"/>
        <v>23.621538909798812</v>
      </c>
      <c r="Q85" s="30">
        <f t="shared" ca="1" si="35"/>
        <v>15.044701612992792</v>
      </c>
      <c r="R85" s="30">
        <f t="shared" ca="1" si="35"/>
        <v>11.936923766426531</v>
      </c>
      <c r="S85" s="30">
        <f t="shared" ca="1" si="35"/>
        <v>28.645199425340312</v>
      </c>
      <c r="T85" s="30">
        <f t="shared" ca="1" si="35"/>
        <v>28.291252314036509</v>
      </c>
      <c r="U85" s="30">
        <f t="shared" ca="1" si="35"/>
        <v>6.8268252333322108</v>
      </c>
      <c r="V85" s="30">
        <f t="shared" ca="1" si="35"/>
        <v>19.381626816275045</v>
      </c>
      <c r="W85" s="30">
        <f t="shared" ca="1" si="35"/>
        <v>25.615372840500221</v>
      </c>
      <c r="X85" s="30">
        <f t="shared" ca="1" si="35"/>
        <v>3.468092772875758</v>
      </c>
      <c r="Y85" s="30">
        <f t="shared" ca="1" si="35"/>
        <v>20.70537975126593</v>
      </c>
      <c r="Z85" s="30">
        <f t="shared" ca="1" si="35"/>
        <v>0.85593335536655135</v>
      </c>
      <c r="AA85" s="26">
        <v>77</v>
      </c>
      <c r="AB85" s="31">
        <f t="shared" ca="1" si="34"/>
        <v>167</v>
      </c>
      <c r="AC85" s="31">
        <f t="shared" ca="1" si="21"/>
        <v>41</v>
      </c>
      <c r="AD85" s="31">
        <f t="shared" ca="1" si="22"/>
        <v>20</v>
      </c>
      <c r="AE85" s="31">
        <f t="shared" ca="1" si="23"/>
        <v>15</v>
      </c>
      <c r="AF85" s="31">
        <f t="shared" ca="1" si="24"/>
        <v>65</v>
      </c>
      <c r="AG85" s="31">
        <f t="shared" ca="1" si="25"/>
        <v>63</v>
      </c>
      <c r="AH85" s="31">
        <f t="shared" ca="1" si="26"/>
        <v>8</v>
      </c>
      <c r="AI85" s="31">
        <f t="shared" ca="1" si="27"/>
        <v>29</v>
      </c>
      <c r="AJ85" s="31">
        <f t="shared" ca="1" si="28"/>
        <v>49</v>
      </c>
      <c r="AK85" s="31">
        <f t="shared" ca="1" si="29"/>
        <v>4</v>
      </c>
      <c r="AL85" s="31">
        <f t="shared" ca="1" si="30"/>
        <v>32</v>
      </c>
      <c r="AM85" s="31">
        <f t="shared" ca="1" si="31"/>
        <v>1</v>
      </c>
    </row>
    <row r="86" spans="1:39">
      <c r="A86" s="27"/>
      <c r="B86" s="28">
        <v>43951</v>
      </c>
      <c r="C86" s="29">
        <v>1.1883333333333331E-3</v>
      </c>
      <c r="D86" s="29">
        <v>6.807957979182433E-5</v>
      </c>
      <c r="E86" s="29">
        <v>-3.6152287034840747E-3</v>
      </c>
      <c r="F86" s="29">
        <v>8.53725387995663E-4</v>
      </c>
      <c r="G86" s="29">
        <v>-2.6196185147830287E-2</v>
      </c>
      <c r="H86" s="29">
        <v>8.3999999999999995E-3</v>
      </c>
      <c r="J86" s="24">
        <v>78</v>
      </c>
      <c r="K86" s="25">
        <f t="shared" si="32"/>
        <v>9.5812801429238287E-2</v>
      </c>
      <c r="L86" s="25">
        <f t="shared" si="33"/>
        <v>30.235386087121288</v>
      </c>
      <c r="N86" s="26">
        <v>78</v>
      </c>
      <c r="O86" s="30">
        <f t="shared" ca="1" si="35"/>
        <v>13.069074976951841</v>
      </c>
      <c r="P86" s="30">
        <f t="shared" ca="1" si="35"/>
        <v>30.723797932884263</v>
      </c>
      <c r="Q86" s="30">
        <f t="shared" ca="1" si="35"/>
        <v>10.554999599024404</v>
      </c>
      <c r="R86" s="30">
        <f t="shared" ca="1" si="35"/>
        <v>18.287347310240627</v>
      </c>
      <c r="S86" s="30">
        <f t="shared" ca="1" si="35"/>
        <v>30.044509863587329</v>
      </c>
      <c r="T86" s="30">
        <f t="shared" ca="1" si="35"/>
        <v>10.734960373159598</v>
      </c>
      <c r="U86" s="30">
        <f t="shared" ca="1" si="35"/>
        <v>32.89113195524002</v>
      </c>
      <c r="V86" s="30">
        <f t="shared" ca="1" si="35"/>
        <v>20.282385684018788</v>
      </c>
      <c r="W86" s="30">
        <f t="shared" ca="1" si="35"/>
        <v>19.726015280306722</v>
      </c>
      <c r="X86" s="30">
        <f t="shared" ca="1" si="35"/>
        <v>12.250148002997804</v>
      </c>
      <c r="Y86" s="30">
        <f t="shared" ca="1" si="35"/>
        <v>12.166040169566278</v>
      </c>
      <c r="Z86" s="30">
        <f t="shared" ca="1" si="35"/>
        <v>14.103740699299275</v>
      </c>
      <c r="AA86" s="26">
        <v>78</v>
      </c>
      <c r="AB86" s="31">
        <f t="shared" ca="1" si="34"/>
        <v>17</v>
      </c>
      <c r="AC86" s="31">
        <f t="shared" ca="1" si="21"/>
        <v>84</v>
      </c>
      <c r="AD86" s="31">
        <f t="shared" ca="1" si="22"/>
        <v>13</v>
      </c>
      <c r="AE86" s="31">
        <f t="shared" ca="1" si="23"/>
        <v>27</v>
      </c>
      <c r="AF86" s="31">
        <f t="shared" ca="1" si="24"/>
        <v>77</v>
      </c>
      <c r="AG86" s="31">
        <f t="shared" ca="1" si="25"/>
        <v>13</v>
      </c>
      <c r="AH86" s="31">
        <f t="shared" ca="1" si="26"/>
        <v>142</v>
      </c>
      <c r="AI86" s="31">
        <f t="shared" ca="1" si="27"/>
        <v>31</v>
      </c>
      <c r="AJ86" s="31">
        <f t="shared" ca="1" si="28"/>
        <v>30</v>
      </c>
      <c r="AK86" s="31">
        <f t="shared" ca="1" si="29"/>
        <v>16</v>
      </c>
      <c r="AL86" s="31">
        <f t="shared" ca="1" si="30"/>
        <v>15</v>
      </c>
      <c r="AM86" s="31">
        <f t="shared" ca="1" si="31"/>
        <v>19</v>
      </c>
    </row>
    <row r="87" spans="1:39">
      <c r="A87" s="27"/>
      <c r="B87" s="28">
        <v>43921</v>
      </c>
      <c r="C87" s="29">
        <v>1.2788888888888889E-3</v>
      </c>
      <c r="D87" s="29">
        <v>1.0114208028946026E-2</v>
      </c>
      <c r="E87" s="29">
        <v>2.8958284417312408E-2</v>
      </c>
      <c r="F87" s="29">
        <v>2.0655812886952507E-2</v>
      </c>
      <c r="G87" s="29">
        <v>-5.8748018497013277E-2</v>
      </c>
      <c r="H87" s="29">
        <v>6.8000000000000005E-3</v>
      </c>
      <c r="J87" s="24">
        <v>79</v>
      </c>
      <c r="K87" s="25">
        <f t="shared" si="32"/>
        <v>9.2938417386361133E-2</v>
      </c>
      <c r="L87" s="25">
        <f t="shared" si="33"/>
        <v>30.328324504507648</v>
      </c>
      <c r="N87" s="26">
        <v>79</v>
      </c>
      <c r="O87" s="30">
        <f t="shared" ca="1" si="35"/>
        <v>6.5882687095426871</v>
      </c>
      <c r="P87" s="30">
        <f t="shared" ca="1" si="35"/>
        <v>9.2895787811981538</v>
      </c>
      <c r="Q87" s="30">
        <f t="shared" ca="1" si="35"/>
        <v>18.941174191855399</v>
      </c>
      <c r="R87" s="30">
        <f t="shared" ca="1" si="35"/>
        <v>7.1447695027696172</v>
      </c>
      <c r="S87" s="30">
        <f t="shared" ca="1" si="35"/>
        <v>10.462646325874195</v>
      </c>
      <c r="T87" s="30">
        <f t="shared" ca="1" si="35"/>
        <v>4.9958516597854761</v>
      </c>
      <c r="U87" s="30">
        <f t="shared" ca="1" si="35"/>
        <v>29.525303315256991</v>
      </c>
      <c r="V87" s="30">
        <f t="shared" ca="1" si="35"/>
        <v>6.8637301845102581</v>
      </c>
      <c r="W87" s="30">
        <f t="shared" ca="1" si="35"/>
        <v>16.193948256501798</v>
      </c>
      <c r="X87" s="30">
        <f t="shared" ca="1" si="35"/>
        <v>32.310256026876239</v>
      </c>
      <c r="Y87" s="30">
        <f t="shared" ca="1" si="35"/>
        <v>17.812448569450758</v>
      </c>
      <c r="Z87" s="30">
        <f t="shared" ca="1" si="35"/>
        <v>23.452714851309743</v>
      </c>
      <c r="AA87" s="26">
        <v>79</v>
      </c>
      <c r="AB87" s="31">
        <f t="shared" ca="1" si="34"/>
        <v>8</v>
      </c>
      <c r="AC87" s="31">
        <f t="shared" ca="1" si="21"/>
        <v>11</v>
      </c>
      <c r="AD87" s="31">
        <f t="shared" ca="1" si="22"/>
        <v>28</v>
      </c>
      <c r="AE87" s="31">
        <f t="shared" ca="1" si="23"/>
        <v>8</v>
      </c>
      <c r="AF87" s="31">
        <f t="shared" ca="1" si="24"/>
        <v>13</v>
      </c>
      <c r="AG87" s="31">
        <f t="shared" ca="1" si="25"/>
        <v>6</v>
      </c>
      <c r="AH87" s="31">
        <f t="shared" ca="1" si="26"/>
        <v>72</v>
      </c>
      <c r="AI87" s="31">
        <f t="shared" ca="1" si="27"/>
        <v>8</v>
      </c>
      <c r="AJ87" s="31">
        <f t="shared" ca="1" si="28"/>
        <v>22</v>
      </c>
      <c r="AK87" s="31">
        <f t="shared" ca="1" si="29"/>
        <v>115</v>
      </c>
      <c r="AL87" s="31">
        <f t="shared" ca="1" si="30"/>
        <v>26</v>
      </c>
      <c r="AM87" s="31">
        <f t="shared" ca="1" si="31"/>
        <v>40</v>
      </c>
    </row>
    <row r="88" spans="1:39">
      <c r="A88" s="27"/>
      <c r="B88" s="28">
        <v>43890</v>
      </c>
      <c r="C88" s="29">
        <v>1.3825347222222223E-3</v>
      </c>
      <c r="D88" s="29">
        <v>-3.389848379409921E-3</v>
      </c>
      <c r="E88" s="29">
        <v>-1.1329188249324051E-2</v>
      </c>
      <c r="F88" s="29">
        <v>-2.6592330405117437E-4</v>
      </c>
      <c r="G88" s="29">
        <v>5.8859137466009015E-2</v>
      </c>
      <c r="H88" s="29">
        <v>8.3999999999999995E-3</v>
      </c>
      <c r="J88" s="24">
        <v>80</v>
      </c>
      <c r="K88" s="25">
        <f t="shared" si="32"/>
        <v>9.0150264864770291E-2</v>
      </c>
      <c r="L88" s="25">
        <f t="shared" si="33"/>
        <v>30.41847476937242</v>
      </c>
      <c r="N88" s="26">
        <v>80</v>
      </c>
      <c r="O88" s="30">
        <f t="shared" ca="1" si="35"/>
        <v>11.500118833254456</v>
      </c>
      <c r="P88" s="30">
        <f t="shared" ca="1" si="35"/>
        <v>19.80982832515544</v>
      </c>
      <c r="Q88" s="30">
        <f t="shared" ca="1" si="35"/>
        <v>3.0343919319469692</v>
      </c>
      <c r="R88" s="30">
        <f t="shared" ca="1" si="35"/>
        <v>25.344977515687582</v>
      </c>
      <c r="S88" s="30">
        <f t="shared" ca="1" si="35"/>
        <v>21.662829080623705</v>
      </c>
      <c r="T88" s="30">
        <f t="shared" ca="1" si="35"/>
        <v>31.416199068179576</v>
      </c>
      <c r="U88" s="30">
        <f t="shared" ca="1" si="35"/>
        <v>15.103787014125841</v>
      </c>
      <c r="V88" s="30">
        <f t="shared" ca="1" si="35"/>
        <v>16.637760589150666</v>
      </c>
      <c r="W88" s="30">
        <f t="shared" ca="1" si="35"/>
        <v>6.3720463726764152</v>
      </c>
      <c r="X88" s="30">
        <f t="shared" ca="1" si="35"/>
        <v>17.716966822006981</v>
      </c>
      <c r="Y88" s="30">
        <f t="shared" ca="1" si="35"/>
        <v>13.961397918667375</v>
      </c>
      <c r="Z88" s="30">
        <f t="shared" ca="1" si="35"/>
        <v>20.490520747507915</v>
      </c>
      <c r="AA88" s="26">
        <v>80</v>
      </c>
      <c r="AB88" s="31">
        <f t="shared" ca="1" si="34"/>
        <v>14</v>
      </c>
      <c r="AC88" s="31">
        <f t="shared" ca="1" si="21"/>
        <v>30</v>
      </c>
      <c r="AD88" s="31">
        <f t="shared" ca="1" si="22"/>
        <v>4</v>
      </c>
      <c r="AE88" s="31">
        <f t="shared" ca="1" si="23"/>
        <v>47</v>
      </c>
      <c r="AF88" s="31">
        <f t="shared" ca="1" si="24"/>
        <v>35</v>
      </c>
      <c r="AG88" s="31">
        <f t="shared" ca="1" si="25"/>
        <v>94</v>
      </c>
      <c r="AH88" s="31">
        <f t="shared" ca="1" si="26"/>
        <v>20</v>
      </c>
      <c r="AI88" s="31">
        <f t="shared" ca="1" si="27"/>
        <v>23</v>
      </c>
      <c r="AJ88" s="31">
        <f t="shared" ca="1" si="28"/>
        <v>7</v>
      </c>
      <c r="AK88" s="31">
        <f t="shared" ca="1" si="29"/>
        <v>25</v>
      </c>
      <c r="AL88" s="31">
        <f t="shared" ca="1" si="30"/>
        <v>18</v>
      </c>
      <c r="AM88" s="31">
        <f t="shared" ca="1" si="31"/>
        <v>32</v>
      </c>
    </row>
    <row r="89" spans="1:39">
      <c r="A89" s="27"/>
      <c r="B89" s="28">
        <v>43861</v>
      </c>
      <c r="C89" s="29">
        <v>1.5596875000000001E-3</v>
      </c>
      <c r="D89" s="29">
        <v>2.1714666117196302E-3</v>
      </c>
      <c r="E89" s="29">
        <v>-1.2202578997536073E-2</v>
      </c>
      <c r="F89" s="29">
        <v>-4.5548729838525981E-3</v>
      </c>
      <c r="G89" s="29">
        <v>8.8016446497295009E-2</v>
      </c>
      <c r="H89" s="29">
        <v>-2E-3</v>
      </c>
      <c r="J89" s="24">
        <v>81</v>
      </c>
      <c r="K89" s="25">
        <f t="shared" si="32"/>
        <v>8.744575691882718E-2</v>
      </c>
      <c r="L89" s="25">
        <f t="shared" si="33"/>
        <v>30.505920526291249</v>
      </c>
      <c r="N89" s="26">
        <v>81</v>
      </c>
      <c r="O89" s="30">
        <f t="shared" ref="O89:Z98" ca="1" si="36">RAND()*sumweights</f>
        <v>9.7224495790095844</v>
      </c>
      <c r="P89" s="30">
        <f t="shared" ca="1" si="36"/>
        <v>24.706354285767208</v>
      </c>
      <c r="Q89" s="30">
        <f t="shared" ca="1" si="36"/>
        <v>2.2426280083260974</v>
      </c>
      <c r="R89" s="30">
        <f t="shared" ca="1" si="36"/>
        <v>15.873989653650996</v>
      </c>
      <c r="S89" s="30">
        <f t="shared" ca="1" si="36"/>
        <v>9.3926413521506547</v>
      </c>
      <c r="T89" s="30">
        <f t="shared" ca="1" si="36"/>
        <v>32.715442572133362</v>
      </c>
      <c r="U89" s="30">
        <f t="shared" ca="1" si="36"/>
        <v>2.7130212841588266</v>
      </c>
      <c r="V89" s="30">
        <f t="shared" ca="1" si="36"/>
        <v>25.479950772811321</v>
      </c>
      <c r="W89" s="30">
        <f t="shared" ca="1" si="36"/>
        <v>32.325513649166126</v>
      </c>
      <c r="X89" s="30">
        <f t="shared" ca="1" si="36"/>
        <v>5.1509157888842623</v>
      </c>
      <c r="Y89" s="30">
        <f t="shared" ca="1" si="36"/>
        <v>2.5388910779133216</v>
      </c>
      <c r="Z89" s="30">
        <f t="shared" ca="1" si="36"/>
        <v>22.301895816403167</v>
      </c>
      <c r="AA89" s="26">
        <v>81</v>
      </c>
      <c r="AB89" s="31">
        <f t="shared" ca="1" si="34"/>
        <v>12</v>
      </c>
      <c r="AC89" s="31">
        <f t="shared" ca="1" si="21"/>
        <v>45</v>
      </c>
      <c r="AD89" s="31">
        <f t="shared" ca="1" si="22"/>
        <v>3</v>
      </c>
      <c r="AE89" s="31">
        <f t="shared" ca="1" si="23"/>
        <v>22</v>
      </c>
      <c r="AF89" s="31">
        <f t="shared" ca="1" si="24"/>
        <v>11</v>
      </c>
      <c r="AG89" s="31">
        <f t="shared" ca="1" si="25"/>
        <v>131</v>
      </c>
      <c r="AH89" s="31">
        <f t="shared" ca="1" si="26"/>
        <v>3</v>
      </c>
      <c r="AI89" s="31">
        <f t="shared" ca="1" si="27"/>
        <v>48</v>
      </c>
      <c r="AJ89" s="31">
        <f t="shared" ca="1" si="28"/>
        <v>115</v>
      </c>
      <c r="AK89" s="31">
        <f t="shared" ca="1" si="29"/>
        <v>6</v>
      </c>
      <c r="AL89" s="31">
        <f t="shared" ca="1" si="30"/>
        <v>3</v>
      </c>
      <c r="AM89" s="31">
        <f t="shared" ca="1" si="31"/>
        <v>37</v>
      </c>
    </row>
    <row r="90" spans="1:39">
      <c r="A90" s="27"/>
      <c r="B90" s="28">
        <v>43830</v>
      </c>
      <c r="C90" s="29">
        <v>1.5672222222222222E-3</v>
      </c>
      <c r="D90" s="29">
        <v>8.76734815699165E-3</v>
      </c>
      <c r="E90" s="29">
        <v>2.8423461956396112E-2</v>
      </c>
      <c r="F90" s="29">
        <v>1.6195608819464358E-2</v>
      </c>
      <c r="G90" s="29">
        <v>-0.1086795084511305</v>
      </c>
      <c r="H90" s="29">
        <v>-4.5000000000000005E-3</v>
      </c>
      <c r="J90" s="24">
        <v>82</v>
      </c>
      <c r="K90" s="25">
        <f t="shared" si="32"/>
        <v>8.4822384211262369E-2</v>
      </c>
      <c r="L90" s="25">
        <f t="shared" si="33"/>
        <v>30.590742910502509</v>
      </c>
      <c r="N90" s="26">
        <v>82</v>
      </c>
      <c r="O90" s="30">
        <f t="shared" ca="1" si="36"/>
        <v>12.758760363924234</v>
      </c>
      <c r="P90" s="30">
        <f t="shared" ca="1" si="36"/>
        <v>4.6343289544424362</v>
      </c>
      <c r="Q90" s="30">
        <f t="shared" ca="1" si="36"/>
        <v>28.351760739852491</v>
      </c>
      <c r="R90" s="30">
        <f t="shared" ca="1" si="36"/>
        <v>21.664623243372095</v>
      </c>
      <c r="S90" s="30">
        <f t="shared" ca="1" si="36"/>
        <v>10.137373928945053</v>
      </c>
      <c r="T90" s="30">
        <f t="shared" ca="1" si="36"/>
        <v>13.232654600678348</v>
      </c>
      <c r="U90" s="30">
        <f t="shared" ca="1" si="36"/>
        <v>2.0697960464986496</v>
      </c>
      <c r="V90" s="30">
        <f t="shared" ca="1" si="36"/>
        <v>32.161991322377688</v>
      </c>
      <c r="W90" s="30">
        <f t="shared" ca="1" si="36"/>
        <v>27.989469080692785</v>
      </c>
      <c r="X90" s="30">
        <f t="shared" ca="1" si="36"/>
        <v>26.670858190535508</v>
      </c>
      <c r="Y90" s="30">
        <f t="shared" ca="1" si="36"/>
        <v>4.8199013132302229</v>
      </c>
      <c r="Z90" s="30">
        <f t="shared" ca="1" si="36"/>
        <v>16.20653825730043</v>
      </c>
      <c r="AA90" s="26">
        <v>82</v>
      </c>
      <c r="AB90" s="31">
        <f t="shared" ca="1" si="34"/>
        <v>16</v>
      </c>
      <c r="AC90" s="31">
        <f t="shared" ca="1" si="21"/>
        <v>5</v>
      </c>
      <c r="AD90" s="31">
        <f t="shared" ca="1" si="22"/>
        <v>63</v>
      </c>
      <c r="AE90" s="31">
        <f t="shared" ca="1" si="23"/>
        <v>35</v>
      </c>
      <c r="AF90" s="31">
        <f t="shared" ca="1" si="24"/>
        <v>12</v>
      </c>
      <c r="AG90" s="31">
        <f t="shared" ca="1" si="25"/>
        <v>17</v>
      </c>
      <c r="AH90" s="31">
        <f t="shared" ca="1" si="26"/>
        <v>3</v>
      </c>
      <c r="AI90" s="31">
        <f t="shared" ca="1" si="27"/>
        <v>110</v>
      </c>
      <c r="AJ90" s="31">
        <f t="shared" ca="1" si="28"/>
        <v>61</v>
      </c>
      <c r="AK90" s="31">
        <f t="shared" ca="1" si="29"/>
        <v>53</v>
      </c>
      <c r="AL90" s="31">
        <f t="shared" ca="1" si="30"/>
        <v>6</v>
      </c>
      <c r="AM90" s="31">
        <f t="shared" ca="1" si="31"/>
        <v>22</v>
      </c>
    </row>
    <row r="91" spans="1:39">
      <c r="A91" s="27"/>
      <c r="B91" s="28">
        <v>43799</v>
      </c>
      <c r="C91" s="29">
        <v>1.5166666666666668E-3</v>
      </c>
      <c r="D91" s="29">
        <v>3.6481122891101059E-3</v>
      </c>
      <c r="E91" s="29">
        <v>2.2737483270830472E-2</v>
      </c>
      <c r="F91" s="29">
        <v>1.6884084627937002E-2</v>
      </c>
      <c r="G91" s="29">
        <v>6.565386965188269E-3</v>
      </c>
      <c r="H91" s="29">
        <v>3.3E-3</v>
      </c>
      <c r="J91" s="24">
        <v>83</v>
      </c>
      <c r="K91" s="25">
        <f t="shared" si="32"/>
        <v>8.2277712684924495E-2</v>
      </c>
      <c r="L91" s="25">
        <f t="shared" si="33"/>
        <v>30.673020623187433</v>
      </c>
      <c r="N91" s="26">
        <v>83</v>
      </c>
      <c r="O91" s="30">
        <f t="shared" ca="1" si="36"/>
        <v>0.87108748511920231</v>
      </c>
      <c r="P91" s="30">
        <f t="shared" ca="1" si="36"/>
        <v>26.065134722913971</v>
      </c>
      <c r="Q91" s="30">
        <f t="shared" ca="1" si="36"/>
        <v>13.445362185948069</v>
      </c>
      <c r="R91" s="30">
        <f t="shared" ca="1" si="36"/>
        <v>14.157476860704733</v>
      </c>
      <c r="S91" s="30">
        <f t="shared" ca="1" si="36"/>
        <v>24.784904152589455</v>
      </c>
      <c r="T91" s="30">
        <f t="shared" ca="1" si="36"/>
        <v>3.7867238402776731</v>
      </c>
      <c r="U91" s="30">
        <f t="shared" ca="1" si="36"/>
        <v>9.4705441978390983</v>
      </c>
      <c r="V91" s="30">
        <f t="shared" ca="1" si="36"/>
        <v>2.4476603058097344</v>
      </c>
      <c r="W91" s="30">
        <f t="shared" ca="1" si="36"/>
        <v>25.823695654405466</v>
      </c>
      <c r="X91" s="30">
        <f t="shared" ca="1" si="36"/>
        <v>18.902833374515222</v>
      </c>
      <c r="Y91" s="30">
        <f t="shared" ca="1" si="36"/>
        <v>11.383021738771641</v>
      </c>
      <c r="Z91" s="30">
        <f t="shared" ca="1" si="36"/>
        <v>32.832345637374431</v>
      </c>
      <c r="AA91" s="26">
        <v>83</v>
      </c>
      <c r="AB91" s="31">
        <f t="shared" ca="1" si="34"/>
        <v>1</v>
      </c>
      <c r="AC91" s="31">
        <f t="shared" ca="1" si="21"/>
        <v>51</v>
      </c>
      <c r="AD91" s="31">
        <f t="shared" ca="1" si="22"/>
        <v>17</v>
      </c>
      <c r="AE91" s="31">
        <f t="shared" ca="1" si="23"/>
        <v>19</v>
      </c>
      <c r="AF91" s="31">
        <f t="shared" ca="1" si="24"/>
        <v>45</v>
      </c>
      <c r="AG91" s="31">
        <f t="shared" ca="1" si="25"/>
        <v>4</v>
      </c>
      <c r="AH91" s="31">
        <f t="shared" ca="1" si="26"/>
        <v>11</v>
      </c>
      <c r="AI91" s="31">
        <f t="shared" ca="1" si="27"/>
        <v>3</v>
      </c>
      <c r="AJ91" s="31">
        <f t="shared" ca="1" si="28"/>
        <v>49</v>
      </c>
      <c r="AK91" s="31">
        <f t="shared" ca="1" si="29"/>
        <v>28</v>
      </c>
      <c r="AL91" s="31">
        <f t="shared" ca="1" si="30"/>
        <v>14</v>
      </c>
      <c r="AM91" s="31">
        <f t="shared" ca="1" si="31"/>
        <v>138</v>
      </c>
    </row>
    <row r="92" spans="1:39">
      <c r="A92" s="27"/>
      <c r="B92" s="28">
        <v>43769</v>
      </c>
      <c r="C92" s="29">
        <v>1.6855208333333334E-3</v>
      </c>
      <c r="D92" s="29">
        <v>1.1891809969201361E-2</v>
      </c>
      <c r="E92" s="29">
        <v>2.3484426804772474E-2</v>
      </c>
      <c r="F92" s="29">
        <v>1.2066480196271323E-2</v>
      </c>
      <c r="G92" s="29">
        <v>-7.7954084909558907E-2</v>
      </c>
      <c r="H92" s="29">
        <v>-1.34E-2</v>
      </c>
      <c r="J92" s="24">
        <v>84</v>
      </c>
      <c r="K92" s="25">
        <f t="shared" si="32"/>
        <v>7.9809381304376759E-2</v>
      </c>
      <c r="L92" s="25">
        <f t="shared" si="33"/>
        <v>30.752830004491809</v>
      </c>
      <c r="N92" s="26">
        <v>84</v>
      </c>
      <c r="O92" s="30">
        <f t="shared" ca="1" si="36"/>
        <v>32.738163403594847</v>
      </c>
      <c r="P92" s="30">
        <f t="shared" ca="1" si="36"/>
        <v>1.6481591651178311</v>
      </c>
      <c r="Q92" s="30">
        <f t="shared" ca="1" si="36"/>
        <v>19.024763844592648</v>
      </c>
      <c r="R92" s="30">
        <f t="shared" ca="1" si="36"/>
        <v>32.47967772607948</v>
      </c>
      <c r="S92" s="30">
        <f t="shared" ca="1" si="36"/>
        <v>16.205502356519617</v>
      </c>
      <c r="T92" s="30">
        <f t="shared" ca="1" si="36"/>
        <v>3.1610758841491755</v>
      </c>
      <c r="U92" s="30">
        <f t="shared" ca="1" si="36"/>
        <v>11.756825822823833</v>
      </c>
      <c r="V92" s="30">
        <f t="shared" ca="1" si="36"/>
        <v>1.4882703239478936</v>
      </c>
      <c r="W92" s="30">
        <f t="shared" ca="1" si="36"/>
        <v>3.8812907166010602</v>
      </c>
      <c r="X92" s="30">
        <f t="shared" ca="1" si="36"/>
        <v>5.060632740635258</v>
      </c>
      <c r="Y92" s="30">
        <f t="shared" ca="1" si="36"/>
        <v>11.77465688294892</v>
      </c>
      <c r="Z92" s="30">
        <f t="shared" ca="1" si="36"/>
        <v>33.06870025249831</v>
      </c>
      <c r="AA92" s="26">
        <v>84</v>
      </c>
      <c r="AB92" s="31">
        <f t="shared" ca="1" si="34"/>
        <v>133</v>
      </c>
      <c r="AC92" s="31">
        <f t="shared" ca="1" si="21"/>
        <v>2</v>
      </c>
      <c r="AD92" s="31">
        <f t="shared" ca="1" si="22"/>
        <v>28</v>
      </c>
      <c r="AE92" s="31">
        <f t="shared" ca="1" si="23"/>
        <v>121</v>
      </c>
      <c r="AF92" s="31">
        <f t="shared" ca="1" si="24"/>
        <v>22</v>
      </c>
      <c r="AG92" s="31">
        <f t="shared" ca="1" si="25"/>
        <v>4</v>
      </c>
      <c r="AH92" s="31">
        <f t="shared" ca="1" si="26"/>
        <v>15</v>
      </c>
      <c r="AI92" s="31">
        <f t="shared" ca="1" si="27"/>
        <v>2</v>
      </c>
      <c r="AJ92" s="31">
        <f t="shared" ca="1" si="28"/>
        <v>5</v>
      </c>
      <c r="AK92" s="31">
        <f t="shared" ca="1" si="29"/>
        <v>6</v>
      </c>
      <c r="AL92" s="31">
        <f t="shared" ca="1" si="30"/>
        <v>15</v>
      </c>
      <c r="AM92" s="31">
        <f t="shared" ca="1" si="31"/>
        <v>159</v>
      </c>
    </row>
    <row r="93" spans="1:39">
      <c r="A93" s="27"/>
      <c r="B93" s="28">
        <v>43738</v>
      </c>
      <c r="C93" s="29">
        <v>1.4340277777777778E-3</v>
      </c>
      <c r="D93" s="29">
        <v>8.5763574228345796E-3</v>
      </c>
      <c r="E93" s="29">
        <v>1.4644711059163207E-2</v>
      </c>
      <c r="F93" s="29">
        <v>8.6466708391508273E-3</v>
      </c>
      <c r="G93" s="29">
        <v>-7.1230154666927392E-2</v>
      </c>
      <c r="H93" s="29">
        <v>-8.8000000000000005E-3</v>
      </c>
      <c r="J93" s="24">
        <v>85</v>
      </c>
      <c r="K93" s="25">
        <f t="shared" si="32"/>
        <v>7.741509986524546E-2</v>
      </c>
      <c r="L93" s="25">
        <f t="shared" si="33"/>
        <v>30.830245104357054</v>
      </c>
      <c r="N93" s="26">
        <v>85</v>
      </c>
      <c r="O93" s="30">
        <f t="shared" ca="1" si="36"/>
        <v>28.959355786191541</v>
      </c>
      <c r="P93" s="30">
        <f t="shared" ca="1" si="36"/>
        <v>20.502009995414138</v>
      </c>
      <c r="Q93" s="30">
        <f t="shared" ca="1" si="36"/>
        <v>22.853046825883382</v>
      </c>
      <c r="R93" s="30">
        <f t="shared" ca="1" si="36"/>
        <v>17.479676553834473</v>
      </c>
      <c r="S93" s="30">
        <f t="shared" ca="1" si="36"/>
        <v>17.057712441840795</v>
      </c>
      <c r="T93" s="30">
        <f t="shared" ca="1" si="36"/>
        <v>14.052294449548654</v>
      </c>
      <c r="U93" s="30">
        <f t="shared" ca="1" si="36"/>
        <v>23.889224494966356</v>
      </c>
      <c r="V93" s="30">
        <f t="shared" ca="1" si="36"/>
        <v>29.554189503328296</v>
      </c>
      <c r="W93" s="30">
        <f t="shared" ca="1" si="36"/>
        <v>9.4710119246647073E-3</v>
      </c>
      <c r="X93" s="30">
        <f t="shared" ca="1" si="36"/>
        <v>19.081213404372189</v>
      </c>
      <c r="Y93" s="30">
        <f t="shared" ca="1" si="36"/>
        <v>3.5949982079022611</v>
      </c>
      <c r="Z93" s="30">
        <f t="shared" ca="1" si="36"/>
        <v>12.899415882892059</v>
      </c>
      <c r="AA93" s="26">
        <v>85</v>
      </c>
      <c r="AB93" s="31">
        <f t="shared" ca="1" si="34"/>
        <v>67</v>
      </c>
      <c r="AC93" s="31">
        <f t="shared" ca="1" si="21"/>
        <v>32</v>
      </c>
      <c r="AD93" s="31">
        <f t="shared" ca="1" si="22"/>
        <v>38</v>
      </c>
      <c r="AE93" s="31">
        <f t="shared" ca="1" si="23"/>
        <v>25</v>
      </c>
      <c r="AF93" s="31">
        <f t="shared" ca="1" si="24"/>
        <v>24</v>
      </c>
      <c r="AG93" s="31">
        <f t="shared" ca="1" si="25"/>
        <v>18</v>
      </c>
      <c r="AH93" s="31">
        <f t="shared" ca="1" si="26"/>
        <v>42</v>
      </c>
      <c r="AI93" s="31">
        <f t="shared" ca="1" si="27"/>
        <v>72</v>
      </c>
      <c r="AJ93" s="31">
        <f t="shared" ca="1" si="28"/>
        <v>1</v>
      </c>
      <c r="AK93" s="31">
        <f t="shared" ca="1" si="29"/>
        <v>28</v>
      </c>
      <c r="AL93" s="31">
        <f t="shared" ca="1" si="30"/>
        <v>4</v>
      </c>
      <c r="AM93" s="31">
        <f t="shared" ca="1" si="31"/>
        <v>17</v>
      </c>
    </row>
    <row r="94" spans="1:39">
      <c r="A94" s="27"/>
      <c r="B94" s="28">
        <v>43708</v>
      </c>
      <c r="C94" s="29">
        <v>1.5844444444444445E-3</v>
      </c>
      <c r="D94" s="29">
        <v>3.9296068748937429E-3</v>
      </c>
      <c r="E94" s="29">
        <v>5.7046051721754143E-3</v>
      </c>
      <c r="F94" s="29">
        <v>8.4967954942707369E-3</v>
      </c>
      <c r="G94" s="29">
        <v>-7.3671937909670637E-3</v>
      </c>
      <c r="H94" s="29">
        <v>4.4000000000000003E-3</v>
      </c>
      <c r="J94" s="24">
        <v>86</v>
      </c>
      <c r="K94" s="25">
        <f t="shared" si="32"/>
        <v>7.5092646869288099E-2</v>
      </c>
      <c r="L94" s="25">
        <f t="shared" si="33"/>
        <v>30.905337751226341</v>
      </c>
      <c r="N94" s="26">
        <v>86</v>
      </c>
      <c r="O94" s="30">
        <f t="shared" ca="1" si="36"/>
        <v>30.387688945984241</v>
      </c>
      <c r="P94" s="30">
        <f t="shared" ca="1" si="36"/>
        <v>5.2843716853693046</v>
      </c>
      <c r="Q94" s="30">
        <f t="shared" ca="1" si="36"/>
        <v>25.865918525728361</v>
      </c>
      <c r="R94" s="30">
        <f t="shared" ca="1" si="36"/>
        <v>3.7401641237531336</v>
      </c>
      <c r="S94" s="30">
        <f t="shared" ca="1" si="36"/>
        <v>22.758359776611663</v>
      </c>
      <c r="T94" s="30">
        <f t="shared" ca="1" si="36"/>
        <v>28.379257754378141</v>
      </c>
      <c r="U94" s="30">
        <f t="shared" ca="1" si="36"/>
        <v>25.527345556457064</v>
      </c>
      <c r="V94" s="30">
        <f t="shared" ca="1" si="36"/>
        <v>4.1747317954547931</v>
      </c>
      <c r="W94" s="30">
        <f t="shared" ca="1" si="36"/>
        <v>33.089794941583619</v>
      </c>
      <c r="X94" s="30">
        <f t="shared" ca="1" si="36"/>
        <v>18.145379545269087</v>
      </c>
      <c r="Y94" s="30">
        <f t="shared" ca="1" si="36"/>
        <v>29.109989404690701</v>
      </c>
      <c r="Z94" s="30">
        <f t="shared" ca="1" si="36"/>
        <v>27.264994797009425</v>
      </c>
      <c r="AA94" s="26">
        <v>86</v>
      </c>
      <c r="AB94" s="31">
        <f t="shared" ca="1" si="34"/>
        <v>80</v>
      </c>
      <c r="AC94" s="31">
        <f t="shared" ca="1" si="21"/>
        <v>6</v>
      </c>
      <c r="AD94" s="31">
        <f t="shared" ca="1" si="22"/>
        <v>50</v>
      </c>
      <c r="AE94" s="31">
        <f t="shared" ca="1" si="23"/>
        <v>4</v>
      </c>
      <c r="AF94" s="31">
        <f t="shared" ca="1" si="24"/>
        <v>38</v>
      </c>
      <c r="AG94" s="31">
        <f t="shared" ca="1" si="25"/>
        <v>63</v>
      </c>
      <c r="AH94" s="31">
        <f t="shared" ca="1" si="26"/>
        <v>48</v>
      </c>
      <c r="AI94" s="31">
        <f t="shared" ca="1" si="27"/>
        <v>5</v>
      </c>
      <c r="AJ94" s="31">
        <f t="shared" ca="1" si="28"/>
        <v>162</v>
      </c>
      <c r="AK94" s="31">
        <f t="shared" ca="1" si="29"/>
        <v>26</v>
      </c>
      <c r="AL94" s="31">
        <f t="shared" ca="1" si="30"/>
        <v>68</v>
      </c>
      <c r="AM94" s="31">
        <f t="shared" ca="1" si="31"/>
        <v>56</v>
      </c>
    </row>
    <row r="95" spans="1:39">
      <c r="A95" s="27"/>
      <c r="B95" s="28">
        <v>43677</v>
      </c>
      <c r="C95" s="29">
        <v>1.6699999999999998E-3</v>
      </c>
      <c r="D95" s="29">
        <v>1.1794780795634896E-2</v>
      </c>
      <c r="E95" s="29">
        <v>2.4557852389747614E-2</v>
      </c>
      <c r="F95" s="29">
        <v>1.9392007602379691E-2</v>
      </c>
      <c r="G95" s="29">
        <v>-6.0627843903244383E-2</v>
      </c>
      <c r="H95" s="29">
        <v>6.4000000000000003E-3</v>
      </c>
      <c r="J95" s="24">
        <v>87</v>
      </c>
      <c r="K95" s="25">
        <f t="shared" si="32"/>
        <v>7.2839867463209459E-2</v>
      </c>
      <c r="L95" s="25">
        <f t="shared" si="33"/>
        <v>30.97817761868955</v>
      </c>
      <c r="N95" s="26">
        <v>87</v>
      </c>
      <c r="O95" s="30">
        <f t="shared" ca="1" si="36"/>
        <v>23.082934673670806</v>
      </c>
      <c r="P95" s="30">
        <f t="shared" ca="1" si="36"/>
        <v>28.937742806119026</v>
      </c>
      <c r="Q95" s="30">
        <f t="shared" ca="1" si="36"/>
        <v>1.8601971441869491</v>
      </c>
      <c r="R95" s="30">
        <f t="shared" ca="1" si="36"/>
        <v>6.6738604904088907</v>
      </c>
      <c r="S95" s="30">
        <f t="shared" ca="1" si="36"/>
        <v>9.4396215597654737E-2</v>
      </c>
      <c r="T95" s="30">
        <f t="shared" ca="1" si="36"/>
        <v>0.24999151190334987</v>
      </c>
      <c r="U95" s="30">
        <f t="shared" ca="1" si="36"/>
        <v>12.721682633530914</v>
      </c>
      <c r="V95" s="30">
        <f t="shared" ca="1" si="36"/>
        <v>24.086758897436731</v>
      </c>
      <c r="W95" s="30">
        <f t="shared" ca="1" si="36"/>
        <v>10.252337916206901</v>
      </c>
      <c r="X95" s="30">
        <f t="shared" ca="1" si="36"/>
        <v>17.149053781466051</v>
      </c>
      <c r="Y95" s="30">
        <f t="shared" ca="1" si="36"/>
        <v>7.870969359297761</v>
      </c>
      <c r="Z95" s="30">
        <f t="shared" ca="1" si="36"/>
        <v>18.108083104509095</v>
      </c>
      <c r="AA95" s="26">
        <v>87</v>
      </c>
      <c r="AB95" s="31">
        <f t="shared" ca="1" si="34"/>
        <v>39</v>
      </c>
      <c r="AC95" s="31">
        <f t="shared" ca="1" si="21"/>
        <v>67</v>
      </c>
      <c r="AD95" s="31">
        <f t="shared" ca="1" si="22"/>
        <v>2</v>
      </c>
      <c r="AE95" s="31">
        <f t="shared" ca="1" si="23"/>
        <v>8</v>
      </c>
      <c r="AF95" s="31">
        <f t="shared" ca="1" si="24"/>
        <v>1</v>
      </c>
      <c r="AG95" s="31">
        <f t="shared" ca="1" si="25"/>
        <v>1</v>
      </c>
      <c r="AH95" s="31">
        <f t="shared" ca="1" si="26"/>
        <v>16</v>
      </c>
      <c r="AI95" s="31">
        <f t="shared" ca="1" si="27"/>
        <v>43</v>
      </c>
      <c r="AJ95" s="31">
        <f t="shared" ca="1" si="28"/>
        <v>13</v>
      </c>
      <c r="AK95" s="31">
        <f t="shared" ca="1" si="29"/>
        <v>24</v>
      </c>
      <c r="AL95" s="31">
        <f t="shared" ca="1" si="30"/>
        <v>9</v>
      </c>
      <c r="AM95" s="31">
        <f t="shared" ca="1" si="31"/>
        <v>26</v>
      </c>
    </row>
    <row r="96" spans="1:39">
      <c r="A96" s="27"/>
      <c r="B96" s="28">
        <v>43646</v>
      </c>
      <c r="C96" s="29">
        <v>1.5063888888888889E-3</v>
      </c>
      <c r="D96" s="29">
        <v>-7.2447013487475509E-3</v>
      </c>
      <c r="E96" s="29">
        <v>-2.3554466306291988E-2</v>
      </c>
      <c r="F96" s="29">
        <v>-1.663584152633113E-2</v>
      </c>
      <c r="G96" s="29">
        <v>3.760931006668855E-2</v>
      </c>
      <c r="H96" s="29">
        <v>7.8000000000000005E-3</v>
      </c>
      <c r="J96" s="24">
        <v>88</v>
      </c>
      <c r="K96" s="25">
        <f t="shared" si="32"/>
        <v>7.0654671439313171E-2</v>
      </c>
      <c r="L96" s="25">
        <f t="shared" si="33"/>
        <v>31.048832290128864</v>
      </c>
      <c r="N96" s="26">
        <v>88</v>
      </c>
      <c r="O96" s="30">
        <f t="shared" ca="1" si="36"/>
        <v>25.474122781164979</v>
      </c>
      <c r="P96" s="30">
        <f t="shared" ca="1" si="36"/>
        <v>18.718199175285104</v>
      </c>
      <c r="Q96" s="30">
        <f t="shared" ca="1" si="36"/>
        <v>20.991694947696359</v>
      </c>
      <c r="R96" s="30">
        <f t="shared" ca="1" si="36"/>
        <v>11.739631588081952</v>
      </c>
      <c r="S96" s="30">
        <f t="shared" ca="1" si="36"/>
        <v>13.596691521697986</v>
      </c>
      <c r="T96" s="30">
        <f t="shared" ca="1" si="36"/>
        <v>26.027336784063007</v>
      </c>
      <c r="U96" s="30">
        <f t="shared" ca="1" si="36"/>
        <v>5.0987066364958178</v>
      </c>
      <c r="V96" s="30">
        <f t="shared" ca="1" si="36"/>
        <v>32.084128174912827</v>
      </c>
      <c r="W96" s="30">
        <f t="shared" ca="1" si="36"/>
        <v>14.578614714863546</v>
      </c>
      <c r="X96" s="30">
        <f t="shared" ca="1" si="36"/>
        <v>1.6242738134157038</v>
      </c>
      <c r="Y96" s="30">
        <f t="shared" ca="1" si="36"/>
        <v>20.452375314027318</v>
      </c>
      <c r="Z96" s="30">
        <f t="shared" ca="1" si="36"/>
        <v>28.022687992626324</v>
      </c>
      <c r="AA96" s="26">
        <v>88</v>
      </c>
      <c r="AB96" s="31">
        <f t="shared" ca="1" si="34"/>
        <v>48</v>
      </c>
      <c r="AC96" s="31">
        <f t="shared" ca="1" si="21"/>
        <v>28</v>
      </c>
      <c r="AD96" s="31">
        <f t="shared" ca="1" si="22"/>
        <v>33</v>
      </c>
      <c r="AE96" s="31">
        <f t="shared" ca="1" si="23"/>
        <v>15</v>
      </c>
      <c r="AF96" s="31">
        <f t="shared" ca="1" si="24"/>
        <v>18</v>
      </c>
      <c r="AG96" s="31">
        <f t="shared" ca="1" si="25"/>
        <v>50</v>
      </c>
      <c r="AH96" s="31">
        <f t="shared" ca="1" si="26"/>
        <v>6</v>
      </c>
      <c r="AI96" s="31">
        <f t="shared" ca="1" si="27"/>
        <v>108</v>
      </c>
      <c r="AJ96" s="31">
        <f t="shared" ca="1" si="28"/>
        <v>19</v>
      </c>
      <c r="AK96" s="31">
        <f t="shared" ca="1" si="29"/>
        <v>2</v>
      </c>
      <c r="AL96" s="31">
        <f t="shared" ca="1" si="30"/>
        <v>32</v>
      </c>
      <c r="AM96" s="31">
        <f t="shared" ca="1" si="31"/>
        <v>61</v>
      </c>
    </row>
    <row r="97" spans="1:39">
      <c r="A97" s="27"/>
      <c r="B97" s="28">
        <v>43616</v>
      </c>
      <c r="C97" s="29">
        <v>1.4369444444444443E-3</v>
      </c>
      <c r="D97" s="29">
        <v>4.5735332341572121E-3</v>
      </c>
      <c r="E97" s="29">
        <v>9.1097205255417091E-3</v>
      </c>
      <c r="F97" s="29">
        <v>9.6909891492371614E-3</v>
      </c>
      <c r="G97" s="29">
        <v>-1.9285386995856135E-2</v>
      </c>
      <c r="H97" s="29">
        <v>-2.5999999999999999E-3</v>
      </c>
      <c r="J97" s="24">
        <v>89</v>
      </c>
      <c r="K97" s="25">
        <f t="shared" si="32"/>
        <v>6.853503129613378E-2</v>
      </c>
      <c r="L97" s="25">
        <f t="shared" si="33"/>
        <v>31.117367321424997</v>
      </c>
      <c r="N97" s="26">
        <v>89</v>
      </c>
      <c r="O97" s="30">
        <f t="shared" ca="1" si="36"/>
        <v>14.529004077528342</v>
      </c>
      <c r="P97" s="30">
        <f t="shared" ca="1" si="36"/>
        <v>0.6090606254411538</v>
      </c>
      <c r="Q97" s="30">
        <f t="shared" ca="1" si="36"/>
        <v>20.118230566502053</v>
      </c>
      <c r="R97" s="30">
        <f t="shared" ca="1" si="36"/>
        <v>1.2464963817797814</v>
      </c>
      <c r="S97" s="30">
        <f t="shared" ca="1" si="36"/>
        <v>26.211322937302537</v>
      </c>
      <c r="T97" s="30">
        <f t="shared" ca="1" si="36"/>
        <v>3.1363222158073856</v>
      </c>
      <c r="U97" s="30">
        <f t="shared" ca="1" si="36"/>
        <v>10.912620186983888</v>
      </c>
      <c r="V97" s="30">
        <f t="shared" ca="1" si="36"/>
        <v>30.30028455162207</v>
      </c>
      <c r="W97" s="30">
        <f t="shared" ca="1" si="36"/>
        <v>4.5138434175551287</v>
      </c>
      <c r="X97" s="30">
        <f t="shared" ca="1" si="36"/>
        <v>32.342672400833109</v>
      </c>
      <c r="Y97" s="30">
        <f t="shared" ca="1" si="36"/>
        <v>29.889938025700946</v>
      </c>
      <c r="Z97" s="30">
        <f t="shared" ca="1" si="36"/>
        <v>0.71552703008951835</v>
      </c>
      <c r="AA97" s="26">
        <v>89</v>
      </c>
      <c r="AB97" s="31">
        <f t="shared" ca="1" si="34"/>
        <v>19</v>
      </c>
      <c r="AC97" s="31">
        <f t="shared" ca="1" si="21"/>
        <v>1</v>
      </c>
      <c r="AD97" s="31">
        <f t="shared" ca="1" si="22"/>
        <v>31</v>
      </c>
      <c r="AE97" s="31">
        <f t="shared" ca="1" si="23"/>
        <v>2</v>
      </c>
      <c r="AF97" s="31">
        <f t="shared" ca="1" si="24"/>
        <v>51</v>
      </c>
      <c r="AG97" s="31">
        <f t="shared" ca="1" si="25"/>
        <v>4</v>
      </c>
      <c r="AH97" s="31">
        <f t="shared" ca="1" si="26"/>
        <v>14</v>
      </c>
      <c r="AI97" s="31">
        <f t="shared" ca="1" si="27"/>
        <v>79</v>
      </c>
      <c r="AJ97" s="31">
        <f t="shared" ca="1" si="28"/>
        <v>5</v>
      </c>
      <c r="AK97" s="31">
        <f t="shared" ca="1" si="29"/>
        <v>116</v>
      </c>
      <c r="AL97" s="31">
        <f t="shared" ca="1" si="30"/>
        <v>75</v>
      </c>
      <c r="AM97" s="31">
        <f t="shared" ca="1" si="31"/>
        <v>1</v>
      </c>
    </row>
    <row r="98" spans="1:39">
      <c r="A98" s="27"/>
      <c r="B98" s="28">
        <v>43585</v>
      </c>
      <c r="C98" s="29">
        <v>1.6135069444444445E-3</v>
      </c>
      <c r="D98" s="29">
        <v>1.8505282870424633E-3</v>
      </c>
      <c r="E98" s="29">
        <v>5.9639055806908203E-3</v>
      </c>
      <c r="F98" s="29">
        <v>8.0949597233643811E-3</v>
      </c>
      <c r="G98" s="29">
        <v>-1.4593147903709691E-2</v>
      </c>
      <c r="H98" s="29">
        <v>4.5000000000000005E-3</v>
      </c>
      <c r="J98" s="24">
        <v>90</v>
      </c>
      <c r="K98" s="25">
        <f t="shared" si="32"/>
        <v>6.6478980357249765E-2</v>
      </c>
      <c r="L98" s="25">
        <f t="shared" si="33"/>
        <v>31.183846301782246</v>
      </c>
      <c r="N98" s="26">
        <v>90</v>
      </c>
      <c r="O98" s="30">
        <f t="shared" ca="1" si="36"/>
        <v>18.615983923448827</v>
      </c>
      <c r="P98" s="30">
        <f t="shared" ca="1" si="36"/>
        <v>8.6621782679279793</v>
      </c>
      <c r="Q98" s="30">
        <f t="shared" ca="1" si="36"/>
        <v>25.209303177390581</v>
      </c>
      <c r="R98" s="30">
        <f t="shared" ca="1" si="36"/>
        <v>6.8067091722990316</v>
      </c>
      <c r="S98" s="30">
        <f t="shared" ca="1" si="36"/>
        <v>0.37312372770720381</v>
      </c>
      <c r="T98" s="30">
        <f t="shared" ca="1" si="36"/>
        <v>24.274394250319745</v>
      </c>
      <c r="U98" s="30">
        <f t="shared" ca="1" si="36"/>
        <v>18.531188421687418</v>
      </c>
      <c r="V98" s="30">
        <f t="shared" ca="1" si="36"/>
        <v>28.810745216514675</v>
      </c>
      <c r="W98" s="30">
        <f t="shared" ca="1" si="36"/>
        <v>30.263472318497385</v>
      </c>
      <c r="X98" s="30">
        <f t="shared" ca="1" si="36"/>
        <v>11.48584249516453</v>
      </c>
      <c r="Y98" s="30">
        <f t="shared" ca="1" si="36"/>
        <v>11.141844440849864</v>
      </c>
      <c r="Z98" s="30">
        <f t="shared" ca="1" si="36"/>
        <v>30.931766026797472</v>
      </c>
      <c r="AA98" s="26">
        <v>90</v>
      </c>
      <c r="AB98" s="31">
        <f t="shared" ca="1" si="34"/>
        <v>27</v>
      </c>
      <c r="AC98" s="31">
        <f t="shared" ca="1" si="21"/>
        <v>10</v>
      </c>
      <c r="AD98" s="31">
        <f t="shared" ca="1" si="22"/>
        <v>47</v>
      </c>
      <c r="AE98" s="31">
        <f t="shared" ca="1" si="23"/>
        <v>8</v>
      </c>
      <c r="AF98" s="31">
        <f t="shared" ca="1" si="24"/>
        <v>1</v>
      </c>
      <c r="AG98" s="31">
        <f t="shared" ca="1" si="25"/>
        <v>43</v>
      </c>
      <c r="AH98" s="31">
        <f t="shared" ca="1" si="26"/>
        <v>27</v>
      </c>
      <c r="AI98" s="31">
        <f t="shared" ca="1" si="27"/>
        <v>66</v>
      </c>
      <c r="AJ98" s="31">
        <f t="shared" ca="1" si="28"/>
        <v>79</v>
      </c>
      <c r="AK98" s="31">
        <f t="shared" ca="1" si="29"/>
        <v>14</v>
      </c>
      <c r="AL98" s="31">
        <f t="shared" ca="1" si="30"/>
        <v>14</v>
      </c>
      <c r="AM98" s="31">
        <f t="shared" ca="1" si="31"/>
        <v>87</v>
      </c>
    </row>
    <row r="99" spans="1:39">
      <c r="A99" s="27"/>
      <c r="B99" s="28">
        <v>43555</v>
      </c>
      <c r="C99" s="29">
        <v>1.8244791666666665E-3</v>
      </c>
      <c r="D99" s="29">
        <v>5.931855728398272E-4</v>
      </c>
      <c r="E99" s="29">
        <v>-8.553554200690261E-3</v>
      </c>
      <c r="F99" s="29">
        <v>-6.3501752451463611E-3</v>
      </c>
      <c r="G99" s="29">
        <v>8.7605667326513537E-3</v>
      </c>
      <c r="H99" s="29">
        <v>1.0700000000000001E-2</v>
      </c>
      <c r="J99" s="24">
        <v>91</v>
      </c>
      <c r="K99" s="25">
        <f t="shared" si="32"/>
        <v>6.4484610946532267E-2</v>
      </c>
      <c r="L99" s="25">
        <f t="shared" si="33"/>
        <v>31.248330912728779</v>
      </c>
      <c r="N99" s="26">
        <v>91</v>
      </c>
      <c r="O99" s="30">
        <f t="shared" ref="O99:Z108" ca="1" si="37">RAND()*sumweights</f>
        <v>16.34200625466022</v>
      </c>
      <c r="P99" s="30">
        <f t="shared" ca="1" si="37"/>
        <v>6.1681850425936435</v>
      </c>
      <c r="Q99" s="30">
        <f t="shared" ca="1" si="37"/>
        <v>9.6505383124146604</v>
      </c>
      <c r="R99" s="30">
        <f t="shared" ca="1" si="37"/>
        <v>0.77007822882053634</v>
      </c>
      <c r="S99" s="30">
        <f t="shared" ca="1" si="37"/>
        <v>6.5299288783167029</v>
      </c>
      <c r="T99" s="30">
        <f t="shared" ca="1" si="37"/>
        <v>13.691780599526078</v>
      </c>
      <c r="U99" s="30">
        <f t="shared" ca="1" si="37"/>
        <v>4.5596994109148028</v>
      </c>
      <c r="V99" s="30">
        <f t="shared" ca="1" si="37"/>
        <v>3.9921122086375971</v>
      </c>
      <c r="W99" s="30">
        <f t="shared" ca="1" si="37"/>
        <v>17.699403583587952</v>
      </c>
      <c r="X99" s="30">
        <f t="shared" ca="1" si="37"/>
        <v>24.289519465951855</v>
      </c>
      <c r="Y99" s="30">
        <f t="shared" ca="1" si="37"/>
        <v>4.2883358845184469</v>
      </c>
      <c r="Z99" s="30">
        <f t="shared" ca="1" si="37"/>
        <v>10.344280059934306</v>
      </c>
      <c r="AA99" s="26">
        <v>91</v>
      </c>
      <c r="AB99" s="31">
        <f t="shared" ca="1" si="34"/>
        <v>23</v>
      </c>
      <c r="AC99" s="31">
        <f t="shared" ca="1" si="21"/>
        <v>7</v>
      </c>
      <c r="AD99" s="31">
        <f t="shared" ca="1" si="22"/>
        <v>12</v>
      </c>
      <c r="AE99" s="31">
        <f t="shared" ca="1" si="23"/>
        <v>1</v>
      </c>
      <c r="AF99" s="31">
        <f t="shared" ca="1" si="24"/>
        <v>8</v>
      </c>
      <c r="AG99" s="31">
        <f t="shared" ca="1" si="25"/>
        <v>18</v>
      </c>
      <c r="AH99" s="31">
        <f t="shared" ca="1" si="26"/>
        <v>5</v>
      </c>
      <c r="AI99" s="31">
        <f t="shared" ca="1" si="27"/>
        <v>5</v>
      </c>
      <c r="AJ99" s="31">
        <f t="shared" ca="1" si="28"/>
        <v>25</v>
      </c>
      <c r="AK99" s="31">
        <f t="shared" ca="1" si="29"/>
        <v>43</v>
      </c>
      <c r="AL99" s="31">
        <f t="shared" ca="1" si="30"/>
        <v>5</v>
      </c>
      <c r="AM99" s="31">
        <f t="shared" ca="1" si="31"/>
        <v>13</v>
      </c>
    </row>
    <row r="100" spans="1:39">
      <c r="A100" s="27"/>
      <c r="B100" s="28">
        <v>43524</v>
      </c>
      <c r="C100" s="29">
        <v>1.90625E-3</v>
      </c>
      <c r="D100" s="29">
        <v>-2.9296011320421034E-3</v>
      </c>
      <c r="E100" s="29">
        <v>-2.5642268071209062E-2</v>
      </c>
      <c r="F100" s="29">
        <v>-1.3787478639117667E-2</v>
      </c>
      <c r="G100" s="29">
        <v>7.6706279828952617E-2</v>
      </c>
      <c r="H100" s="29">
        <v>3.5999999999999999E-3</v>
      </c>
      <c r="J100" s="24">
        <v>92</v>
      </c>
      <c r="K100" s="25">
        <f t="shared" si="32"/>
        <v>6.255007261813629E-2</v>
      </c>
      <c r="L100" s="25">
        <f t="shared" si="33"/>
        <v>31.310880985346916</v>
      </c>
      <c r="N100" s="26">
        <v>92</v>
      </c>
      <c r="O100" s="30">
        <f t="shared" ca="1" si="37"/>
        <v>4.517869210797838</v>
      </c>
      <c r="P100" s="30">
        <f t="shared" ca="1" si="37"/>
        <v>0.21796093110194137</v>
      </c>
      <c r="Q100" s="30">
        <f t="shared" ca="1" si="37"/>
        <v>2.6617114026097219</v>
      </c>
      <c r="R100" s="30">
        <f t="shared" ca="1" si="37"/>
        <v>32.50849628649604</v>
      </c>
      <c r="S100" s="30">
        <f t="shared" ca="1" si="37"/>
        <v>29.800560406116354</v>
      </c>
      <c r="T100" s="30">
        <f t="shared" ca="1" si="37"/>
        <v>4.4884865587249374</v>
      </c>
      <c r="U100" s="30">
        <f t="shared" ca="1" si="37"/>
        <v>30.061209300767004</v>
      </c>
      <c r="V100" s="30">
        <f t="shared" ca="1" si="37"/>
        <v>0.7613572434627649</v>
      </c>
      <c r="W100" s="30">
        <f t="shared" ca="1" si="37"/>
        <v>29.895708586038417</v>
      </c>
      <c r="X100" s="30">
        <f t="shared" ca="1" si="37"/>
        <v>14.346266791037852</v>
      </c>
      <c r="Y100" s="30">
        <f t="shared" ca="1" si="37"/>
        <v>23.983681709036812</v>
      </c>
      <c r="Z100" s="30">
        <f t="shared" ca="1" si="37"/>
        <v>11.97227884618459</v>
      </c>
      <c r="AA100" s="26">
        <v>92</v>
      </c>
      <c r="AB100" s="31">
        <f t="shared" ca="1" si="34"/>
        <v>5</v>
      </c>
      <c r="AC100" s="31">
        <f t="shared" ca="1" si="21"/>
        <v>1</v>
      </c>
      <c r="AD100" s="31">
        <f t="shared" ca="1" si="22"/>
        <v>3</v>
      </c>
      <c r="AE100" s="31">
        <f t="shared" ca="1" si="23"/>
        <v>122</v>
      </c>
      <c r="AF100" s="31">
        <f t="shared" ca="1" si="24"/>
        <v>74</v>
      </c>
      <c r="AG100" s="31">
        <f t="shared" ca="1" si="25"/>
        <v>5</v>
      </c>
      <c r="AH100" s="31">
        <f t="shared" ca="1" si="26"/>
        <v>77</v>
      </c>
      <c r="AI100" s="31">
        <f t="shared" ca="1" si="27"/>
        <v>1</v>
      </c>
      <c r="AJ100" s="31">
        <f t="shared" ca="1" si="28"/>
        <v>75</v>
      </c>
      <c r="AK100" s="31">
        <f t="shared" ca="1" si="29"/>
        <v>19</v>
      </c>
      <c r="AL100" s="31">
        <f t="shared" ca="1" si="30"/>
        <v>42</v>
      </c>
      <c r="AM100" s="31">
        <f t="shared" ca="1" si="31"/>
        <v>15</v>
      </c>
    </row>
    <row r="101" spans="1:39">
      <c r="A101" s="27"/>
      <c r="B101" s="28">
        <v>43496</v>
      </c>
      <c r="C101" s="29">
        <v>2.410833333333333E-3</v>
      </c>
      <c r="D101" s="29">
        <v>1.0410616147625174E-2</v>
      </c>
      <c r="E101" s="29">
        <v>2.9065215982128967E-2</v>
      </c>
      <c r="F101" s="29">
        <v>2.0925645066960152E-2</v>
      </c>
      <c r="G101" s="29">
        <v>1.9068975654444875E-2</v>
      </c>
      <c r="H101" s="29">
        <v>9.300000000000001E-3</v>
      </c>
      <c r="J101" s="24">
        <v>93</v>
      </c>
      <c r="K101" s="25">
        <f t="shared" si="32"/>
        <v>6.0673570439592199E-2</v>
      </c>
      <c r="L101" s="25">
        <f t="shared" si="33"/>
        <v>31.37155455578651</v>
      </c>
      <c r="N101" s="26">
        <v>93</v>
      </c>
      <c r="O101" s="30">
        <f t="shared" ca="1" si="37"/>
        <v>20.931870062869876</v>
      </c>
      <c r="P101" s="30">
        <f t="shared" ca="1" si="37"/>
        <v>18.361960978115679</v>
      </c>
      <c r="Q101" s="30">
        <f t="shared" ca="1" si="37"/>
        <v>12.163467107834002</v>
      </c>
      <c r="R101" s="30">
        <f t="shared" ca="1" si="37"/>
        <v>0.79518328591455156</v>
      </c>
      <c r="S101" s="30">
        <f t="shared" ca="1" si="37"/>
        <v>14.731933844510582</v>
      </c>
      <c r="T101" s="30">
        <f t="shared" ca="1" si="37"/>
        <v>8.506396095096834</v>
      </c>
      <c r="U101" s="30">
        <f t="shared" ca="1" si="37"/>
        <v>16.927383600930874</v>
      </c>
      <c r="V101" s="30">
        <f t="shared" ca="1" si="37"/>
        <v>7.3166635496712074</v>
      </c>
      <c r="W101" s="30">
        <f t="shared" ca="1" si="37"/>
        <v>29.020594780480373</v>
      </c>
      <c r="X101" s="30">
        <f t="shared" ca="1" si="37"/>
        <v>11.522366231477282</v>
      </c>
      <c r="Y101" s="30">
        <f t="shared" ca="1" si="37"/>
        <v>32.624048612894811</v>
      </c>
      <c r="Z101" s="30">
        <f t="shared" ca="1" si="37"/>
        <v>16.465019498064109</v>
      </c>
      <c r="AA101" s="26">
        <v>93</v>
      </c>
      <c r="AB101" s="31">
        <f t="shared" ca="1" si="34"/>
        <v>33</v>
      </c>
      <c r="AC101" s="31">
        <f t="shared" ca="1" si="21"/>
        <v>27</v>
      </c>
      <c r="AD101" s="31">
        <f t="shared" ca="1" si="22"/>
        <v>15</v>
      </c>
      <c r="AE101" s="31">
        <f t="shared" ca="1" si="23"/>
        <v>1</v>
      </c>
      <c r="AF101" s="31">
        <f t="shared" ca="1" si="24"/>
        <v>20</v>
      </c>
      <c r="AG101" s="31">
        <f t="shared" ca="1" si="25"/>
        <v>10</v>
      </c>
      <c r="AH101" s="31">
        <f t="shared" ca="1" si="26"/>
        <v>24</v>
      </c>
      <c r="AI101" s="31">
        <f t="shared" ca="1" si="27"/>
        <v>9</v>
      </c>
      <c r="AJ101" s="31">
        <f t="shared" ca="1" si="28"/>
        <v>68</v>
      </c>
      <c r="AK101" s="31">
        <f t="shared" ca="1" si="29"/>
        <v>14</v>
      </c>
      <c r="AL101" s="31">
        <f t="shared" ca="1" si="30"/>
        <v>127</v>
      </c>
      <c r="AM101" s="31">
        <f t="shared" ca="1" si="31"/>
        <v>23</v>
      </c>
    </row>
    <row r="102" spans="1:39">
      <c r="A102" s="27"/>
      <c r="B102" s="28">
        <v>43465</v>
      </c>
      <c r="C102" s="29">
        <v>2.7854166666666665E-3</v>
      </c>
      <c r="D102" s="29">
        <v>1.6100016457542221E-2</v>
      </c>
      <c r="E102" s="29">
        <v>1.5623100919661237E-2</v>
      </c>
      <c r="F102" s="29">
        <v>1.1652744211233523E-2</v>
      </c>
      <c r="G102" s="29">
        <v>-8.0752547477284109E-2</v>
      </c>
      <c r="H102" s="29">
        <v>-1.5800000000000002E-2</v>
      </c>
      <c r="J102" s="24">
        <v>94</v>
      </c>
      <c r="K102" s="25">
        <f t="shared" si="32"/>
        <v>5.885336332640443E-2</v>
      </c>
      <c r="L102" s="25">
        <f t="shared" si="33"/>
        <v>31.430407919112913</v>
      </c>
      <c r="N102" s="26">
        <v>94</v>
      </c>
      <c r="O102" s="30">
        <f t="shared" ca="1" si="37"/>
        <v>11.675447291338607</v>
      </c>
      <c r="P102" s="30">
        <f t="shared" ca="1" si="37"/>
        <v>6.7712778422376614</v>
      </c>
      <c r="Q102" s="30">
        <f t="shared" ca="1" si="37"/>
        <v>6.8484336882829462</v>
      </c>
      <c r="R102" s="30">
        <f t="shared" ca="1" si="37"/>
        <v>23.148490712898774</v>
      </c>
      <c r="S102" s="30">
        <f t="shared" ca="1" si="37"/>
        <v>24.865704511192956</v>
      </c>
      <c r="T102" s="30">
        <f t="shared" ca="1" si="37"/>
        <v>7.4448134215551649</v>
      </c>
      <c r="U102" s="30">
        <f t="shared" ca="1" si="37"/>
        <v>7.3162350169570187</v>
      </c>
      <c r="V102" s="30">
        <f t="shared" ca="1" si="37"/>
        <v>16.640209558220828</v>
      </c>
      <c r="W102" s="30">
        <f t="shared" ca="1" si="37"/>
        <v>31.918130262263269</v>
      </c>
      <c r="X102" s="30">
        <f t="shared" ca="1" si="37"/>
        <v>32.66057879499877</v>
      </c>
      <c r="Y102" s="30">
        <f t="shared" ca="1" si="37"/>
        <v>27.891824739541061</v>
      </c>
      <c r="Z102" s="30">
        <f t="shared" ca="1" si="37"/>
        <v>21.257765098125915</v>
      </c>
      <c r="AA102" s="26">
        <v>94</v>
      </c>
      <c r="AB102" s="31">
        <f t="shared" ca="1" si="34"/>
        <v>15</v>
      </c>
      <c r="AC102" s="31">
        <f t="shared" ca="1" si="21"/>
        <v>8</v>
      </c>
      <c r="AD102" s="31">
        <f t="shared" ca="1" si="22"/>
        <v>8</v>
      </c>
      <c r="AE102" s="31">
        <f t="shared" ca="1" si="23"/>
        <v>39</v>
      </c>
      <c r="AF102" s="31">
        <f t="shared" ca="1" si="24"/>
        <v>45</v>
      </c>
      <c r="AG102" s="31">
        <f t="shared" ca="1" si="25"/>
        <v>9</v>
      </c>
      <c r="AH102" s="31">
        <f t="shared" ca="1" si="26"/>
        <v>9</v>
      </c>
      <c r="AI102" s="31">
        <f t="shared" ca="1" si="27"/>
        <v>23</v>
      </c>
      <c r="AJ102" s="31">
        <f t="shared" ca="1" si="28"/>
        <v>104</v>
      </c>
      <c r="AK102" s="31">
        <f t="shared" ca="1" si="29"/>
        <v>129</v>
      </c>
      <c r="AL102" s="31">
        <f t="shared" ca="1" si="30"/>
        <v>60</v>
      </c>
      <c r="AM102" s="31">
        <f t="shared" ca="1" si="31"/>
        <v>34</v>
      </c>
    </row>
    <row r="103" spans="1:39">
      <c r="A103" s="27"/>
      <c r="B103" s="28">
        <v>43434</v>
      </c>
      <c r="C103" s="29">
        <v>3.2291666666666666E-3</v>
      </c>
      <c r="D103" s="29">
        <v>6.1783028510413729E-3</v>
      </c>
      <c r="E103" s="29">
        <v>1.3618327507173511E-2</v>
      </c>
      <c r="F103" s="29">
        <v>1.145146566588906E-2</v>
      </c>
      <c r="G103" s="29">
        <v>-6.2601733782243318E-2</v>
      </c>
      <c r="H103" s="29">
        <v>1.8E-3</v>
      </c>
      <c r="J103" s="24">
        <v>95</v>
      </c>
      <c r="K103" s="25">
        <f t="shared" si="32"/>
        <v>5.7087762426612294E-2</v>
      </c>
      <c r="L103" s="25">
        <f t="shared" si="33"/>
        <v>31.487495681539524</v>
      </c>
      <c r="N103" s="26">
        <v>95</v>
      </c>
      <c r="O103" s="30">
        <f t="shared" ca="1" si="37"/>
        <v>24.555278269567623</v>
      </c>
      <c r="P103" s="30">
        <f t="shared" ca="1" si="37"/>
        <v>26.232733100371028</v>
      </c>
      <c r="Q103" s="30">
        <f t="shared" ca="1" si="37"/>
        <v>26.144286166173845</v>
      </c>
      <c r="R103" s="30">
        <f t="shared" ca="1" si="37"/>
        <v>6.0162277080415905</v>
      </c>
      <c r="S103" s="30">
        <f t="shared" ca="1" si="37"/>
        <v>21.55116102876373</v>
      </c>
      <c r="T103" s="30">
        <f t="shared" ca="1" si="37"/>
        <v>16.000176219668482</v>
      </c>
      <c r="U103" s="30">
        <f t="shared" ca="1" si="37"/>
        <v>14.858167391157286</v>
      </c>
      <c r="V103" s="30">
        <f t="shared" ca="1" si="37"/>
        <v>28.920835724649365</v>
      </c>
      <c r="W103" s="30">
        <f t="shared" ca="1" si="37"/>
        <v>25.259778286794699</v>
      </c>
      <c r="X103" s="30">
        <f t="shared" ca="1" si="37"/>
        <v>28.439706605328862</v>
      </c>
      <c r="Y103" s="30">
        <f t="shared" ca="1" si="37"/>
        <v>19.521433316697081</v>
      </c>
      <c r="Z103" s="30">
        <f t="shared" ca="1" si="37"/>
        <v>6.4732110887334295</v>
      </c>
      <c r="AA103" s="26">
        <v>95</v>
      </c>
      <c r="AB103" s="31">
        <f t="shared" ca="1" si="34"/>
        <v>44</v>
      </c>
      <c r="AC103" s="31">
        <f t="shared" ca="1" si="21"/>
        <v>51</v>
      </c>
      <c r="AD103" s="31">
        <f t="shared" ca="1" si="22"/>
        <v>51</v>
      </c>
      <c r="AE103" s="31">
        <f t="shared" ca="1" si="23"/>
        <v>7</v>
      </c>
      <c r="AF103" s="31">
        <f t="shared" ca="1" si="24"/>
        <v>35</v>
      </c>
      <c r="AG103" s="31">
        <f t="shared" ca="1" si="25"/>
        <v>22</v>
      </c>
      <c r="AH103" s="31">
        <f t="shared" ca="1" si="26"/>
        <v>20</v>
      </c>
      <c r="AI103" s="31">
        <f t="shared" ca="1" si="27"/>
        <v>67</v>
      </c>
      <c r="AJ103" s="31">
        <f t="shared" ca="1" si="28"/>
        <v>47</v>
      </c>
      <c r="AK103" s="31">
        <f t="shared" ca="1" si="29"/>
        <v>63</v>
      </c>
      <c r="AL103" s="31">
        <f t="shared" ca="1" si="30"/>
        <v>29</v>
      </c>
      <c r="AM103" s="31">
        <f t="shared" ca="1" si="31"/>
        <v>8</v>
      </c>
    </row>
    <row r="104" spans="1:39">
      <c r="A104" s="27"/>
      <c r="B104" s="28">
        <v>43404</v>
      </c>
      <c r="C104" s="29">
        <v>3.4333333333333334E-3</v>
      </c>
      <c r="D104" s="29">
        <v>1.1557922461993497E-2</v>
      </c>
      <c r="E104" s="29">
        <v>2.4851778396208113E-2</v>
      </c>
      <c r="F104" s="29">
        <v>2.2357259887591407E-2</v>
      </c>
      <c r="G104" s="29">
        <v>-9.8441307083095841E-3</v>
      </c>
      <c r="H104" s="29">
        <v>-4.3E-3</v>
      </c>
      <c r="J104" s="24">
        <v>96</v>
      </c>
      <c r="K104" s="25">
        <f t="shared" si="32"/>
        <v>5.5375129553813927E-2</v>
      </c>
      <c r="L104" s="25">
        <f t="shared" si="33"/>
        <v>31.542870811093337</v>
      </c>
      <c r="N104" s="26">
        <v>96</v>
      </c>
      <c r="O104" s="30">
        <f t="shared" ca="1" si="37"/>
        <v>8.5859936308211839</v>
      </c>
      <c r="P104" s="30">
        <f t="shared" ca="1" si="37"/>
        <v>8.8425778627477492</v>
      </c>
      <c r="Q104" s="30">
        <f t="shared" ca="1" si="37"/>
        <v>27.545927571613298</v>
      </c>
      <c r="R104" s="30">
        <f t="shared" ca="1" si="37"/>
        <v>15.816854579604021</v>
      </c>
      <c r="S104" s="30">
        <f t="shared" ca="1" si="37"/>
        <v>31.517188841250693</v>
      </c>
      <c r="T104" s="30">
        <f t="shared" ca="1" si="37"/>
        <v>23.766322761023808</v>
      </c>
      <c r="U104" s="30">
        <f t="shared" ca="1" si="37"/>
        <v>14.046448107720456</v>
      </c>
      <c r="V104" s="30">
        <f t="shared" ca="1" si="37"/>
        <v>32.405948179194183</v>
      </c>
      <c r="W104" s="30">
        <f t="shared" ca="1" si="37"/>
        <v>15.059974403570147</v>
      </c>
      <c r="X104" s="30">
        <f t="shared" ca="1" si="37"/>
        <v>14.766106156899104</v>
      </c>
      <c r="Y104" s="30">
        <f t="shared" ca="1" si="37"/>
        <v>19.821488697479715</v>
      </c>
      <c r="Z104" s="30">
        <f t="shared" ca="1" si="37"/>
        <v>16.183664625616345</v>
      </c>
      <c r="AA104" s="26">
        <v>96</v>
      </c>
      <c r="AB104" s="31">
        <f t="shared" ca="1" si="34"/>
        <v>10</v>
      </c>
      <c r="AC104" s="31">
        <f t="shared" ca="1" si="21"/>
        <v>11</v>
      </c>
      <c r="AD104" s="31">
        <f t="shared" ca="1" si="22"/>
        <v>58</v>
      </c>
      <c r="AE104" s="31">
        <f t="shared" ca="1" si="23"/>
        <v>22</v>
      </c>
      <c r="AF104" s="31">
        <f t="shared" ca="1" si="24"/>
        <v>96</v>
      </c>
      <c r="AG104" s="31">
        <f t="shared" ca="1" si="25"/>
        <v>41</v>
      </c>
      <c r="AH104" s="31">
        <f t="shared" ca="1" si="26"/>
        <v>18</v>
      </c>
      <c r="AI104" s="31">
        <f t="shared" ca="1" si="27"/>
        <v>118</v>
      </c>
      <c r="AJ104" s="31">
        <f t="shared" ca="1" si="28"/>
        <v>20</v>
      </c>
      <c r="AK104" s="31">
        <f t="shared" ca="1" si="29"/>
        <v>20</v>
      </c>
      <c r="AL104" s="31">
        <f t="shared" ca="1" si="30"/>
        <v>30</v>
      </c>
      <c r="AM104" s="31">
        <f t="shared" ca="1" si="31"/>
        <v>22</v>
      </c>
    </row>
    <row r="105" spans="1:39">
      <c r="A105" s="27"/>
      <c r="B105" s="28">
        <v>43373</v>
      </c>
      <c r="C105" s="29">
        <v>3.268541666666667E-3</v>
      </c>
      <c r="D105" s="29">
        <v>2.9312602101700946E-3</v>
      </c>
      <c r="E105" s="29">
        <v>3.2670424557181832E-3</v>
      </c>
      <c r="F105" s="29">
        <v>3.7784555172737377E-3</v>
      </c>
      <c r="G105" s="29">
        <v>-2.4338592419494653E-2</v>
      </c>
      <c r="H105" s="29">
        <v>-5.9999999999999995E-4</v>
      </c>
      <c r="J105" s="24">
        <v>97</v>
      </c>
      <c r="K105" s="25">
        <f t="shared" si="32"/>
        <v>5.3713875667199505E-2</v>
      </c>
      <c r="L105" s="25">
        <f t="shared" si="33"/>
        <v>31.596584686760536</v>
      </c>
      <c r="N105" s="26">
        <v>97</v>
      </c>
      <c r="O105" s="30">
        <f t="shared" ca="1" si="37"/>
        <v>0.94085075016117969</v>
      </c>
      <c r="P105" s="30">
        <f t="shared" ca="1" si="37"/>
        <v>18.359062968898488</v>
      </c>
      <c r="Q105" s="30">
        <f t="shared" ca="1" si="37"/>
        <v>4.9959758341832545</v>
      </c>
      <c r="R105" s="30">
        <f t="shared" ca="1" si="37"/>
        <v>3.4386004699926991</v>
      </c>
      <c r="S105" s="30">
        <f t="shared" ca="1" si="37"/>
        <v>6.1885412512588411</v>
      </c>
      <c r="T105" s="30">
        <f t="shared" ca="1" si="37"/>
        <v>19.108971263162427</v>
      </c>
      <c r="U105" s="30">
        <f t="shared" ca="1" si="37"/>
        <v>31.032713955662189</v>
      </c>
      <c r="V105" s="30">
        <f t="shared" ca="1" si="37"/>
        <v>31.539519501980376</v>
      </c>
      <c r="W105" s="30">
        <f t="shared" ca="1" si="37"/>
        <v>9.0988495975743753</v>
      </c>
      <c r="X105" s="30">
        <f t="shared" ca="1" si="37"/>
        <v>22.157347456259835</v>
      </c>
      <c r="Y105" s="30">
        <f t="shared" ca="1" si="37"/>
        <v>25.43811532498577</v>
      </c>
      <c r="Z105" s="30">
        <f t="shared" ca="1" si="37"/>
        <v>31.773256362122456</v>
      </c>
      <c r="AA105" s="26">
        <v>97</v>
      </c>
      <c r="AB105" s="31">
        <f t="shared" ca="1" si="34"/>
        <v>1</v>
      </c>
      <c r="AC105" s="31">
        <f t="shared" ca="1" si="21"/>
        <v>27</v>
      </c>
      <c r="AD105" s="31">
        <f t="shared" ca="1" si="22"/>
        <v>6</v>
      </c>
      <c r="AE105" s="31">
        <f t="shared" ca="1" si="23"/>
        <v>4</v>
      </c>
      <c r="AF105" s="31">
        <f t="shared" ca="1" si="24"/>
        <v>7</v>
      </c>
      <c r="AG105" s="31">
        <f t="shared" ca="1" si="25"/>
        <v>28</v>
      </c>
      <c r="AH105" s="31">
        <f t="shared" ca="1" si="26"/>
        <v>88</v>
      </c>
      <c r="AI105" s="31">
        <f t="shared" ca="1" si="27"/>
        <v>96</v>
      </c>
      <c r="AJ105" s="31">
        <f t="shared" ca="1" si="28"/>
        <v>11</v>
      </c>
      <c r="AK105" s="31">
        <f t="shared" ca="1" si="29"/>
        <v>36</v>
      </c>
      <c r="AL105" s="31">
        <f t="shared" ca="1" si="30"/>
        <v>48</v>
      </c>
      <c r="AM105" s="31">
        <f t="shared" ca="1" si="31"/>
        <v>101</v>
      </c>
    </row>
    <row r="106" spans="1:39">
      <c r="A106" s="27"/>
      <c r="B106" s="28">
        <v>43343</v>
      </c>
      <c r="C106" s="29">
        <v>3.816875E-3</v>
      </c>
      <c r="D106" s="29">
        <v>5.369831100757283E-3</v>
      </c>
      <c r="E106" s="29">
        <v>3.1290204736413862E-3</v>
      </c>
      <c r="F106" s="29">
        <v>6.0317294099168084E-3</v>
      </c>
      <c r="G106" s="29">
        <v>6.6999275807382297E-3</v>
      </c>
      <c r="H106" s="29">
        <v>9.0000000000000011E-3</v>
      </c>
      <c r="J106" s="24">
        <v>98</v>
      </c>
      <c r="K106" s="25">
        <f t="shared" si="32"/>
        <v>5.2102459397183519E-2</v>
      </c>
      <c r="L106" s="25">
        <f t="shared" si="33"/>
        <v>31.648687146157719</v>
      </c>
      <c r="N106" s="26">
        <v>98</v>
      </c>
      <c r="O106" s="30">
        <f t="shared" ca="1" si="37"/>
        <v>31.536502728751952</v>
      </c>
      <c r="P106" s="30">
        <f t="shared" ca="1" si="37"/>
        <v>9.456689395846416</v>
      </c>
      <c r="Q106" s="30">
        <f t="shared" ca="1" si="37"/>
        <v>1.1650526641555252</v>
      </c>
      <c r="R106" s="30">
        <f t="shared" ca="1" si="37"/>
        <v>6.541435759493802</v>
      </c>
      <c r="S106" s="30">
        <f t="shared" ca="1" si="37"/>
        <v>11.566344130517844</v>
      </c>
      <c r="T106" s="30">
        <f t="shared" ca="1" si="37"/>
        <v>30.049004320959625</v>
      </c>
      <c r="U106" s="30">
        <f t="shared" ca="1" si="37"/>
        <v>11.12765038798821</v>
      </c>
      <c r="V106" s="30">
        <f t="shared" ca="1" si="37"/>
        <v>21.810679051439983</v>
      </c>
      <c r="W106" s="30">
        <f t="shared" ca="1" si="37"/>
        <v>31.438230445867173</v>
      </c>
      <c r="X106" s="30">
        <f t="shared" ca="1" si="37"/>
        <v>27.894338893456879</v>
      </c>
      <c r="Y106" s="30">
        <f t="shared" ca="1" si="37"/>
        <v>12.010501985486975</v>
      </c>
      <c r="Z106" s="30">
        <f t="shared" ca="1" si="37"/>
        <v>29.28075333653149</v>
      </c>
      <c r="AA106" s="26">
        <v>98</v>
      </c>
      <c r="AB106" s="31">
        <f t="shared" ca="1" si="34"/>
        <v>96</v>
      </c>
      <c r="AC106" s="31">
        <f t="shared" ca="1" si="21"/>
        <v>11</v>
      </c>
      <c r="AD106" s="31">
        <f t="shared" ca="1" si="22"/>
        <v>2</v>
      </c>
      <c r="AE106" s="31">
        <f t="shared" ca="1" si="23"/>
        <v>8</v>
      </c>
      <c r="AF106" s="31">
        <f t="shared" ca="1" si="24"/>
        <v>14</v>
      </c>
      <c r="AG106" s="31">
        <f t="shared" ca="1" si="25"/>
        <v>77</v>
      </c>
      <c r="AH106" s="31">
        <f t="shared" ca="1" si="26"/>
        <v>14</v>
      </c>
      <c r="AI106" s="31">
        <f t="shared" ca="1" si="27"/>
        <v>35</v>
      </c>
      <c r="AJ106" s="31">
        <f t="shared" ca="1" si="28"/>
        <v>95</v>
      </c>
      <c r="AK106" s="31">
        <f t="shared" ca="1" si="29"/>
        <v>60</v>
      </c>
      <c r="AL106" s="31">
        <f t="shared" ca="1" si="30"/>
        <v>15</v>
      </c>
      <c r="AM106" s="31">
        <f t="shared" ca="1" si="31"/>
        <v>70</v>
      </c>
    </row>
    <row r="107" spans="1:39">
      <c r="A107" s="27"/>
      <c r="B107" s="28">
        <v>43312</v>
      </c>
      <c r="C107" s="29">
        <v>4.3744444444444438E-3</v>
      </c>
      <c r="D107" s="29">
        <v>2.8151245780232426E-3</v>
      </c>
      <c r="E107" s="29">
        <v>-1.3114788360755858E-2</v>
      </c>
      <c r="F107" s="29">
        <v>-4.1504593661684241E-3</v>
      </c>
      <c r="G107" s="29">
        <v>7.7710481452415214E-2</v>
      </c>
      <c r="H107" s="29">
        <v>6.8999999999999999E-3</v>
      </c>
      <c r="J107" s="24">
        <v>99</v>
      </c>
      <c r="K107" s="25">
        <f t="shared" si="32"/>
        <v>5.0539385615268009E-2</v>
      </c>
      <c r="L107" s="25">
        <f t="shared" si="33"/>
        <v>31.699226531772986</v>
      </c>
      <c r="N107" s="26">
        <v>99</v>
      </c>
      <c r="O107" s="30">
        <f t="shared" ca="1" si="37"/>
        <v>12.608843435172325</v>
      </c>
      <c r="P107" s="30">
        <f t="shared" ca="1" si="37"/>
        <v>4.7382164283822172</v>
      </c>
      <c r="Q107" s="30">
        <f t="shared" ca="1" si="37"/>
        <v>14.123858933369741</v>
      </c>
      <c r="R107" s="30">
        <f t="shared" ca="1" si="37"/>
        <v>17.462176857461618</v>
      </c>
      <c r="S107" s="30">
        <f t="shared" ca="1" si="37"/>
        <v>25.989485086202333</v>
      </c>
      <c r="T107" s="30">
        <f t="shared" ca="1" si="37"/>
        <v>28.203500962397605</v>
      </c>
      <c r="U107" s="30">
        <f t="shared" ca="1" si="37"/>
        <v>0.99291679930065901</v>
      </c>
      <c r="V107" s="30">
        <f t="shared" ca="1" si="37"/>
        <v>13.826209234453662</v>
      </c>
      <c r="W107" s="30">
        <f t="shared" ca="1" si="37"/>
        <v>7.0827527348456041</v>
      </c>
      <c r="X107" s="30">
        <f t="shared" ca="1" si="37"/>
        <v>2.1896636480829819</v>
      </c>
      <c r="Y107" s="30">
        <f t="shared" ca="1" si="37"/>
        <v>13.261014411794967</v>
      </c>
      <c r="Z107" s="30">
        <f t="shared" ca="1" si="37"/>
        <v>15.190165734983125</v>
      </c>
      <c r="AA107" s="26">
        <v>99</v>
      </c>
      <c r="AB107" s="31">
        <f t="shared" ca="1" si="34"/>
        <v>16</v>
      </c>
      <c r="AC107" s="31">
        <f t="shared" ca="1" si="21"/>
        <v>6</v>
      </c>
      <c r="AD107" s="31">
        <f t="shared" ca="1" si="22"/>
        <v>19</v>
      </c>
      <c r="AE107" s="31">
        <f t="shared" ca="1" si="23"/>
        <v>25</v>
      </c>
      <c r="AF107" s="31">
        <f t="shared" ca="1" si="24"/>
        <v>50</v>
      </c>
      <c r="AG107" s="31">
        <f t="shared" ca="1" si="25"/>
        <v>62</v>
      </c>
      <c r="AH107" s="31">
        <f t="shared" ca="1" si="26"/>
        <v>1</v>
      </c>
      <c r="AI107" s="31">
        <f t="shared" ca="1" si="27"/>
        <v>18</v>
      </c>
      <c r="AJ107" s="31">
        <f t="shared" ca="1" si="28"/>
        <v>8</v>
      </c>
      <c r="AK107" s="31">
        <f t="shared" ca="1" si="29"/>
        <v>3</v>
      </c>
      <c r="AL107" s="31">
        <f t="shared" ca="1" si="30"/>
        <v>17</v>
      </c>
      <c r="AM107" s="31">
        <f t="shared" ca="1" si="31"/>
        <v>20</v>
      </c>
    </row>
    <row r="108" spans="1:39">
      <c r="A108" s="27"/>
      <c r="B108" s="28">
        <v>43281</v>
      </c>
      <c r="C108" s="29">
        <v>4.3395833333333333E-3</v>
      </c>
      <c r="D108" s="29">
        <v>8.190688170903293E-3</v>
      </c>
      <c r="E108" s="29">
        <v>2.9556185575114746E-3</v>
      </c>
      <c r="F108" s="29">
        <v>5.0202276395496792E-3</v>
      </c>
      <c r="G108" s="29">
        <v>-6.3350635455373561E-2</v>
      </c>
      <c r="H108" s="29">
        <v>-4.4000000000000003E-3</v>
      </c>
      <c r="J108" s="24">
        <v>100</v>
      </c>
      <c r="K108" s="25">
        <f t="shared" si="32"/>
        <v>4.9023204046809966E-2</v>
      </c>
      <c r="L108" s="25">
        <f t="shared" si="33"/>
        <v>31.748249735819797</v>
      </c>
      <c r="N108" s="26">
        <v>100</v>
      </c>
      <c r="O108" s="30">
        <f t="shared" ca="1" si="37"/>
        <v>12.390219920535072</v>
      </c>
      <c r="P108" s="30">
        <f t="shared" ca="1" si="37"/>
        <v>27.994137776703109</v>
      </c>
      <c r="Q108" s="30">
        <f t="shared" ca="1" si="37"/>
        <v>12.460032158649534</v>
      </c>
      <c r="R108" s="30">
        <f t="shared" ca="1" si="37"/>
        <v>2.1446617406901094</v>
      </c>
      <c r="S108" s="30">
        <f t="shared" ca="1" si="37"/>
        <v>27.34746614286226</v>
      </c>
      <c r="T108" s="30">
        <f t="shared" ca="1" si="37"/>
        <v>3.6528971149413207</v>
      </c>
      <c r="U108" s="30">
        <f t="shared" ca="1" si="37"/>
        <v>28.562415946169857</v>
      </c>
      <c r="V108" s="30">
        <f t="shared" ca="1" si="37"/>
        <v>17.574520087995278</v>
      </c>
      <c r="W108" s="30">
        <f t="shared" ca="1" si="37"/>
        <v>17.530765626742514</v>
      </c>
      <c r="X108" s="30">
        <f t="shared" ca="1" si="37"/>
        <v>7.7989517120450653</v>
      </c>
      <c r="Y108" s="30">
        <f t="shared" ca="1" si="37"/>
        <v>26.425448897204109</v>
      </c>
      <c r="Z108" s="30">
        <f t="shared" ca="1" si="37"/>
        <v>5.8012102712951599</v>
      </c>
      <c r="AA108" s="26">
        <v>100</v>
      </c>
      <c r="AB108" s="31">
        <f t="shared" ca="1" si="34"/>
        <v>16</v>
      </c>
      <c r="AC108" s="31">
        <f t="shared" ca="1" si="21"/>
        <v>61</v>
      </c>
      <c r="AD108" s="31">
        <f t="shared" ca="1" si="22"/>
        <v>16</v>
      </c>
      <c r="AE108" s="31">
        <f t="shared" ca="1" si="23"/>
        <v>3</v>
      </c>
      <c r="AF108" s="31">
        <f t="shared" ca="1" si="24"/>
        <v>57</v>
      </c>
      <c r="AG108" s="31">
        <f t="shared" ca="1" si="25"/>
        <v>4</v>
      </c>
      <c r="AH108" s="31">
        <f t="shared" ca="1" si="26"/>
        <v>64</v>
      </c>
      <c r="AI108" s="31">
        <f t="shared" ca="1" si="27"/>
        <v>25</v>
      </c>
      <c r="AJ108" s="31">
        <f t="shared" ca="1" si="28"/>
        <v>25</v>
      </c>
      <c r="AK108" s="31">
        <f t="shared" ca="1" si="29"/>
        <v>9</v>
      </c>
      <c r="AL108" s="31">
        <f t="shared" ca="1" si="30"/>
        <v>52</v>
      </c>
      <c r="AM108" s="31">
        <f t="shared" ca="1" si="31"/>
        <v>7</v>
      </c>
    </row>
    <row r="109" spans="1:39">
      <c r="A109" s="27"/>
      <c r="B109" s="28">
        <v>43251</v>
      </c>
      <c r="C109" s="29">
        <v>4.3322222222222226E-3</v>
      </c>
      <c r="D109" s="29">
        <v>6.2093032901011647E-3</v>
      </c>
      <c r="E109" s="29">
        <v>1.1448985757673613E-2</v>
      </c>
      <c r="F109" s="29">
        <v>8.7112802621842622E-3</v>
      </c>
      <c r="G109" s="29">
        <v>-9.1181691127658504E-2</v>
      </c>
      <c r="H109" s="29">
        <v>-7.4000000000000003E-3</v>
      </c>
      <c r="J109" s="24">
        <v>101</v>
      </c>
      <c r="K109" s="25">
        <f t="shared" si="32"/>
        <v>4.755250792540567E-2</v>
      </c>
      <c r="L109" s="25">
        <f t="shared" si="33"/>
        <v>31.795802243745204</v>
      </c>
      <c r="N109" s="26">
        <v>101</v>
      </c>
      <c r="O109" s="30">
        <f t="shared" ref="O109:Z118" ca="1" si="38">RAND()*sumweights</f>
        <v>25.116709737902479</v>
      </c>
      <c r="P109" s="30">
        <f t="shared" ca="1" si="38"/>
        <v>25.902036427686816</v>
      </c>
      <c r="Q109" s="30">
        <f t="shared" ca="1" si="38"/>
        <v>26.184668810096227</v>
      </c>
      <c r="R109" s="30">
        <f t="shared" ca="1" si="38"/>
        <v>23.618841470278316</v>
      </c>
      <c r="S109" s="30">
        <f t="shared" ca="1" si="38"/>
        <v>0.4515767922717539</v>
      </c>
      <c r="T109" s="30">
        <f t="shared" ca="1" si="38"/>
        <v>29.061052271095328</v>
      </c>
      <c r="U109" s="30">
        <f t="shared" ca="1" si="38"/>
        <v>12.803657903019412</v>
      </c>
      <c r="V109" s="30">
        <f t="shared" ca="1" si="38"/>
        <v>3.49172047310334</v>
      </c>
      <c r="W109" s="30">
        <f t="shared" ca="1" si="38"/>
        <v>3.4881103550390327</v>
      </c>
      <c r="X109" s="30">
        <f t="shared" ca="1" si="38"/>
        <v>27.240294552706626</v>
      </c>
      <c r="Y109" s="30">
        <f t="shared" ca="1" si="38"/>
        <v>29.526007826981292</v>
      </c>
      <c r="Z109" s="30">
        <f t="shared" ca="1" si="38"/>
        <v>23.696938127490906</v>
      </c>
      <c r="AA109" s="26">
        <v>101</v>
      </c>
      <c r="AB109" s="31">
        <f t="shared" ca="1" si="34"/>
        <v>46</v>
      </c>
      <c r="AC109" s="31">
        <f t="shared" ca="1" si="21"/>
        <v>50</v>
      </c>
      <c r="AD109" s="31">
        <f t="shared" ca="1" si="22"/>
        <v>51</v>
      </c>
      <c r="AE109" s="31">
        <f t="shared" ca="1" si="23"/>
        <v>41</v>
      </c>
      <c r="AF109" s="31">
        <f t="shared" ca="1" si="24"/>
        <v>1</v>
      </c>
      <c r="AG109" s="31">
        <f t="shared" ca="1" si="25"/>
        <v>68</v>
      </c>
      <c r="AH109" s="31">
        <f t="shared" ca="1" si="26"/>
        <v>16</v>
      </c>
      <c r="AI109" s="31">
        <f t="shared" ca="1" si="27"/>
        <v>4</v>
      </c>
      <c r="AJ109" s="31">
        <f t="shared" ca="1" si="28"/>
        <v>4</v>
      </c>
      <c r="AK109" s="31">
        <f t="shared" ca="1" si="29"/>
        <v>56</v>
      </c>
      <c r="AL109" s="31">
        <f t="shared" ca="1" si="30"/>
        <v>72</v>
      </c>
      <c r="AM109" s="31">
        <f t="shared" ca="1" si="31"/>
        <v>41</v>
      </c>
    </row>
    <row r="110" spans="1:39">
      <c r="A110" s="27"/>
      <c r="B110" s="28">
        <v>43220</v>
      </c>
      <c r="C110" s="29">
        <v>6.0144791666666671E-3</v>
      </c>
      <c r="D110" s="29">
        <v>1.3115718453245551E-2</v>
      </c>
      <c r="E110" s="29">
        <v>9.7624157697269176E-3</v>
      </c>
      <c r="F110" s="29">
        <v>1.6353633902093101E-2</v>
      </c>
      <c r="G110" s="29">
        <v>3.5479069210527125E-2</v>
      </c>
      <c r="H110" s="29">
        <v>1.9299999999999998E-2</v>
      </c>
      <c r="J110" s="24">
        <v>102</v>
      </c>
      <c r="K110" s="25">
        <f t="shared" si="32"/>
        <v>4.6125932687643499E-2</v>
      </c>
      <c r="L110" s="25">
        <f t="shared" si="33"/>
        <v>31.841928176432848</v>
      </c>
      <c r="N110" s="26">
        <v>102</v>
      </c>
      <c r="O110" s="30">
        <f t="shared" ca="1" si="38"/>
        <v>17.403440568088381</v>
      </c>
      <c r="P110" s="30">
        <f t="shared" ca="1" si="38"/>
        <v>17.901979041974212</v>
      </c>
      <c r="Q110" s="30">
        <f t="shared" ca="1" si="38"/>
        <v>23.351456710411647</v>
      </c>
      <c r="R110" s="30">
        <f t="shared" ca="1" si="38"/>
        <v>22.828791965322548</v>
      </c>
      <c r="S110" s="30">
        <f t="shared" ca="1" si="38"/>
        <v>31.286476391249337</v>
      </c>
      <c r="T110" s="30">
        <f t="shared" ca="1" si="38"/>
        <v>5.3118608971921661</v>
      </c>
      <c r="U110" s="30">
        <f t="shared" ca="1" si="38"/>
        <v>20.486994968281113</v>
      </c>
      <c r="V110" s="30">
        <f t="shared" ca="1" si="38"/>
        <v>5.5222596432566355</v>
      </c>
      <c r="W110" s="30">
        <f t="shared" ca="1" si="38"/>
        <v>32.444469287578286</v>
      </c>
      <c r="X110" s="30">
        <f t="shared" ca="1" si="38"/>
        <v>31.097960520712597</v>
      </c>
      <c r="Y110" s="30">
        <f t="shared" ca="1" si="38"/>
        <v>17.277940713665004</v>
      </c>
      <c r="Z110" s="30">
        <f t="shared" ca="1" si="38"/>
        <v>20.626860356707979</v>
      </c>
      <c r="AA110" s="26">
        <v>102</v>
      </c>
      <c r="AB110" s="31">
        <f t="shared" ca="1" si="34"/>
        <v>25</v>
      </c>
      <c r="AC110" s="31">
        <f t="shared" ca="1" si="21"/>
        <v>26</v>
      </c>
      <c r="AD110" s="31">
        <f t="shared" ca="1" si="22"/>
        <v>40</v>
      </c>
      <c r="AE110" s="31">
        <f t="shared" ca="1" si="23"/>
        <v>38</v>
      </c>
      <c r="AF110" s="31">
        <f t="shared" ca="1" si="24"/>
        <v>92</v>
      </c>
      <c r="AG110" s="31">
        <f t="shared" ca="1" si="25"/>
        <v>6</v>
      </c>
      <c r="AH110" s="31">
        <f t="shared" ca="1" si="26"/>
        <v>32</v>
      </c>
      <c r="AI110" s="31">
        <f t="shared" ca="1" si="27"/>
        <v>6</v>
      </c>
      <c r="AJ110" s="31">
        <f t="shared" ca="1" si="28"/>
        <v>119</v>
      </c>
      <c r="AK110" s="31">
        <f t="shared" ca="1" si="29"/>
        <v>89</v>
      </c>
      <c r="AL110" s="31">
        <f t="shared" ca="1" si="30"/>
        <v>24</v>
      </c>
      <c r="AM110" s="31">
        <f t="shared" ca="1" si="31"/>
        <v>32</v>
      </c>
    </row>
    <row r="111" spans="1:39">
      <c r="A111" s="27"/>
      <c r="B111" s="28">
        <v>43190</v>
      </c>
      <c r="C111" s="29">
        <v>5.4807986111111116E-3</v>
      </c>
      <c r="D111" s="29">
        <v>1.2323323165173816E-2</v>
      </c>
      <c r="E111" s="29">
        <v>2.0025003958050069E-2</v>
      </c>
      <c r="F111" s="29">
        <v>1.8550337627088798E-2</v>
      </c>
      <c r="G111" s="29">
        <v>4.8944003990338825E-3</v>
      </c>
      <c r="H111" s="29">
        <v>1.38E-2</v>
      </c>
      <c r="J111" s="24">
        <v>103</v>
      </c>
      <c r="K111" s="25">
        <f t="shared" si="32"/>
        <v>4.474215470701419E-2</v>
      </c>
      <c r="L111" s="25">
        <f t="shared" si="33"/>
        <v>31.886670331139861</v>
      </c>
      <c r="N111" s="26">
        <v>103</v>
      </c>
      <c r="O111" s="30">
        <f t="shared" ca="1" si="38"/>
        <v>0.48250196876459261</v>
      </c>
      <c r="P111" s="30">
        <f t="shared" ca="1" si="38"/>
        <v>5.3229685481444289</v>
      </c>
      <c r="Q111" s="30">
        <f t="shared" ca="1" si="38"/>
        <v>29.890754971549658</v>
      </c>
      <c r="R111" s="30">
        <f t="shared" ca="1" si="38"/>
        <v>16.703938368731546</v>
      </c>
      <c r="S111" s="30">
        <f t="shared" ca="1" si="38"/>
        <v>10.98439588407382</v>
      </c>
      <c r="T111" s="30">
        <f t="shared" ca="1" si="38"/>
        <v>22.376588377322758</v>
      </c>
      <c r="U111" s="30">
        <f t="shared" ca="1" si="38"/>
        <v>11.81010095186598</v>
      </c>
      <c r="V111" s="30">
        <f t="shared" ca="1" si="38"/>
        <v>24.518451584656987</v>
      </c>
      <c r="W111" s="30">
        <f t="shared" ca="1" si="38"/>
        <v>26.967002799631807</v>
      </c>
      <c r="X111" s="30">
        <f t="shared" ca="1" si="38"/>
        <v>4.4424368371297671</v>
      </c>
      <c r="Y111" s="30">
        <f t="shared" ca="1" si="38"/>
        <v>21.987205867334954</v>
      </c>
      <c r="Z111" s="30">
        <f t="shared" ca="1" si="38"/>
        <v>19.35966936358172</v>
      </c>
      <c r="AA111" s="26">
        <v>103</v>
      </c>
      <c r="AB111" s="31">
        <f t="shared" ca="1" si="34"/>
        <v>1</v>
      </c>
      <c r="AC111" s="31">
        <f t="shared" ca="1" si="21"/>
        <v>6</v>
      </c>
      <c r="AD111" s="31">
        <f t="shared" ca="1" si="22"/>
        <v>75</v>
      </c>
      <c r="AE111" s="31">
        <f t="shared" ca="1" si="23"/>
        <v>23</v>
      </c>
      <c r="AF111" s="31">
        <f t="shared" ca="1" si="24"/>
        <v>14</v>
      </c>
      <c r="AG111" s="31">
        <f t="shared" ca="1" si="25"/>
        <v>37</v>
      </c>
      <c r="AH111" s="31">
        <f t="shared" ca="1" si="26"/>
        <v>15</v>
      </c>
      <c r="AI111" s="31">
        <f t="shared" ca="1" si="27"/>
        <v>44</v>
      </c>
      <c r="AJ111" s="31">
        <f t="shared" ca="1" si="28"/>
        <v>55</v>
      </c>
      <c r="AK111" s="31">
        <f t="shared" ca="1" si="29"/>
        <v>5</v>
      </c>
      <c r="AL111" s="31">
        <f t="shared" ca="1" si="30"/>
        <v>36</v>
      </c>
      <c r="AM111" s="31">
        <f t="shared" ca="1" si="31"/>
        <v>29</v>
      </c>
    </row>
    <row r="112" spans="1:39">
      <c r="A112" s="27"/>
      <c r="B112" s="28">
        <v>43159</v>
      </c>
      <c r="C112" s="29">
        <v>5.5166666666666662E-3</v>
      </c>
      <c r="D112" s="29">
        <v>9.167785811088347E-3</v>
      </c>
      <c r="E112" s="29">
        <v>1.9304181366929685E-2</v>
      </c>
      <c r="F112" s="29">
        <v>1.6350956030388275E-2</v>
      </c>
      <c r="G112" s="29">
        <v>-7.8839541439010952E-2</v>
      </c>
      <c r="H112" s="29">
        <v>-1.54E-2</v>
      </c>
      <c r="J112" s="24">
        <v>104</v>
      </c>
      <c r="K112" s="25">
        <f t="shared" si="32"/>
        <v>4.3399890065803762E-2</v>
      </c>
      <c r="L112" s="25">
        <f t="shared" si="33"/>
        <v>31.930070221205664</v>
      </c>
      <c r="N112" s="26">
        <v>104</v>
      </c>
      <c r="O112" s="30">
        <f t="shared" ca="1" si="38"/>
        <v>29.32661605159926</v>
      </c>
      <c r="P112" s="30">
        <f t="shared" ca="1" si="38"/>
        <v>14.745394279550281</v>
      </c>
      <c r="Q112" s="30">
        <f t="shared" ca="1" si="38"/>
        <v>4.3112187150842161</v>
      </c>
      <c r="R112" s="30">
        <f t="shared" ca="1" si="38"/>
        <v>22.408270408619373</v>
      </c>
      <c r="S112" s="30">
        <f t="shared" ca="1" si="38"/>
        <v>0.58343148783896703</v>
      </c>
      <c r="T112" s="30">
        <f t="shared" ca="1" si="38"/>
        <v>4.8065904576028631</v>
      </c>
      <c r="U112" s="30">
        <f t="shared" ca="1" si="38"/>
        <v>26.972520551278446</v>
      </c>
      <c r="V112" s="30">
        <f t="shared" ca="1" si="38"/>
        <v>9.9207934800157371</v>
      </c>
      <c r="W112" s="30">
        <f t="shared" ca="1" si="38"/>
        <v>21.944142110894354</v>
      </c>
      <c r="X112" s="30">
        <f t="shared" ca="1" si="38"/>
        <v>2.5768344729969597</v>
      </c>
      <c r="Y112" s="30">
        <f t="shared" ca="1" si="38"/>
        <v>23.818754193646956</v>
      </c>
      <c r="Z112" s="30">
        <f t="shared" ca="1" si="38"/>
        <v>19.859015171863284</v>
      </c>
      <c r="AA112" s="26">
        <v>104</v>
      </c>
      <c r="AB112" s="31">
        <f t="shared" ca="1" si="34"/>
        <v>70</v>
      </c>
      <c r="AC112" s="31">
        <f t="shared" ca="1" si="21"/>
        <v>20</v>
      </c>
      <c r="AD112" s="31">
        <f t="shared" ca="1" si="22"/>
        <v>5</v>
      </c>
      <c r="AE112" s="31">
        <f t="shared" ca="1" si="23"/>
        <v>37</v>
      </c>
      <c r="AF112" s="31">
        <f t="shared" ca="1" si="24"/>
        <v>1</v>
      </c>
      <c r="AG112" s="31">
        <f t="shared" ca="1" si="25"/>
        <v>6</v>
      </c>
      <c r="AH112" s="31">
        <f t="shared" ca="1" si="26"/>
        <v>55</v>
      </c>
      <c r="AI112" s="31">
        <f t="shared" ca="1" si="27"/>
        <v>12</v>
      </c>
      <c r="AJ112" s="31">
        <f t="shared" ca="1" si="28"/>
        <v>36</v>
      </c>
      <c r="AK112" s="31">
        <f t="shared" ca="1" si="29"/>
        <v>3</v>
      </c>
      <c r="AL112" s="31">
        <f t="shared" ca="1" si="30"/>
        <v>42</v>
      </c>
      <c r="AM112" s="31">
        <f t="shared" ca="1" si="31"/>
        <v>30</v>
      </c>
    </row>
    <row r="113" spans="1:39">
      <c r="A113" s="27"/>
      <c r="B113" s="28">
        <v>43131</v>
      </c>
      <c r="C113" s="29">
        <v>5.8822222222222218E-3</v>
      </c>
      <c r="D113" s="29">
        <v>5.5310962299750521E-3</v>
      </c>
      <c r="E113" s="29">
        <v>1.0208785401886633E-2</v>
      </c>
      <c r="F113" s="29">
        <v>6.6172518810461156E-3</v>
      </c>
      <c r="G113" s="29">
        <v>-4.2275948010668252E-3</v>
      </c>
      <c r="H113" s="29">
        <v>-1.01E-2</v>
      </c>
      <c r="J113" s="24">
        <v>105</v>
      </c>
      <c r="K113" s="25">
        <f t="shared" si="32"/>
        <v>4.2097893363829644E-2</v>
      </c>
      <c r="L113" s="25">
        <f t="shared" si="33"/>
        <v>31.972168114569495</v>
      </c>
      <c r="N113" s="26">
        <v>105</v>
      </c>
      <c r="O113" s="30">
        <f t="shared" ca="1" si="38"/>
        <v>32.808359224456758</v>
      </c>
      <c r="P113" s="30">
        <f t="shared" ca="1" si="38"/>
        <v>31.043999072454888</v>
      </c>
      <c r="Q113" s="30">
        <f t="shared" ca="1" si="38"/>
        <v>7.1352190678082659</v>
      </c>
      <c r="R113" s="30">
        <f t="shared" ca="1" si="38"/>
        <v>14.097108862182749</v>
      </c>
      <c r="S113" s="30">
        <f t="shared" ca="1" si="38"/>
        <v>26.184407105279973</v>
      </c>
      <c r="T113" s="30">
        <f t="shared" ca="1" si="38"/>
        <v>1.6045848565560419E-2</v>
      </c>
      <c r="U113" s="30">
        <f t="shared" ca="1" si="38"/>
        <v>6.7293559842905948</v>
      </c>
      <c r="V113" s="30">
        <f t="shared" ca="1" si="38"/>
        <v>29.378527976930389</v>
      </c>
      <c r="W113" s="30">
        <f t="shared" ca="1" si="38"/>
        <v>18.322726384859827</v>
      </c>
      <c r="X113" s="30">
        <f t="shared" ca="1" si="38"/>
        <v>22.269611499588894</v>
      </c>
      <c r="Y113" s="30">
        <f t="shared" ca="1" si="38"/>
        <v>31.556945778029299</v>
      </c>
      <c r="Z113" s="30">
        <f t="shared" ca="1" si="38"/>
        <v>4.131540214246451</v>
      </c>
      <c r="AA113" s="26">
        <v>105</v>
      </c>
      <c r="AB113" s="31">
        <f t="shared" ca="1" si="34"/>
        <v>137</v>
      </c>
      <c r="AC113" s="31">
        <f t="shared" ca="1" si="21"/>
        <v>88</v>
      </c>
      <c r="AD113" s="31">
        <f t="shared" ca="1" si="22"/>
        <v>8</v>
      </c>
      <c r="AE113" s="31">
        <f t="shared" ca="1" si="23"/>
        <v>19</v>
      </c>
      <c r="AF113" s="31">
        <f t="shared" ca="1" si="24"/>
        <v>51</v>
      </c>
      <c r="AG113" s="31">
        <f t="shared" ca="1" si="25"/>
        <v>1</v>
      </c>
      <c r="AH113" s="31">
        <f t="shared" ca="1" si="26"/>
        <v>8</v>
      </c>
      <c r="AI113" s="31">
        <f t="shared" ca="1" si="27"/>
        <v>70</v>
      </c>
      <c r="AJ113" s="31">
        <f t="shared" ca="1" si="28"/>
        <v>27</v>
      </c>
      <c r="AK113" s="31">
        <f t="shared" ca="1" si="29"/>
        <v>37</v>
      </c>
      <c r="AL113" s="31">
        <f t="shared" ca="1" si="30"/>
        <v>97</v>
      </c>
      <c r="AM113" s="31">
        <f t="shared" ca="1" si="31"/>
        <v>5</v>
      </c>
    </row>
    <row r="114" spans="1:39">
      <c r="A114" s="27"/>
      <c r="B114" s="28">
        <v>43100</v>
      </c>
      <c r="C114" s="29">
        <v>5.3408333333333337E-3</v>
      </c>
      <c r="D114" s="29">
        <v>7.435844872248909E-3</v>
      </c>
      <c r="E114" s="29">
        <v>2.7553321299844669E-4</v>
      </c>
      <c r="F114" s="29">
        <v>6.2870405840864674E-3</v>
      </c>
      <c r="G114" s="29">
        <v>-5.2793342811741972E-2</v>
      </c>
      <c r="H114" s="29">
        <v>-1.1599999999999999E-2</v>
      </c>
      <c r="J114" s="24">
        <v>106</v>
      </c>
      <c r="K114" s="25">
        <f t="shared" si="32"/>
        <v>4.0834956562914755E-2</v>
      </c>
      <c r="L114" s="25">
        <f t="shared" si="33"/>
        <v>32.01300307113241</v>
      </c>
      <c r="N114" s="26">
        <v>106</v>
      </c>
      <c r="O114" s="30">
        <f t="shared" ca="1" si="38"/>
        <v>27.759321362309038</v>
      </c>
      <c r="P114" s="30">
        <f t="shared" ca="1" si="38"/>
        <v>28.410958996443728</v>
      </c>
      <c r="Q114" s="30">
        <f t="shared" ca="1" si="38"/>
        <v>22.759924378235919</v>
      </c>
      <c r="R114" s="30">
        <f t="shared" ca="1" si="38"/>
        <v>15.510727759949932</v>
      </c>
      <c r="S114" s="30">
        <f t="shared" ca="1" si="38"/>
        <v>26.009997269336377</v>
      </c>
      <c r="T114" s="30">
        <f t="shared" ca="1" si="38"/>
        <v>26.16283180487985</v>
      </c>
      <c r="U114" s="30">
        <f t="shared" ca="1" si="38"/>
        <v>32.948134784054147</v>
      </c>
      <c r="V114" s="30">
        <f t="shared" ca="1" si="38"/>
        <v>18.305112945970009</v>
      </c>
      <c r="W114" s="30">
        <f t="shared" ca="1" si="38"/>
        <v>4.6865001395302555</v>
      </c>
      <c r="X114" s="30">
        <f t="shared" ca="1" si="38"/>
        <v>12.499838293401304</v>
      </c>
      <c r="Y114" s="30">
        <f t="shared" ca="1" si="38"/>
        <v>20.619793504407628</v>
      </c>
      <c r="Z114" s="30">
        <f t="shared" ca="1" si="38"/>
        <v>10.873134078726846</v>
      </c>
      <c r="AA114" s="26">
        <v>106</v>
      </c>
      <c r="AB114" s="31">
        <f t="shared" ca="1" si="34"/>
        <v>59</v>
      </c>
      <c r="AC114" s="31">
        <f t="shared" ca="1" si="21"/>
        <v>63</v>
      </c>
      <c r="AD114" s="31">
        <f t="shared" ca="1" si="22"/>
        <v>38</v>
      </c>
      <c r="AE114" s="31">
        <f t="shared" ca="1" si="23"/>
        <v>21</v>
      </c>
      <c r="AF114" s="31">
        <f t="shared" ca="1" si="24"/>
        <v>50</v>
      </c>
      <c r="AG114" s="31">
        <f t="shared" ca="1" si="25"/>
        <v>51</v>
      </c>
      <c r="AH114" s="31">
        <f t="shared" ca="1" si="26"/>
        <v>147</v>
      </c>
      <c r="AI114" s="31">
        <f t="shared" ca="1" si="27"/>
        <v>27</v>
      </c>
      <c r="AJ114" s="31">
        <f t="shared" ca="1" si="28"/>
        <v>5</v>
      </c>
      <c r="AK114" s="31">
        <f t="shared" ca="1" si="29"/>
        <v>16</v>
      </c>
      <c r="AL114" s="31">
        <f t="shared" ca="1" si="30"/>
        <v>32</v>
      </c>
      <c r="AM114" s="31">
        <f t="shared" ca="1" si="31"/>
        <v>13</v>
      </c>
    </row>
    <row r="115" spans="1:39">
      <c r="A115" s="27"/>
      <c r="B115" s="28">
        <v>43069</v>
      </c>
      <c r="C115" s="29">
        <v>5.7010980555555557E-3</v>
      </c>
      <c r="D115" s="29">
        <v>7.9583735113271104E-3</v>
      </c>
      <c r="E115" s="29">
        <v>1.3766802339501227E-2</v>
      </c>
      <c r="F115" s="29">
        <v>1.4493747571039828E-2</v>
      </c>
      <c r="G115" s="29">
        <v>6.2114374917039195E-2</v>
      </c>
      <c r="H115" s="29">
        <v>0.02</v>
      </c>
      <c r="J115" s="24">
        <v>107</v>
      </c>
      <c r="K115" s="25">
        <f t="shared" si="32"/>
        <v>3.9609907866027312E-2</v>
      </c>
      <c r="L115" s="25">
        <f t="shared" si="33"/>
        <v>32.05261297899844</v>
      </c>
      <c r="N115" s="26">
        <v>107</v>
      </c>
      <c r="O115" s="30">
        <f t="shared" ca="1" si="38"/>
        <v>12.027296267537542</v>
      </c>
      <c r="P115" s="30">
        <f t="shared" ca="1" si="38"/>
        <v>22.151961852497511</v>
      </c>
      <c r="Q115" s="30">
        <f t="shared" ca="1" si="38"/>
        <v>10.88806101011534</v>
      </c>
      <c r="R115" s="30">
        <f t="shared" ca="1" si="38"/>
        <v>21.294244527591751</v>
      </c>
      <c r="S115" s="30">
        <f t="shared" ca="1" si="38"/>
        <v>22.863647661292209</v>
      </c>
      <c r="T115" s="30">
        <f t="shared" ca="1" si="38"/>
        <v>8.9637396985919729E-2</v>
      </c>
      <c r="U115" s="30">
        <f t="shared" ca="1" si="38"/>
        <v>25.656769172584642</v>
      </c>
      <c r="V115" s="30">
        <f t="shared" ca="1" si="38"/>
        <v>3.4310186767409885</v>
      </c>
      <c r="W115" s="30">
        <f t="shared" ca="1" si="38"/>
        <v>20.859041447013293</v>
      </c>
      <c r="X115" s="30">
        <f t="shared" ca="1" si="38"/>
        <v>22.375968969766824</v>
      </c>
      <c r="Y115" s="30">
        <f t="shared" ca="1" si="38"/>
        <v>11.750616773975647</v>
      </c>
      <c r="Z115" s="30">
        <f t="shared" ca="1" si="38"/>
        <v>24.763831242327214</v>
      </c>
      <c r="AA115" s="26">
        <v>107</v>
      </c>
      <c r="AB115" s="31">
        <f t="shared" ca="1" si="34"/>
        <v>15</v>
      </c>
      <c r="AC115" s="31">
        <f t="shared" ca="1" si="21"/>
        <v>36</v>
      </c>
      <c r="AD115" s="31">
        <f t="shared" ca="1" si="22"/>
        <v>13</v>
      </c>
      <c r="AE115" s="31">
        <f t="shared" ca="1" si="23"/>
        <v>34</v>
      </c>
      <c r="AF115" s="31">
        <f t="shared" ca="1" si="24"/>
        <v>39</v>
      </c>
      <c r="AG115" s="31">
        <f t="shared" ca="1" si="25"/>
        <v>1</v>
      </c>
      <c r="AH115" s="31">
        <f t="shared" ca="1" si="26"/>
        <v>49</v>
      </c>
      <c r="AI115" s="31">
        <f t="shared" ca="1" si="27"/>
        <v>4</v>
      </c>
      <c r="AJ115" s="31">
        <f t="shared" ca="1" si="28"/>
        <v>33</v>
      </c>
      <c r="AK115" s="31">
        <f t="shared" ca="1" si="29"/>
        <v>37</v>
      </c>
      <c r="AL115" s="31">
        <f t="shared" ca="1" si="30"/>
        <v>15</v>
      </c>
      <c r="AM115" s="31">
        <f t="shared" ca="1" si="31"/>
        <v>45</v>
      </c>
    </row>
    <row r="116" spans="1:39">
      <c r="A116" s="27"/>
      <c r="B116" s="28">
        <v>43039</v>
      </c>
      <c r="C116" s="29">
        <v>5.719396666666667E-3</v>
      </c>
      <c r="D116" s="29">
        <v>6.4848717835603864E-3</v>
      </c>
      <c r="E116" s="29">
        <v>9.9659740573776467E-3</v>
      </c>
      <c r="F116" s="29">
        <v>9.0773826687735593E-3</v>
      </c>
      <c r="G116" s="29">
        <v>-1.5634206564886122E-2</v>
      </c>
      <c r="H116" s="29">
        <v>-2.2000000000000001E-3</v>
      </c>
      <c r="J116" s="24">
        <v>108</v>
      </c>
      <c r="K116" s="25">
        <f t="shared" si="32"/>
        <v>3.8421610630046489E-2</v>
      </c>
      <c r="L116" s="25">
        <f t="shared" si="33"/>
        <v>32.091034589628485</v>
      </c>
      <c r="N116" s="26">
        <v>108</v>
      </c>
      <c r="O116" s="30">
        <f t="shared" ca="1" si="38"/>
        <v>14.444126822639618</v>
      </c>
      <c r="P116" s="30">
        <f t="shared" ca="1" si="38"/>
        <v>24.103835509642369</v>
      </c>
      <c r="Q116" s="30">
        <f t="shared" ca="1" si="38"/>
        <v>27.220794290247799</v>
      </c>
      <c r="R116" s="30">
        <f t="shared" ca="1" si="38"/>
        <v>6.3885965689988504</v>
      </c>
      <c r="S116" s="30">
        <f t="shared" ca="1" si="38"/>
        <v>18.28314365304815</v>
      </c>
      <c r="T116" s="30">
        <f t="shared" ca="1" si="38"/>
        <v>27.959414503358783</v>
      </c>
      <c r="U116" s="30">
        <f t="shared" ca="1" si="38"/>
        <v>22.212011489529147</v>
      </c>
      <c r="V116" s="30">
        <f t="shared" ca="1" si="38"/>
        <v>12.019071080439206</v>
      </c>
      <c r="W116" s="30">
        <f t="shared" ca="1" si="38"/>
        <v>23.624844511612697</v>
      </c>
      <c r="X116" s="30">
        <f t="shared" ca="1" si="38"/>
        <v>7.0207777263505387</v>
      </c>
      <c r="Y116" s="30">
        <f t="shared" ca="1" si="38"/>
        <v>16.943381027560918</v>
      </c>
      <c r="Z116" s="30">
        <f t="shared" ca="1" si="38"/>
        <v>0.30046376080787135</v>
      </c>
      <c r="AA116" s="26">
        <v>108</v>
      </c>
      <c r="AB116" s="31">
        <f t="shared" ca="1" si="34"/>
        <v>19</v>
      </c>
      <c r="AC116" s="31">
        <f t="shared" ca="1" si="21"/>
        <v>43</v>
      </c>
      <c r="AD116" s="31">
        <f t="shared" ca="1" si="22"/>
        <v>56</v>
      </c>
      <c r="AE116" s="31">
        <f t="shared" ca="1" si="23"/>
        <v>7</v>
      </c>
      <c r="AF116" s="31">
        <f t="shared" ca="1" si="24"/>
        <v>27</v>
      </c>
      <c r="AG116" s="31">
        <f t="shared" ca="1" si="25"/>
        <v>60</v>
      </c>
      <c r="AH116" s="31">
        <f t="shared" ca="1" si="26"/>
        <v>37</v>
      </c>
      <c r="AI116" s="31">
        <f t="shared" ca="1" si="27"/>
        <v>15</v>
      </c>
      <c r="AJ116" s="31">
        <f t="shared" ca="1" si="28"/>
        <v>41</v>
      </c>
      <c r="AK116" s="31">
        <f t="shared" ca="1" si="29"/>
        <v>8</v>
      </c>
      <c r="AL116" s="31">
        <f t="shared" ca="1" si="30"/>
        <v>24</v>
      </c>
      <c r="AM116" s="31">
        <f t="shared" ca="1" si="31"/>
        <v>1</v>
      </c>
    </row>
    <row r="117" spans="1:39">
      <c r="A117" s="27"/>
      <c r="B117" s="28">
        <v>43008</v>
      </c>
      <c r="C117" s="29">
        <v>5.5447916666666666E-3</v>
      </c>
      <c r="D117" s="29">
        <v>1.0482006737523086E-2</v>
      </c>
      <c r="E117" s="29">
        <v>1.6140921536049513E-2</v>
      </c>
      <c r="F117" s="29">
        <v>2.0804879197475534E-2</v>
      </c>
      <c r="G117" s="29">
        <v>2.4653316710793627E-2</v>
      </c>
      <c r="H117" s="29">
        <v>2.8199999999999999E-2</v>
      </c>
      <c r="J117" s="24">
        <v>109</v>
      </c>
      <c r="K117" s="25">
        <f t="shared" si="32"/>
        <v>3.7268962311145092E-2</v>
      </c>
      <c r="L117" s="25">
        <f t="shared" si="33"/>
        <v>32.128303551939631</v>
      </c>
      <c r="N117" s="26">
        <v>109</v>
      </c>
      <c r="O117" s="30">
        <f t="shared" ca="1" si="38"/>
        <v>0.25197605295551406</v>
      </c>
      <c r="P117" s="30">
        <f t="shared" ca="1" si="38"/>
        <v>30.139965728876035</v>
      </c>
      <c r="Q117" s="30">
        <f t="shared" ca="1" si="38"/>
        <v>15.65442682427298</v>
      </c>
      <c r="R117" s="30">
        <f t="shared" ca="1" si="38"/>
        <v>14.679256117797886</v>
      </c>
      <c r="S117" s="30">
        <f t="shared" ca="1" si="38"/>
        <v>18.011654653966897</v>
      </c>
      <c r="T117" s="30">
        <f t="shared" ca="1" si="38"/>
        <v>32.330794420264482</v>
      </c>
      <c r="U117" s="30">
        <f t="shared" ca="1" si="38"/>
        <v>15.774401664863467</v>
      </c>
      <c r="V117" s="30">
        <f t="shared" ca="1" si="38"/>
        <v>27.250462833415277</v>
      </c>
      <c r="W117" s="30">
        <f t="shared" ca="1" si="38"/>
        <v>26.969300663891183</v>
      </c>
      <c r="X117" s="30">
        <f t="shared" ca="1" si="38"/>
        <v>19.54304865862607</v>
      </c>
      <c r="Y117" s="30">
        <f t="shared" ca="1" si="38"/>
        <v>2.3391990692122402</v>
      </c>
      <c r="Z117" s="30">
        <f t="shared" ca="1" si="38"/>
        <v>6.4211626199759939</v>
      </c>
      <c r="AA117" s="26">
        <v>109</v>
      </c>
      <c r="AB117" s="31">
        <f t="shared" ca="1" si="34"/>
        <v>1</v>
      </c>
      <c r="AC117" s="31">
        <f t="shared" ca="1" si="21"/>
        <v>78</v>
      </c>
      <c r="AD117" s="31">
        <f t="shared" ca="1" si="22"/>
        <v>21</v>
      </c>
      <c r="AE117" s="31">
        <f t="shared" ca="1" si="23"/>
        <v>20</v>
      </c>
      <c r="AF117" s="31">
        <f t="shared" ca="1" si="24"/>
        <v>26</v>
      </c>
      <c r="AG117" s="31">
        <f t="shared" ca="1" si="25"/>
        <v>116</v>
      </c>
      <c r="AH117" s="31">
        <f t="shared" ca="1" si="26"/>
        <v>22</v>
      </c>
      <c r="AI117" s="31">
        <f t="shared" ca="1" si="27"/>
        <v>56</v>
      </c>
      <c r="AJ117" s="31">
        <f t="shared" ca="1" si="28"/>
        <v>55</v>
      </c>
      <c r="AK117" s="31">
        <f t="shared" ca="1" si="29"/>
        <v>29</v>
      </c>
      <c r="AL117" s="31">
        <f t="shared" ca="1" si="30"/>
        <v>3</v>
      </c>
      <c r="AM117" s="31">
        <f t="shared" ca="1" si="31"/>
        <v>8</v>
      </c>
    </row>
    <row r="118" spans="1:39">
      <c r="A118" s="27"/>
      <c r="B118" s="28">
        <v>42978</v>
      </c>
      <c r="C118" s="29">
        <v>5.7669791666666659E-3</v>
      </c>
      <c r="D118" s="29">
        <v>4.5804945142822184E-3</v>
      </c>
      <c r="E118" s="29">
        <v>2.8925304654450201E-3</v>
      </c>
      <c r="F118" s="29">
        <v>-4.5898012263001498E-4</v>
      </c>
      <c r="G118" s="29">
        <v>-2.051707537437375E-2</v>
      </c>
      <c r="H118" s="29">
        <v>-1.5800000000000002E-2</v>
      </c>
      <c r="J118" s="24">
        <v>110</v>
      </c>
      <c r="K118" s="25">
        <f t="shared" si="32"/>
        <v>3.6150893441810737E-2</v>
      </c>
      <c r="L118" s="25">
        <f t="shared" si="33"/>
        <v>32.164454445381445</v>
      </c>
      <c r="N118" s="26">
        <v>110</v>
      </c>
      <c r="O118" s="30">
        <f t="shared" ca="1" si="38"/>
        <v>29.319219790665379</v>
      </c>
      <c r="P118" s="30">
        <f t="shared" ca="1" si="38"/>
        <v>32.359326468430375</v>
      </c>
      <c r="Q118" s="30">
        <f t="shared" ca="1" si="38"/>
        <v>4.3926775919602425</v>
      </c>
      <c r="R118" s="30">
        <f t="shared" ca="1" si="38"/>
        <v>3.3421017608598103</v>
      </c>
      <c r="S118" s="30">
        <f t="shared" ca="1" si="38"/>
        <v>13.220572969984609</v>
      </c>
      <c r="T118" s="30">
        <f t="shared" ca="1" si="38"/>
        <v>8.4250417841631808</v>
      </c>
      <c r="U118" s="30">
        <f t="shared" ca="1" si="38"/>
        <v>4.9967624628921294</v>
      </c>
      <c r="V118" s="30">
        <f t="shared" ca="1" si="38"/>
        <v>31.572763387420483</v>
      </c>
      <c r="W118" s="30">
        <f t="shared" ca="1" si="38"/>
        <v>29.688800840604582</v>
      </c>
      <c r="X118" s="30">
        <f t="shared" ca="1" si="38"/>
        <v>30.395929666760477</v>
      </c>
      <c r="Y118" s="30">
        <f t="shared" ca="1" si="38"/>
        <v>14.440345903359928</v>
      </c>
      <c r="Z118" s="30">
        <f t="shared" ca="1" si="38"/>
        <v>13.031398640496155</v>
      </c>
      <c r="AA118" s="26">
        <v>110</v>
      </c>
      <c r="AB118" s="31">
        <f t="shared" ca="1" si="34"/>
        <v>70</v>
      </c>
      <c r="AC118" s="31">
        <f t="shared" ca="1" si="21"/>
        <v>116</v>
      </c>
      <c r="AD118" s="31">
        <f t="shared" ca="1" si="22"/>
        <v>5</v>
      </c>
      <c r="AE118" s="31">
        <f t="shared" ca="1" si="23"/>
        <v>4</v>
      </c>
      <c r="AF118" s="31">
        <f t="shared" ca="1" si="24"/>
        <v>17</v>
      </c>
      <c r="AG118" s="31">
        <f t="shared" ca="1" si="25"/>
        <v>10</v>
      </c>
      <c r="AH118" s="31">
        <f t="shared" ca="1" si="26"/>
        <v>6</v>
      </c>
      <c r="AI118" s="31">
        <f t="shared" ca="1" si="27"/>
        <v>97</v>
      </c>
      <c r="AJ118" s="31">
        <f t="shared" ca="1" si="28"/>
        <v>73</v>
      </c>
      <c r="AK118" s="31">
        <f t="shared" ca="1" si="29"/>
        <v>80</v>
      </c>
      <c r="AL118" s="31">
        <f t="shared" ca="1" si="30"/>
        <v>19</v>
      </c>
      <c r="AM118" s="31">
        <f t="shared" ca="1" si="31"/>
        <v>17</v>
      </c>
    </row>
    <row r="119" spans="1:39">
      <c r="A119" s="27"/>
      <c r="B119" s="28">
        <v>42947</v>
      </c>
      <c r="C119" s="29">
        <v>4.7697222222222221E-3</v>
      </c>
      <c r="D119" s="29">
        <v>2.0320773343247556E-3</v>
      </c>
      <c r="E119" s="29">
        <v>-3.5895307302414858E-3</v>
      </c>
      <c r="F119" s="29">
        <v>-2.8633456551075964E-3</v>
      </c>
      <c r="G119" s="29">
        <v>-3.0086180214338287E-2</v>
      </c>
      <c r="H119" s="29">
        <v>-3.3700000000000001E-2</v>
      </c>
      <c r="J119" s="24">
        <v>111</v>
      </c>
      <c r="K119" s="25">
        <f t="shared" si="32"/>
        <v>3.5066366638556411E-2</v>
      </c>
      <c r="L119" s="25">
        <f t="shared" si="33"/>
        <v>32.199520812019998</v>
      </c>
      <c r="N119" s="26">
        <v>111</v>
      </c>
      <c r="O119" s="30">
        <f t="shared" ref="O119:Z128" ca="1" si="39">RAND()*sumweights</f>
        <v>17.632696612484477</v>
      </c>
      <c r="P119" s="30">
        <f t="shared" ca="1" si="39"/>
        <v>12.569978025334589</v>
      </c>
      <c r="Q119" s="30">
        <f t="shared" ca="1" si="39"/>
        <v>23.163112711590649</v>
      </c>
      <c r="R119" s="30">
        <f t="shared" ca="1" si="39"/>
        <v>26.158168658489632</v>
      </c>
      <c r="S119" s="30">
        <f t="shared" ca="1" si="39"/>
        <v>18.953977618585714</v>
      </c>
      <c r="T119" s="30">
        <f t="shared" ca="1" si="39"/>
        <v>25.354259016781899</v>
      </c>
      <c r="U119" s="30">
        <f t="shared" ca="1" si="39"/>
        <v>31.721974297443431</v>
      </c>
      <c r="V119" s="30">
        <f t="shared" ca="1" si="39"/>
        <v>19.897974547823846</v>
      </c>
      <c r="W119" s="30">
        <f t="shared" ca="1" si="39"/>
        <v>21.61844385126988</v>
      </c>
      <c r="X119" s="30">
        <f t="shared" ca="1" si="39"/>
        <v>9.5294381486573556</v>
      </c>
      <c r="Y119" s="30">
        <f t="shared" ca="1" si="39"/>
        <v>19.29075832741194</v>
      </c>
      <c r="Z119" s="30">
        <f t="shared" ca="1" si="39"/>
        <v>10.850067332784544</v>
      </c>
      <c r="AA119" s="26">
        <v>111</v>
      </c>
      <c r="AB119" s="31">
        <f t="shared" ca="1" si="34"/>
        <v>25</v>
      </c>
      <c r="AC119" s="31">
        <f t="shared" ca="1" si="21"/>
        <v>16</v>
      </c>
      <c r="AD119" s="31">
        <f t="shared" ca="1" si="22"/>
        <v>39</v>
      </c>
      <c r="AE119" s="31">
        <f t="shared" ca="1" si="23"/>
        <v>51</v>
      </c>
      <c r="AF119" s="31">
        <f t="shared" ca="1" si="24"/>
        <v>28</v>
      </c>
      <c r="AG119" s="31">
        <f t="shared" ca="1" si="25"/>
        <v>47</v>
      </c>
      <c r="AH119" s="31">
        <f t="shared" ca="1" si="26"/>
        <v>100</v>
      </c>
      <c r="AI119" s="31">
        <f t="shared" ca="1" si="27"/>
        <v>30</v>
      </c>
      <c r="AJ119" s="31">
        <f t="shared" ca="1" si="28"/>
        <v>35</v>
      </c>
      <c r="AK119" s="31">
        <f t="shared" ca="1" si="29"/>
        <v>12</v>
      </c>
      <c r="AL119" s="31">
        <f t="shared" ca="1" si="30"/>
        <v>29</v>
      </c>
      <c r="AM119" s="31">
        <f t="shared" ca="1" si="31"/>
        <v>13</v>
      </c>
    </row>
    <row r="120" spans="1:39">
      <c r="A120" s="27"/>
      <c r="B120" s="28">
        <v>42916</v>
      </c>
      <c r="C120" s="29">
        <v>5.0967013888888893E-3</v>
      </c>
      <c r="D120" s="29">
        <v>6.36079787371302E-3</v>
      </c>
      <c r="E120" s="29">
        <v>2.0401710880315838E-2</v>
      </c>
      <c r="F120" s="29">
        <v>1.3173695411796693E-2</v>
      </c>
      <c r="G120" s="29">
        <v>9.7829093617782803E-2</v>
      </c>
      <c r="H120" s="29">
        <v>2.3E-3</v>
      </c>
      <c r="J120" s="24">
        <v>112</v>
      </c>
      <c r="K120" s="25">
        <f t="shared" si="32"/>
        <v>3.401437563939972E-2</v>
      </c>
      <c r="L120" s="25">
        <f t="shared" si="33"/>
        <v>32.233535187659399</v>
      </c>
      <c r="N120" s="26">
        <v>112</v>
      </c>
      <c r="O120" s="30">
        <f t="shared" ca="1" si="39"/>
        <v>19.128263762175337</v>
      </c>
      <c r="P120" s="30">
        <f t="shared" ca="1" si="39"/>
        <v>6.4099323058021209</v>
      </c>
      <c r="Q120" s="30">
        <f t="shared" ca="1" si="39"/>
        <v>18.042404795891439</v>
      </c>
      <c r="R120" s="30">
        <f t="shared" ca="1" si="39"/>
        <v>12.506178758848735</v>
      </c>
      <c r="S120" s="30">
        <f t="shared" ca="1" si="39"/>
        <v>32.874073252807023</v>
      </c>
      <c r="T120" s="30">
        <f t="shared" ca="1" si="39"/>
        <v>28.452141432222714</v>
      </c>
      <c r="U120" s="30">
        <f t="shared" ca="1" si="39"/>
        <v>30.866954012306056</v>
      </c>
      <c r="V120" s="30">
        <f t="shared" ca="1" si="39"/>
        <v>8.9043216834948922</v>
      </c>
      <c r="W120" s="30">
        <f t="shared" ca="1" si="39"/>
        <v>22.782818807067262</v>
      </c>
      <c r="X120" s="30">
        <f t="shared" ca="1" si="39"/>
        <v>14.396741988452662</v>
      </c>
      <c r="Y120" s="30">
        <f t="shared" ca="1" si="39"/>
        <v>12.762627632552828</v>
      </c>
      <c r="Z120" s="30">
        <f t="shared" ca="1" si="39"/>
        <v>29.545174064080246</v>
      </c>
      <c r="AA120" s="26">
        <v>112</v>
      </c>
      <c r="AB120" s="31">
        <f t="shared" ca="1" si="34"/>
        <v>29</v>
      </c>
      <c r="AC120" s="31">
        <f t="shared" ca="1" si="21"/>
        <v>8</v>
      </c>
      <c r="AD120" s="31">
        <f t="shared" ca="1" si="22"/>
        <v>26</v>
      </c>
      <c r="AE120" s="31">
        <f t="shared" ca="1" si="23"/>
        <v>16</v>
      </c>
      <c r="AF120" s="31">
        <f t="shared" ca="1" si="24"/>
        <v>141</v>
      </c>
      <c r="AG120" s="31">
        <f t="shared" ca="1" si="25"/>
        <v>64</v>
      </c>
      <c r="AH120" s="31">
        <f t="shared" ca="1" si="26"/>
        <v>86</v>
      </c>
      <c r="AI120" s="31">
        <f t="shared" ca="1" si="27"/>
        <v>11</v>
      </c>
      <c r="AJ120" s="31">
        <f t="shared" ca="1" si="28"/>
        <v>38</v>
      </c>
      <c r="AK120" s="31">
        <f t="shared" ca="1" si="29"/>
        <v>19</v>
      </c>
      <c r="AL120" s="31">
        <f t="shared" ca="1" si="30"/>
        <v>16</v>
      </c>
      <c r="AM120" s="31">
        <f t="shared" ca="1" si="31"/>
        <v>72</v>
      </c>
    </row>
    <row r="121" spans="1:39">
      <c r="A121" s="27"/>
      <c r="B121" s="28">
        <v>42886</v>
      </c>
      <c r="C121" s="29">
        <v>4.7406944444444441E-3</v>
      </c>
      <c r="D121" s="29">
        <v>6.6694807935836486E-3</v>
      </c>
      <c r="E121" s="29">
        <v>1.4795174012797618E-2</v>
      </c>
      <c r="F121" s="29">
        <v>1.2093571755192434E-2</v>
      </c>
      <c r="G121" s="29">
        <v>-1.8929692615169635E-2</v>
      </c>
      <c r="H121" s="29">
        <v>5.21E-2</v>
      </c>
      <c r="J121" s="24">
        <v>113</v>
      </c>
      <c r="K121" s="25">
        <f t="shared" si="32"/>
        <v>3.2993944370217729E-2</v>
      </c>
      <c r="L121" s="25">
        <f t="shared" si="33"/>
        <v>32.266529132029618</v>
      </c>
      <c r="N121" s="26">
        <v>113</v>
      </c>
      <c r="O121" s="30">
        <f t="shared" ca="1" si="39"/>
        <v>16.722203607997539</v>
      </c>
      <c r="P121" s="30">
        <f t="shared" ca="1" si="39"/>
        <v>31.337867376120013</v>
      </c>
      <c r="Q121" s="30">
        <f t="shared" ca="1" si="39"/>
        <v>13.809781174270723</v>
      </c>
      <c r="R121" s="30">
        <f t="shared" ca="1" si="39"/>
        <v>3.3235345934771958</v>
      </c>
      <c r="S121" s="30">
        <f t="shared" ca="1" si="39"/>
        <v>0.2966025390869097</v>
      </c>
      <c r="T121" s="30">
        <f t="shared" ca="1" si="39"/>
        <v>30.355557926389245</v>
      </c>
      <c r="U121" s="30">
        <f t="shared" ca="1" si="39"/>
        <v>22.376112924605899</v>
      </c>
      <c r="V121" s="30">
        <f t="shared" ca="1" si="39"/>
        <v>19.262886853139175</v>
      </c>
      <c r="W121" s="30">
        <f t="shared" ca="1" si="39"/>
        <v>29.607169926123809</v>
      </c>
      <c r="X121" s="30">
        <f t="shared" ca="1" si="39"/>
        <v>5.6827006590993001</v>
      </c>
      <c r="Y121" s="30">
        <f t="shared" ca="1" si="39"/>
        <v>12.807567303225023</v>
      </c>
      <c r="Z121" s="30">
        <f t="shared" ca="1" si="39"/>
        <v>11.549504410036693</v>
      </c>
      <c r="AA121" s="26">
        <v>113</v>
      </c>
      <c r="AB121" s="31">
        <f t="shared" ca="1" si="34"/>
        <v>23</v>
      </c>
      <c r="AC121" s="31">
        <f t="shared" ca="1" si="21"/>
        <v>93</v>
      </c>
      <c r="AD121" s="31">
        <f t="shared" ca="1" si="22"/>
        <v>18</v>
      </c>
      <c r="AE121" s="31">
        <f t="shared" ca="1" si="23"/>
        <v>4</v>
      </c>
      <c r="AF121" s="31">
        <f t="shared" ca="1" si="24"/>
        <v>1</v>
      </c>
      <c r="AG121" s="31">
        <f t="shared" ca="1" si="25"/>
        <v>80</v>
      </c>
      <c r="AH121" s="31">
        <f t="shared" ca="1" si="26"/>
        <v>37</v>
      </c>
      <c r="AI121" s="31">
        <f t="shared" ca="1" si="27"/>
        <v>29</v>
      </c>
      <c r="AJ121" s="31">
        <f t="shared" ca="1" si="28"/>
        <v>72</v>
      </c>
      <c r="AK121" s="31">
        <f t="shared" ca="1" si="29"/>
        <v>7</v>
      </c>
      <c r="AL121" s="31">
        <f t="shared" ca="1" si="30"/>
        <v>16</v>
      </c>
      <c r="AM121" s="31">
        <f t="shared" ca="1" si="31"/>
        <v>14</v>
      </c>
    </row>
    <row r="122" spans="1:39">
      <c r="A122" s="27"/>
      <c r="B122" s="28">
        <v>42855</v>
      </c>
      <c r="C122" s="29">
        <v>5.0138194444444449E-3</v>
      </c>
      <c r="D122" s="29">
        <v>-5.3872316120151531E-4</v>
      </c>
      <c r="E122" s="29">
        <v>2.4030146911580008E-3</v>
      </c>
      <c r="F122" s="29">
        <v>-3.2743628185907259E-3</v>
      </c>
      <c r="G122" s="29">
        <v>-5.024238139785242E-2</v>
      </c>
      <c r="H122" s="29">
        <v>1.54E-2</v>
      </c>
      <c r="J122" s="24">
        <v>114</v>
      </c>
      <c r="K122" s="25">
        <f t="shared" si="32"/>
        <v>3.2004126039111194E-2</v>
      </c>
      <c r="L122" s="25">
        <f t="shared" si="33"/>
        <v>32.29853325806873</v>
      </c>
      <c r="N122" s="26">
        <v>114</v>
      </c>
      <c r="O122" s="30">
        <f t="shared" ca="1" si="39"/>
        <v>18.080636596030558</v>
      </c>
      <c r="P122" s="30">
        <f t="shared" ca="1" si="39"/>
        <v>19.488668108928646</v>
      </c>
      <c r="Q122" s="30">
        <f t="shared" ca="1" si="39"/>
        <v>0.28429775838230747</v>
      </c>
      <c r="R122" s="30">
        <f t="shared" ca="1" si="39"/>
        <v>26.346040203211203</v>
      </c>
      <c r="S122" s="30">
        <f t="shared" ca="1" si="39"/>
        <v>28.037725396357022</v>
      </c>
      <c r="T122" s="30">
        <f t="shared" ca="1" si="39"/>
        <v>12.106166615334107</v>
      </c>
      <c r="U122" s="30">
        <f t="shared" ca="1" si="39"/>
        <v>15.192009363890964</v>
      </c>
      <c r="V122" s="30">
        <f t="shared" ca="1" si="39"/>
        <v>14.981723872020622</v>
      </c>
      <c r="W122" s="30">
        <f t="shared" ca="1" si="39"/>
        <v>0.16116886246493262</v>
      </c>
      <c r="X122" s="30">
        <f t="shared" ca="1" si="39"/>
        <v>11.758347148936236</v>
      </c>
      <c r="Y122" s="30">
        <f t="shared" ca="1" si="39"/>
        <v>19.988426081447834</v>
      </c>
      <c r="Z122" s="30">
        <f t="shared" ca="1" si="39"/>
        <v>25.101969932079548</v>
      </c>
      <c r="AA122" s="26">
        <v>114</v>
      </c>
      <c r="AB122" s="31">
        <f t="shared" ca="1" si="34"/>
        <v>26</v>
      </c>
      <c r="AC122" s="31">
        <f t="shared" ca="1" si="21"/>
        <v>29</v>
      </c>
      <c r="AD122" s="31">
        <f t="shared" ca="1" si="22"/>
        <v>1</v>
      </c>
      <c r="AE122" s="31">
        <f t="shared" ca="1" si="23"/>
        <v>52</v>
      </c>
      <c r="AF122" s="31">
        <f t="shared" ca="1" si="24"/>
        <v>61</v>
      </c>
      <c r="AG122" s="31">
        <f t="shared" ca="1" si="25"/>
        <v>15</v>
      </c>
      <c r="AH122" s="31">
        <f t="shared" ca="1" si="26"/>
        <v>20</v>
      </c>
      <c r="AI122" s="31">
        <f t="shared" ca="1" si="27"/>
        <v>20</v>
      </c>
      <c r="AJ122" s="31">
        <f t="shared" ca="1" si="28"/>
        <v>1</v>
      </c>
      <c r="AK122" s="31">
        <f t="shared" ca="1" si="29"/>
        <v>15</v>
      </c>
      <c r="AL122" s="31">
        <f t="shared" ca="1" si="30"/>
        <v>31</v>
      </c>
      <c r="AM122" s="31">
        <f t="shared" ca="1" si="31"/>
        <v>46</v>
      </c>
    </row>
    <row r="123" spans="1:39">
      <c r="A123" s="27"/>
      <c r="B123" s="28">
        <v>42825</v>
      </c>
      <c r="C123" s="29">
        <v>5.5821527777777779E-3</v>
      </c>
      <c r="D123" s="29">
        <v>1.4820592823714396E-3</v>
      </c>
      <c r="E123" s="29">
        <v>-5.6837722870848317E-3</v>
      </c>
      <c r="F123" s="29">
        <v>-4.8222108165529853E-3</v>
      </c>
      <c r="G123" s="29">
        <v>5.8896158661477127E-2</v>
      </c>
      <c r="H123" s="29">
        <v>6.8499999999999991E-2</v>
      </c>
      <c r="J123" s="24">
        <v>115</v>
      </c>
      <c r="K123" s="25">
        <f t="shared" si="32"/>
        <v>3.1044002257937856E-2</v>
      </c>
      <c r="L123" s="25">
        <f t="shared" si="33"/>
        <v>32.329577260326666</v>
      </c>
      <c r="N123" s="26">
        <v>115</v>
      </c>
      <c r="O123" s="30">
        <f t="shared" ca="1" si="39"/>
        <v>27.091288196053473</v>
      </c>
      <c r="P123" s="30">
        <f t="shared" ca="1" si="39"/>
        <v>1.458384295219957</v>
      </c>
      <c r="Q123" s="30">
        <f t="shared" ca="1" si="39"/>
        <v>16.425468801451558</v>
      </c>
      <c r="R123" s="30">
        <f t="shared" ca="1" si="39"/>
        <v>13.864063582639975</v>
      </c>
      <c r="S123" s="30">
        <f t="shared" ca="1" si="39"/>
        <v>12.844190217332745</v>
      </c>
      <c r="T123" s="30">
        <f t="shared" ca="1" si="39"/>
        <v>30.211770370088733</v>
      </c>
      <c r="U123" s="30">
        <f t="shared" ca="1" si="39"/>
        <v>11.3258525208509</v>
      </c>
      <c r="V123" s="30">
        <f t="shared" ca="1" si="39"/>
        <v>16.949198332690042</v>
      </c>
      <c r="W123" s="30">
        <f t="shared" ca="1" si="39"/>
        <v>18.911789046528416</v>
      </c>
      <c r="X123" s="30">
        <f t="shared" ca="1" si="39"/>
        <v>23.037365540418062</v>
      </c>
      <c r="Y123" s="30">
        <f t="shared" ca="1" si="39"/>
        <v>15.420478784460432</v>
      </c>
      <c r="Z123" s="30">
        <f t="shared" ca="1" si="39"/>
        <v>27.453364257265736</v>
      </c>
      <c r="AA123" s="26">
        <v>115</v>
      </c>
      <c r="AB123" s="31">
        <f t="shared" ca="1" si="34"/>
        <v>55</v>
      </c>
      <c r="AC123" s="31">
        <f t="shared" ca="1" si="21"/>
        <v>2</v>
      </c>
      <c r="AD123" s="31">
        <f t="shared" ca="1" si="22"/>
        <v>23</v>
      </c>
      <c r="AE123" s="31">
        <f t="shared" ca="1" si="23"/>
        <v>18</v>
      </c>
      <c r="AF123" s="31">
        <f t="shared" ca="1" si="24"/>
        <v>16</v>
      </c>
      <c r="AG123" s="31">
        <f t="shared" ca="1" si="25"/>
        <v>78</v>
      </c>
      <c r="AH123" s="31">
        <f t="shared" ca="1" si="26"/>
        <v>14</v>
      </c>
      <c r="AI123" s="31">
        <f t="shared" ca="1" si="27"/>
        <v>24</v>
      </c>
      <c r="AJ123" s="31">
        <f t="shared" ca="1" si="28"/>
        <v>28</v>
      </c>
      <c r="AK123" s="31">
        <f t="shared" ca="1" si="29"/>
        <v>39</v>
      </c>
      <c r="AL123" s="31">
        <f t="shared" ca="1" si="30"/>
        <v>21</v>
      </c>
      <c r="AM123" s="31">
        <f t="shared" ca="1" si="31"/>
        <v>57</v>
      </c>
    </row>
    <row r="124" spans="1:39">
      <c r="A124" s="27"/>
      <c r="B124" s="28">
        <v>42794</v>
      </c>
      <c r="C124" s="29">
        <v>4.807777777777778E-3</v>
      </c>
      <c r="D124" s="29">
        <v>1.836439651467181E-3</v>
      </c>
      <c r="E124" s="29">
        <v>-1.6384851241212361E-3</v>
      </c>
      <c r="F124" s="29">
        <v>-7.1611863698861633E-5</v>
      </c>
      <c r="G124" s="29">
        <v>2.0328316773894572E-2</v>
      </c>
      <c r="H124" s="29">
        <v>4.9100000000000005E-2</v>
      </c>
      <c r="J124" s="24">
        <v>116</v>
      </c>
      <c r="K124" s="25">
        <f t="shared" si="32"/>
        <v>3.0112682190199719E-2</v>
      </c>
      <c r="L124" s="25">
        <f t="shared" si="33"/>
        <v>32.359689942516866</v>
      </c>
      <c r="N124" s="26">
        <v>116</v>
      </c>
      <c r="O124" s="30">
        <f t="shared" ca="1" si="39"/>
        <v>2.641071489735646</v>
      </c>
      <c r="P124" s="30">
        <f t="shared" ca="1" si="39"/>
        <v>15.993936174536946</v>
      </c>
      <c r="Q124" s="30">
        <f t="shared" ca="1" si="39"/>
        <v>9.00291148940277</v>
      </c>
      <c r="R124" s="30">
        <f t="shared" ca="1" si="39"/>
        <v>6.1556961626706537</v>
      </c>
      <c r="S124" s="30">
        <f t="shared" ca="1" si="39"/>
        <v>1.3523885518898751</v>
      </c>
      <c r="T124" s="30">
        <f t="shared" ca="1" si="39"/>
        <v>33.042471633297239</v>
      </c>
      <c r="U124" s="30">
        <f t="shared" ca="1" si="39"/>
        <v>12.533823821732762</v>
      </c>
      <c r="V124" s="30">
        <f t="shared" ca="1" si="39"/>
        <v>30.568931560691844</v>
      </c>
      <c r="W124" s="30">
        <f t="shared" ca="1" si="39"/>
        <v>6.6902873606342563</v>
      </c>
      <c r="X124" s="30">
        <f t="shared" ca="1" si="39"/>
        <v>11.501679494579916</v>
      </c>
      <c r="Y124" s="30">
        <f t="shared" ca="1" si="39"/>
        <v>23.470950692249506</v>
      </c>
      <c r="Z124" s="30">
        <f t="shared" ca="1" si="39"/>
        <v>2.0829379880951828</v>
      </c>
      <c r="AA124" s="26">
        <v>116</v>
      </c>
      <c r="AB124" s="31">
        <f t="shared" ca="1" si="34"/>
        <v>3</v>
      </c>
      <c r="AC124" s="31">
        <f t="shared" ca="1" si="21"/>
        <v>22</v>
      </c>
      <c r="AD124" s="31">
        <f t="shared" ca="1" si="22"/>
        <v>11</v>
      </c>
      <c r="AE124" s="31">
        <f t="shared" ca="1" si="23"/>
        <v>7</v>
      </c>
      <c r="AF124" s="31">
        <f t="shared" ca="1" si="24"/>
        <v>2</v>
      </c>
      <c r="AG124" s="31">
        <f t="shared" ca="1" si="25"/>
        <v>156</v>
      </c>
      <c r="AH124" s="31">
        <f t="shared" ca="1" si="26"/>
        <v>16</v>
      </c>
      <c r="AI124" s="31">
        <f t="shared" ca="1" si="27"/>
        <v>82</v>
      </c>
      <c r="AJ124" s="31">
        <f t="shared" ca="1" si="28"/>
        <v>8</v>
      </c>
      <c r="AK124" s="31">
        <f t="shared" ca="1" si="29"/>
        <v>14</v>
      </c>
      <c r="AL124" s="31">
        <f t="shared" ca="1" si="30"/>
        <v>40</v>
      </c>
      <c r="AM124" s="31">
        <f t="shared" ca="1" si="31"/>
        <v>3</v>
      </c>
    </row>
    <row r="125" spans="1:39">
      <c r="A125" s="27"/>
      <c r="B125" s="28">
        <v>42766</v>
      </c>
      <c r="C125" s="29">
        <v>4.3500000000000006E-3</v>
      </c>
      <c r="D125" s="29">
        <v>1.6699064591461088E-3</v>
      </c>
      <c r="E125" s="29">
        <v>-3.9741559434702811E-4</v>
      </c>
      <c r="F125" s="29">
        <v>3.6896390622567221E-3</v>
      </c>
      <c r="G125" s="29">
        <v>6.328068656942043E-2</v>
      </c>
      <c r="H125" s="29">
        <v>1.2699999999999999E-2</v>
      </c>
      <c r="J125" s="24">
        <v>117</v>
      </c>
      <c r="K125" s="25">
        <f t="shared" si="32"/>
        <v>2.9209301724493725E-2</v>
      </c>
      <c r="L125" s="25">
        <f t="shared" si="33"/>
        <v>32.388899244241358</v>
      </c>
      <c r="N125" s="26">
        <v>117</v>
      </c>
      <c r="O125" s="30">
        <f t="shared" ca="1" si="39"/>
        <v>2.7083039237788911</v>
      </c>
      <c r="P125" s="30">
        <f t="shared" ca="1" si="39"/>
        <v>2.3138432954838879</v>
      </c>
      <c r="Q125" s="30">
        <f t="shared" ca="1" si="39"/>
        <v>25.306912721458183</v>
      </c>
      <c r="R125" s="30">
        <f t="shared" ca="1" si="39"/>
        <v>6.7161450455755389</v>
      </c>
      <c r="S125" s="30">
        <f t="shared" ca="1" si="39"/>
        <v>6.083681017323153</v>
      </c>
      <c r="T125" s="30">
        <f t="shared" ca="1" si="39"/>
        <v>24.897991121451362</v>
      </c>
      <c r="U125" s="30">
        <f t="shared" ca="1" si="39"/>
        <v>2.6197436561147684</v>
      </c>
      <c r="V125" s="30">
        <f t="shared" ca="1" si="39"/>
        <v>27.123867035980943</v>
      </c>
      <c r="W125" s="30">
        <f t="shared" ca="1" si="39"/>
        <v>7.8252302271445222</v>
      </c>
      <c r="X125" s="30">
        <f t="shared" ca="1" si="39"/>
        <v>8.0270541716987509</v>
      </c>
      <c r="Y125" s="30">
        <f t="shared" ca="1" si="39"/>
        <v>6.4167706000642255</v>
      </c>
      <c r="Z125" s="30">
        <f t="shared" ca="1" si="39"/>
        <v>31.566201464282098</v>
      </c>
      <c r="AA125" s="26">
        <v>117</v>
      </c>
      <c r="AB125" s="31">
        <f t="shared" ca="1" si="34"/>
        <v>3</v>
      </c>
      <c r="AC125" s="31">
        <f t="shared" ca="1" si="21"/>
        <v>3</v>
      </c>
      <c r="AD125" s="31">
        <f t="shared" ca="1" si="22"/>
        <v>47</v>
      </c>
      <c r="AE125" s="31">
        <f t="shared" ca="1" si="23"/>
        <v>8</v>
      </c>
      <c r="AF125" s="31">
        <f t="shared" ca="1" si="24"/>
        <v>7</v>
      </c>
      <c r="AG125" s="31">
        <f t="shared" ca="1" si="25"/>
        <v>46</v>
      </c>
      <c r="AH125" s="31">
        <f t="shared" ca="1" si="26"/>
        <v>3</v>
      </c>
      <c r="AI125" s="31">
        <f t="shared" ca="1" si="27"/>
        <v>56</v>
      </c>
      <c r="AJ125" s="31">
        <f t="shared" ca="1" si="28"/>
        <v>9</v>
      </c>
      <c r="AK125" s="31">
        <f t="shared" ca="1" si="29"/>
        <v>10</v>
      </c>
      <c r="AL125" s="31">
        <f t="shared" ca="1" si="30"/>
        <v>8</v>
      </c>
      <c r="AM125" s="31">
        <f t="shared" ca="1" si="31"/>
        <v>97</v>
      </c>
    </row>
    <row r="126" spans="1:39">
      <c r="A126" s="27"/>
      <c r="B126" s="28">
        <v>42735</v>
      </c>
      <c r="C126" s="29">
        <v>4.4791666666666669E-3</v>
      </c>
      <c r="D126" s="29">
        <v>6.6386063523122818E-3</v>
      </c>
      <c r="E126" s="29">
        <v>8.0364675961615006E-3</v>
      </c>
      <c r="F126" s="29">
        <v>1.1609447521176763E-2</v>
      </c>
      <c r="G126" s="29">
        <v>-2.7413986179419925E-2</v>
      </c>
      <c r="H126" s="29">
        <v>-1.1999999999999999E-3</v>
      </c>
      <c r="J126" s="24">
        <v>118</v>
      </c>
      <c r="K126" s="25">
        <f t="shared" si="32"/>
        <v>2.8333022672758914E-2</v>
      </c>
      <c r="L126" s="25">
        <f t="shared" si="33"/>
        <v>32.41723226691412</v>
      </c>
      <c r="N126" s="26">
        <v>118</v>
      </c>
      <c r="O126" s="30">
        <f t="shared" ca="1" si="39"/>
        <v>19.108329891185196</v>
      </c>
      <c r="P126" s="30">
        <f t="shared" ca="1" si="39"/>
        <v>9.0393915069694444</v>
      </c>
      <c r="Q126" s="30">
        <f t="shared" ca="1" si="39"/>
        <v>26.232122666087111</v>
      </c>
      <c r="R126" s="30">
        <f t="shared" ca="1" si="39"/>
        <v>30.46707823905324</v>
      </c>
      <c r="S126" s="30">
        <f t="shared" ca="1" si="39"/>
        <v>25.714651286939738</v>
      </c>
      <c r="T126" s="30">
        <f t="shared" ca="1" si="39"/>
        <v>18.374387806957415</v>
      </c>
      <c r="U126" s="30">
        <f t="shared" ca="1" si="39"/>
        <v>10.780800218263007</v>
      </c>
      <c r="V126" s="30">
        <f t="shared" ca="1" si="39"/>
        <v>19.225333133085915</v>
      </c>
      <c r="W126" s="30">
        <f t="shared" ca="1" si="39"/>
        <v>29.306647750148553</v>
      </c>
      <c r="X126" s="30">
        <f t="shared" ca="1" si="39"/>
        <v>12.414816025807221</v>
      </c>
      <c r="Y126" s="30">
        <f t="shared" ca="1" si="39"/>
        <v>27.363257143960809</v>
      </c>
      <c r="Z126" s="30">
        <f t="shared" ca="1" si="39"/>
        <v>18.011688052199695</v>
      </c>
      <c r="AA126" s="26">
        <v>118</v>
      </c>
      <c r="AB126" s="31">
        <f t="shared" ca="1" si="34"/>
        <v>28</v>
      </c>
      <c r="AC126" s="31">
        <f t="shared" ca="1" si="21"/>
        <v>11</v>
      </c>
      <c r="AD126" s="31">
        <f t="shared" ca="1" si="22"/>
        <v>51</v>
      </c>
      <c r="AE126" s="31">
        <f t="shared" ca="1" si="23"/>
        <v>81</v>
      </c>
      <c r="AF126" s="31">
        <f t="shared" ca="1" si="24"/>
        <v>49</v>
      </c>
      <c r="AG126" s="31">
        <f t="shared" ca="1" si="25"/>
        <v>27</v>
      </c>
      <c r="AH126" s="31">
        <f t="shared" ca="1" si="26"/>
        <v>13</v>
      </c>
      <c r="AI126" s="31">
        <f t="shared" ca="1" si="27"/>
        <v>29</v>
      </c>
      <c r="AJ126" s="31">
        <f t="shared" ca="1" si="28"/>
        <v>70</v>
      </c>
      <c r="AK126" s="31">
        <f t="shared" ca="1" si="29"/>
        <v>16</v>
      </c>
      <c r="AL126" s="31">
        <f t="shared" ca="1" si="30"/>
        <v>57</v>
      </c>
      <c r="AM126" s="31">
        <f t="shared" ca="1" si="31"/>
        <v>26</v>
      </c>
    </row>
    <row r="127" spans="1:39">
      <c r="A127" s="27"/>
      <c r="B127" s="28">
        <v>42704</v>
      </c>
      <c r="C127" s="29">
        <v>4.6166666666666665E-3</v>
      </c>
      <c r="D127" s="29">
        <v>3.0891438658429138E-3</v>
      </c>
      <c r="E127" s="29">
        <v>-2.0026459200650493E-4</v>
      </c>
      <c r="F127" s="29">
        <v>-5.0871476847413888E-4</v>
      </c>
      <c r="G127" s="29">
        <v>-4.9472522262635765E-3</v>
      </c>
      <c r="H127" s="29">
        <v>1.1000000000000001E-3</v>
      </c>
      <c r="J127" s="24">
        <v>119</v>
      </c>
      <c r="K127" s="25">
        <f t="shared" si="32"/>
        <v>2.7483031992576144E-2</v>
      </c>
      <c r="L127" s="25">
        <f t="shared" si="33"/>
        <v>32.444715298906694</v>
      </c>
      <c r="N127" s="26">
        <v>119</v>
      </c>
      <c r="O127" s="30">
        <f t="shared" ca="1" si="39"/>
        <v>32.260347002193456</v>
      </c>
      <c r="P127" s="30">
        <f t="shared" ca="1" si="39"/>
        <v>1.4884071417543143</v>
      </c>
      <c r="Q127" s="30">
        <f t="shared" ca="1" si="39"/>
        <v>26.080460189204523</v>
      </c>
      <c r="R127" s="30">
        <f t="shared" ca="1" si="39"/>
        <v>30.327690231792143</v>
      </c>
      <c r="S127" s="30">
        <f t="shared" ca="1" si="39"/>
        <v>28.690789202575836</v>
      </c>
      <c r="T127" s="30">
        <f t="shared" ca="1" si="39"/>
        <v>0.39825966270203561</v>
      </c>
      <c r="U127" s="30">
        <f t="shared" ca="1" si="39"/>
        <v>11.905266327558122</v>
      </c>
      <c r="V127" s="30">
        <f t="shared" ca="1" si="39"/>
        <v>0.59191586587816314</v>
      </c>
      <c r="W127" s="30">
        <f t="shared" ca="1" si="39"/>
        <v>5.1274012962118771</v>
      </c>
      <c r="X127" s="30">
        <f t="shared" ca="1" si="39"/>
        <v>11.38842697234559</v>
      </c>
      <c r="Y127" s="30">
        <f t="shared" ca="1" si="39"/>
        <v>6.7590358604052954</v>
      </c>
      <c r="Z127" s="30">
        <f t="shared" ca="1" si="39"/>
        <v>6.4131967897550011</v>
      </c>
      <c r="AA127" s="26">
        <v>119</v>
      </c>
      <c r="AB127" s="31">
        <f t="shared" ca="1" si="34"/>
        <v>113</v>
      </c>
      <c r="AC127" s="31">
        <f t="shared" ca="1" si="21"/>
        <v>2</v>
      </c>
      <c r="AD127" s="31">
        <f t="shared" ca="1" si="22"/>
        <v>51</v>
      </c>
      <c r="AE127" s="31">
        <f t="shared" ca="1" si="23"/>
        <v>79</v>
      </c>
      <c r="AF127" s="31">
        <f t="shared" ca="1" si="24"/>
        <v>65</v>
      </c>
      <c r="AG127" s="31">
        <f t="shared" ca="1" si="25"/>
        <v>1</v>
      </c>
      <c r="AH127" s="31">
        <f t="shared" ca="1" si="26"/>
        <v>15</v>
      </c>
      <c r="AI127" s="31">
        <f t="shared" ca="1" si="27"/>
        <v>1</v>
      </c>
      <c r="AJ127" s="31">
        <f t="shared" ca="1" si="28"/>
        <v>6</v>
      </c>
      <c r="AK127" s="31">
        <f t="shared" ca="1" si="29"/>
        <v>14</v>
      </c>
      <c r="AL127" s="31">
        <f t="shared" ca="1" si="30"/>
        <v>8</v>
      </c>
      <c r="AM127" s="31">
        <f t="shared" ca="1" si="31"/>
        <v>8</v>
      </c>
    </row>
    <row r="128" spans="1:39">
      <c r="A128" s="27"/>
      <c r="B128" s="28">
        <v>42674</v>
      </c>
      <c r="C128" s="29">
        <v>4.3635416666666666E-3</v>
      </c>
      <c r="D128" s="29">
        <v>2.8734303473878509E-3</v>
      </c>
      <c r="E128" s="29">
        <v>-2.0228203202596884E-3</v>
      </c>
      <c r="F128" s="29">
        <v>-4.25742335431889E-3</v>
      </c>
      <c r="G128" s="29">
        <v>-3.1224707384924E-2</v>
      </c>
      <c r="H128" s="29">
        <v>7.3000000000000001E-3</v>
      </c>
      <c r="J128" s="24">
        <v>120</v>
      </c>
      <c r="K128" s="25">
        <f t="shared" si="32"/>
        <v>2.6658541032798858E-2</v>
      </c>
      <c r="L128" s="25">
        <f t="shared" si="33"/>
        <v>32.471373839939496</v>
      </c>
      <c r="N128" s="26">
        <v>120</v>
      </c>
      <c r="O128" s="30">
        <f t="shared" ca="1" si="39"/>
        <v>16.077831568332165</v>
      </c>
      <c r="P128" s="30">
        <f t="shared" ca="1" si="39"/>
        <v>32.54076071797769</v>
      </c>
      <c r="Q128" s="30">
        <f t="shared" ca="1" si="39"/>
        <v>17.425750966369563</v>
      </c>
      <c r="R128" s="30">
        <f t="shared" ca="1" si="39"/>
        <v>25.590672685271716</v>
      </c>
      <c r="S128" s="30">
        <f t="shared" ca="1" si="39"/>
        <v>32.985262416260305</v>
      </c>
      <c r="T128" s="30">
        <f t="shared" ca="1" si="39"/>
        <v>14.295627612978361</v>
      </c>
      <c r="U128" s="30">
        <f t="shared" ca="1" si="39"/>
        <v>25.617594058187912</v>
      </c>
      <c r="V128" s="30">
        <f t="shared" ca="1" si="39"/>
        <v>17.17927485285648</v>
      </c>
      <c r="W128" s="30">
        <f t="shared" ca="1" si="39"/>
        <v>28.650460145080533</v>
      </c>
      <c r="X128" s="30">
        <f t="shared" ca="1" si="39"/>
        <v>29.244934577662512</v>
      </c>
      <c r="Y128" s="30">
        <f t="shared" ca="1" si="39"/>
        <v>23.159300369904617</v>
      </c>
      <c r="Z128" s="30">
        <f t="shared" ca="1" si="39"/>
        <v>16.392467295988268</v>
      </c>
      <c r="AA128" s="26">
        <v>120</v>
      </c>
      <c r="AB128" s="31">
        <f t="shared" ca="1" si="34"/>
        <v>22</v>
      </c>
      <c r="AC128" s="31">
        <f t="shared" ca="1" si="21"/>
        <v>123</v>
      </c>
      <c r="AD128" s="31">
        <f t="shared" ca="1" si="22"/>
        <v>25</v>
      </c>
      <c r="AE128" s="31">
        <f t="shared" ca="1" si="23"/>
        <v>48</v>
      </c>
      <c r="AF128" s="31">
        <f t="shared" ca="1" si="24"/>
        <v>150</v>
      </c>
      <c r="AG128" s="31">
        <f t="shared" ca="1" si="25"/>
        <v>19</v>
      </c>
      <c r="AH128" s="31">
        <f t="shared" ca="1" si="26"/>
        <v>49</v>
      </c>
      <c r="AI128" s="31">
        <f t="shared" ca="1" si="27"/>
        <v>24</v>
      </c>
      <c r="AJ128" s="31">
        <f t="shared" ca="1" si="28"/>
        <v>65</v>
      </c>
      <c r="AK128" s="31">
        <f t="shared" ca="1" si="29"/>
        <v>69</v>
      </c>
      <c r="AL128" s="31">
        <f t="shared" ca="1" si="30"/>
        <v>39</v>
      </c>
      <c r="AM128" s="31">
        <f t="shared" ca="1" si="31"/>
        <v>23</v>
      </c>
    </row>
    <row r="129" spans="1:39">
      <c r="A129" s="27"/>
      <c r="B129" s="28">
        <v>42643</v>
      </c>
      <c r="C129" s="29">
        <v>4.1197916666666666E-3</v>
      </c>
      <c r="D129" s="29">
        <v>3.7661037402449971E-3</v>
      </c>
      <c r="E129" s="29">
        <v>-8.8344568019260716E-4</v>
      </c>
      <c r="F129" s="29">
        <v>-3.1859002873321218E-3</v>
      </c>
      <c r="G129" s="29">
        <v>5.5497347454000145E-2</v>
      </c>
      <c r="H129" s="29">
        <v>2.8399999999999998E-2</v>
      </c>
      <c r="J129" s="24">
        <v>121</v>
      </c>
      <c r="K129" s="25">
        <f t="shared" si="32"/>
        <v>2.5858784801814892E-2</v>
      </c>
      <c r="L129" s="25">
        <f t="shared" si="33"/>
        <v>32.497232624741308</v>
      </c>
      <c r="N129" s="26">
        <v>121</v>
      </c>
      <c r="O129" s="30">
        <f t="shared" ref="O129:Z138" ca="1" si="40">RAND()*sumweights</f>
        <v>27.352553126745679</v>
      </c>
      <c r="P129" s="30">
        <f t="shared" ca="1" si="40"/>
        <v>16.316944044399794</v>
      </c>
      <c r="Q129" s="30">
        <f t="shared" ca="1" si="40"/>
        <v>11.385480417718123</v>
      </c>
      <c r="R129" s="30">
        <f t="shared" ca="1" si="40"/>
        <v>32.321587906513827</v>
      </c>
      <c r="S129" s="30">
        <f t="shared" ca="1" si="40"/>
        <v>23.101242213487595</v>
      </c>
      <c r="T129" s="30">
        <f t="shared" ca="1" si="40"/>
        <v>33.007195959484299</v>
      </c>
      <c r="U129" s="30">
        <f t="shared" ca="1" si="40"/>
        <v>4.1151775922901423</v>
      </c>
      <c r="V129" s="30">
        <f t="shared" ca="1" si="40"/>
        <v>0.35607706982550347</v>
      </c>
      <c r="W129" s="30">
        <f t="shared" ca="1" si="40"/>
        <v>21.826954092568659</v>
      </c>
      <c r="X129" s="30">
        <f t="shared" ca="1" si="40"/>
        <v>13.249408246151825</v>
      </c>
      <c r="Y129" s="30">
        <f t="shared" ca="1" si="40"/>
        <v>14.020152259272017</v>
      </c>
      <c r="Z129" s="30">
        <f t="shared" ca="1" si="40"/>
        <v>28.125561064303049</v>
      </c>
      <c r="AA129" s="26">
        <v>121</v>
      </c>
      <c r="AB129" s="31">
        <f t="shared" ca="1" si="34"/>
        <v>57</v>
      </c>
      <c r="AC129" s="31">
        <f t="shared" ca="1" si="21"/>
        <v>23</v>
      </c>
      <c r="AD129" s="31">
        <f t="shared" ca="1" si="22"/>
        <v>14</v>
      </c>
      <c r="AE129" s="31">
        <f t="shared" ca="1" si="23"/>
        <v>115</v>
      </c>
      <c r="AF129" s="31">
        <f t="shared" ca="1" si="24"/>
        <v>39</v>
      </c>
      <c r="AG129" s="31">
        <f t="shared" ca="1" si="25"/>
        <v>152</v>
      </c>
      <c r="AH129" s="31">
        <f t="shared" ca="1" si="26"/>
        <v>5</v>
      </c>
      <c r="AI129" s="31">
        <f t="shared" ca="1" si="27"/>
        <v>1</v>
      </c>
      <c r="AJ129" s="31">
        <f t="shared" ca="1" si="28"/>
        <v>35</v>
      </c>
      <c r="AK129" s="31">
        <f t="shared" ca="1" si="29"/>
        <v>17</v>
      </c>
      <c r="AL129" s="31">
        <f t="shared" ca="1" si="30"/>
        <v>18</v>
      </c>
      <c r="AM129" s="31">
        <f t="shared" ca="1" si="31"/>
        <v>61</v>
      </c>
    </row>
    <row r="130" spans="1:39">
      <c r="A130" s="27"/>
      <c r="B130" s="28">
        <v>42613</v>
      </c>
      <c r="C130" s="29">
        <v>4.2215972222222221E-3</v>
      </c>
      <c r="D130" s="29">
        <v>-1.0729826931865638E-3</v>
      </c>
      <c r="E130" s="29">
        <v>-1.006930509215731E-2</v>
      </c>
      <c r="F130" s="29">
        <v>-8.7589675143600054E-3</v>
      </c>
      <c r="G130" s="29">
        <v>-2.3613672131111541E-2</v>
      </c>
      <c r="H130" s="29">
        <v>8.3999999999999995E-3</v>
      </c>
      <c r="J130" s="24">
        <v>122</v>
      </c>
      <c r="K130" s="25">
        <f t="shared" si="32"/>
        <v>2.5083021257760445E-2</v>
      </c>
      <c r="L130" s="25">
        <f t="shared" si="33"/>
        <v>32.522315645999072</v>
      </c>
      <c r="N130" s="26">
        <v>122</v>
      </c>
      <c r="O130" s="30">
        <f t="shared" ca="1" si="40"/>
        <v>14.526856197021452</v>
      </c>
      <c r="P130" s="30">
        <f t="shared" ca="1" si="40"/>
        <v>21.696272460905767</v>
      </c>
      <c r="Q130" s="30">
        <f t="shared" ca="1" si="40"/>
        <v>1.2689981578218141</v>
      </c>
      <c r="R130" s="30">
        <f t="shared" ca="1" si="40"/>
        <v>10.089153824367981</v>
      </c>
      <c r="S130" s="30">
        <f t="shared" ca="1" si="40"/>
        <v>24.357866343767629</v>
      </c>
      <c r="T130" s="30">
        <f t="shared" ca="1" si="40"/>
        <v>17.948711697650619</v>
      </c>
      <c r="U130" s="30">
        <f t="shared" ca="1" si="40"/>
        <v>15.014843084890103</v>
      </c>
      <c r="V130" s="30">
        <f t="shared" ca="1" si="40"/>
        <v>30.395064057300864</v>
      </c>
      <c r="W130" s="30">
        <f t="shared" ca="1" si="40"/>
        <v>3.2287068256460465</v>
      </c>
      <c r="X130" s="30">
        <f t="shared" ca="1" si="40"/>
        <v>28.467829138208835</v>
      </c>
      <c r="Y130" s="30">
        <f t="shared" ca="1" si="40"/>
        <v>11.319926776708531</v>
      </c>
      <c r="Z130" s="30">
        <f t="shared" ca="1" si="40"/>
        <v>9.0470112771197861</v>
      </c>
      <c r="AA130" s="26">
        <v>122</v>
      </c>
      <c r="AB130" s="31">
        <f t="shared" ca="1" si="34"/>
        <v>19</v>
      </c>
      <c r="AC130" s="31">
        <f t="shared" ca="1" si="21"/>
        <v>35</v>
      </c>
      <c r="AD130" s="31">
        <f t="shared" ca="1" si="22"/>
        <v>2</v>
      </c>
      <c r="AE130" s="31">
        <f t="shared" ca="1" si="23"/>
        <v>12</v>
      </c>
      <c r="AF130" s="31">
        <f t="shared" ca="1" si="24"/>
        <v>44</v>
      </c>
      <c r="AG130" s="31">
        <f t="shared" ca="1" si="25"/>
        <v>26</v>
      </c>
      <c r="AH130" s="31">
        <f t="shared" ca="1" si="26"/>
        <v>20</v>
      </c>
      <c r="AI130" s="31">
        <f t="shared" ca="1" si="27"/>
        <v>80</v>
      </c>
      <c r="AJ130" s="31">
        <f t="shared" ca="1" si="28"/>
        <v>4</v>
      </c>
      <c r="AK130" s="31">
        <f t="shared" ca="1" si="29"/>
        <v>64</v>
      </c>
      <c r="AL130" s="31">
        <f t="shared" ca="1" si="30"/>
        <v>14</v>
      </c>
      <c r="AM130" s="31">
        <f t="shared" ca="1" si="31"/>
        <v>11</v>
      </c>
    </row>
    <row r="131" spans="1:39">
      <c r="A131" s="27"/>
      <c r="B131" s="28">
        <v>42582</v>
      </c>
      <c r="C131" s="29">
        <v>4.1143250000000003E-3</v>
      </c>
      <c r="D131" s="29">
        <v>3.2293431675469719E-3</v>
      </c>
      <c r="E131" s="29">
        <v>3.1426511236631871E-3</v>
      </c>
      <c r="F131" s="29">
        <v>3.1679996174491798E-3</v>
      </c>
      <c r="G131" s="29">
        <v>3.8725493551264867E-2</v>
      </c>
      <c r="H131" s="29">
        <v>3.2599999999999997E-2</v>
      </c>
      <c r="J131" s="24">
        <v>123</v>
      </c>
      <c r="K131" s="25">
        <f t="shared" si="32"/>
        <v>2.4330530620027633E-2</v>
      </c>
      <c r="L131" s="25">
        <f t="shared" si="33"/>
        <v>32.546646176619099</v>
      </c>
      <c r="N131" s="26">
        <v>123</v>
      </c>
      <c r="O131" s="30">
        <f t="shared" ca="1" si="40"/>
        <v>29.731505484012377</v>
      </c>
      <c r="P131" s="30">
        <f t="shared" ca="1" si="40"/>
        <v>0.40810394679991424</v>
      </c>
      <c r="Q131" s="30">
        <f t="shared" ca="1" si="40"/>
        <v>14.122590640455716</v>
      </c>
      <c r="R131" s="30">
        <f t="shared" ca="1" si="40"/>
        <v>7.2279825558596267</v>
      </c>
      <c r="S131" s="30">
        <f t="shared" ca="1" si="40"/>
        <v>26.538447309763075</v>
      </c>
      <c r="T131" s="30">
        <f t="shared" ca="1" si="40"/>
        <v>29.61280015494879</v>
      </c>
      <c r="U131" s="30">
        <f t="shared" ca="1" si="40"/>
        <v>7.1582227509699017</v>
      </c>
      <c r="V131" s="30">
        <f t="shared" ca="1" si="40"/>
        <v>11.984433228073058</v>
      </c>
      <c r="W131" s="30">
        <f t="shared" ca="1" si="40"/>
        <v>10.889740252802804</v>
      </c>
      <c r="X131" s="30">
        <f t="shared" ca="1" si="40"/>
        <v>16.118089739692849</v>
      </c>
      <c r="Y131" s="30">
        <f t="shared" ca="1" si="40"/>
        <v>2.0714837701379767</v>
      </c>
      <c r="Z131" s="30">
        <f t="shared" ca="1" si="40"/>
        <v>22.033783082634656</v>
      </c>
      <c r="AA131" s="26">
        <v>123</v>
      </c>
      <c r="AB131" s="31">
        <f t="shared" ca="1" si="34"/>
        <v>74</v>
      </c>
      <c r="AC131" s="31">
        <f t="shared" ca="1" si="21"/>
        <v>1</v>
      </c>
      <c r="AD131" s="31">
        <f t="shared" ca="1" si="22"/>
        <v>19</v>
      </c>
      <c r="AE131" s="31">
        <f t="shared" ca="1" si="23"/>
        <v>9</v>
      </c>
      <c r="AF131" s="31">
        <f t="shared" ca="1" si="24"/>
        <v>53</v>
      </c>
      <c r="AG131" s="31">
        <f t="shared" ca="1" si="25"/>
        <v>72</v>
      </c>
      <c r="AH131" s="31">
        <f t="shared" ca="1" si="26"/>
        <v>8</v>
      </c>
      <c r="AI131" s="31">
        <f t="shared" ca="1" si="27"/>
        <v>15</v>
      </c>
      <c r="AJ131" s="31">
        <f t="shared" ca="1" si="28"/>
        <v>13</v>
      </c>
      <c r="AK131" s="31">
        <f t="shared" ca="1" si="29"/>
        <v>22</v>
      </c>
      <c r="AL131" s="31">
        <f t="shared" ca="1" si="30"/>
        <v>3</v>
      </c>
      <c r="AM131" s="31">
        <f t="shared" ca="1" si="31"/>
        <v>36</v>
      </c>
    </row>
    <row r="132" spans="1:39">
      <c r="A132" s="27"/>
      <c r="B132" s="28">
        <v>42551</v>
      </c>
      <c r="C132" s="29">
        <v>4.5489583333333337E-3</v>
      </c>
      <c r="D132" s="29">
        <v>7.3967467701989698E-3</v>
      </c>
      <c r="E132" s="29">
        <v>4.9395538701222375E-3</v>
      </c>
      <c r="F132" s="29">
        <v>5.5416646631725186E-3</v>
      </c>
      <c r="G132" s="29">
        <v>4.0008494649616422E-2</v>
      </c>
      <c r="H132" s="29">
        <v>2.0799999999999999E-2</v>
      </c>
      <c r="J132" s="24">
        <v>124</v>
      </c>
      <c r="K132" s="25">
        <f t="shared" si="32"/>
        <v>2.3600614701426804E-2</v>
      </c>
      <c r="L132" s="25">
        <f t="shared" si="33"/>
        <v>32.570246791320528</v>
      </c>
      <c r="N132" s="26">
        <v>124</v>
      </c>
      <c r="O132" s="30">
        <f t="shared" ca="1" si="40"/>
        <v>29.439713196288164</v>
      </c>
      <c r="P132" s="30">
        <f t="shared" ca="1" si="40"/>
        <v>18.866103057418471</v>
      </c>
      <c r="Q132" s="30">
        <f t="shared" ca="1" si="40"/>
        <v>5.6067893801151554</v>
      </c>
      <c r="R132" s="30">
        <f t="shared" ca="1" si="40"/>
        <v>25.941188108880887</v>
      </c>
      <c r="S132" s="30">
        <f t="shared" ca="1" si="40"/>
        <v>18.779372252107144</v>
      </c>
      <c r="T132" s="30">
        <f t="shared" ca="1" si="40"/>
        <v>16.697981931964534</v>
      </c>
      <c r="U132" s="30">
        <f t="shared" ca="1" si="40"/>
        <v>20.143577125818016</v>
      </c>
      <c r="V132" s="30">
        <f t="shared" ca="1" si="40"/>
        <v>0.72389262838902102</v>
      </c>
      <c r="W132" s="30">
        <f t="shared" ca="1" si="40"/>
        <v>6.357916143812119</v>
      </c>
      <c r="X132" s="30">
        <f t="shared" ca="1" si="40"/>
        <v>7.6534834694580001</v>
      </c>
      <c r="Y132" s="30">
        <f t="shared" ca="1" si="40"/>
        <v>6.7722049323820039</v>
      </c>
      <c r="Z132" s="30">
        <f t="shared" ca="1" si="40"/>
        <v>1.3002089755001283</v>
      </c>
      <c r="AA132" s="26">
        <v>124</v>
      </c>
      <c r="AB132" s="31">
        <f t="shared" ca="1" si="34"/>
        <v>71</v>
      </c>
      <c r="AC132" s="31">
        <f t="shared" ca="1" si="21"/>
        <v>28</v>
      </c>
      <c r="AD132" s="31">
        <f t="shared" ca="1" si="22"/>
        <v>7</v>
      </c>
      <c r="AE132" s="31">
        <f t="shared" ca="1" si="23"/>
        <v>50</v>
      </c>
      <c r="AF132" s="31">
        <f t="shared" ca="1" si="24"/>
        <v>28</v>
      </c>
      <c r="AG132" s="31">
        <f t="shared" ca="1" si="25"/>
        <v>23</v>
      </c>
      <c r="AH132" s="31">
        <f t="shared" ca="1" si="26"/>
        <v>31</v>
      </c>
      <c r="AI132" s="31">
        <f t="shared" ca="1" si="27"/>
        <v>1</v>
      </c>
      <c r="AJ132" s="31">
        <f t="shared" ca="1" si="28"/>
        <v>7</v>
      </c>
      <c r="AK132" s="31">
        <f t="shared" ca="1" si="29"/>
        <v>9</v>
      </c>
      <c r="AL132" s="31">
        <f t="shared" ca="1" si="30"/>
        <v>8</v>
      </c>
      <c r="AM132" s="31">
        <f t="shared" ca="1" si="31"/>
        <v>2</v>
      </c>
    </row>
    <row r="133" spans="1:39">
      <c r="A133" s="27"/>
      <c r="B133" s="28">
        <v>42521</v>
      </c>
      <c r="C133" s="29">
        <v>3.841491111111111E-3</v>
      </c>
      <c r="D133" s="29">
        <v>-5.1146126080529042E-3</v>
      </c>
      <c r="E133" s="29">
        <v>-2.6660710717182567E-2</v>
      </c>
      <c r="F133" s="29">
        <v>-1.7456830368743015E-2</v>
      </c>
      <c r="G133" s="29">
        <v>-3.1078737745274032E-2</v>
      </c>
      <c r="H133" s="29">
        <v>-2.2000000000000001E-3</v>
      </c>
      <c r="J133" s="24">
        <v>125</v>
      </c>
      <c r="K133" s="25">
        <f t="shared" si="32"/>
        <v>2.2892596260384E-2</v>
      </c>
      <c r="L133" s="25">
        <f t="shared" si="33"/>
        <v>32.593139387580912</v>
      </c>
      <c r="N133" s="26">
        <v>125</v>
      </c>
      <c r="O133" s="30">
        <f t="shared" ca="1" si="40"/>
        <v>16.274286068602496</v>
      </c>
      <c r="P133" s="30">
        <f t="shared" ca="1" si="40"/>
        <v>12.247507854110612</v>
      </c>
      <c r="Q133" s="30">
        <f t="shared" ca="1" si="40"/>
        <v>12.5384853885136</v>
      </c>
      <c r="R133" s="30">
        <f t="shared" ca="1" si="40"/>
        <v>31.202369356713078</v>
      </c>
      <c r="S133" s="30">
        <f t="shared" ca="1" si="40"/>
        <v>30.224134843498735</v>
      </c>
      <c r="T133" s="30">
        <f t="shared" ca="1" si="40"/>
        <v>4.6333732323042014</v>
      </c>
      <c r="U133" s="30">
        <f t="shared" ca="1" si="40"/>
        <v>27.65940097396766</v>
      </c>
      <c r="V133" s="30">
        <f t="shared" ca="1" si="40"/>
        <v>23.395326934514998</v>
      </c>
      <c r="W133" s="30">
        <f t="shared" ca="1" si="40"/>
        <v>25.609297651185837</v>
      </c>
      <c r="X133" s="30">
        <f t="shared" ca="1" si="40"/>
        <v>17.089969016608379</v>
      </c>
      <c r="Y133" s="30">
        <f t="shared" ca="1" si="40"/>
        <v>5.9188045895095005</v>
      </c>
      <c r="Z133" s="30">
        <f t="shared" ca="1" si="40"/>
        <v>3.6021233988512176</v>
      </c>
      <c r="AA133" s="26">
        <v>125</v>
      </c>
      <c r="AB133" s="31">
        <f t="shared" ca="1" si="34"/>
        <v>22</v>
      </c>
      <c r="AC133" s="31">
        <f t="shared" ca="1" si="21"/>
        <v>16</v>
      </c>
      <c r="AD133" s="31">
        <f t="shared" ca="1" si="22"/>
        <v>16</v>
      </c>
      <c r="AE133" s="31">
        <f t="shared" ca="1" si="23"/>
        <v>91</v>
      </c>
      <c r="AF133" s="31">
        <f t="shared" ca="1" si="24"/>
        <v>78</v>
      </c>
      <c r="AG133" s="31">
        <f t="shared" ca="1" si="25"/>
        <v>5</v>
      </c>
      <c r="AH133" s="31">
        <f t="shared" ca="1" si="26"/>
        <v>59</v>
      </c>
      <c r="AI133" s="31">
        <f t="shared" ca="1" si="27"/>
        <v>40</v>
      </c>
      <c r="AJ133" s="31">
        <f t="shared" ca="1" si="28"/>
        <v>49</v>
      </c>
      <c r="AK133" s="31">
        <f t="shared" ca="1" si="29"/>
        <v>24</v>
      </c>
      <c r="AL133" s="31">
        <f t="shared" ca="1" si="30"/>
        <v>7</v>
      </c>
      <c r="AM133" s="31">
        <f t="shared" ca="1" si="31"/>
        <v>4</v>
      </c>
    </row>
    <row r="134" spans="1:39">
      <c r="A134" s="27"/>
      <c r="B134" s="28">
        <v>42490</v>
      </c>
      <c r="C134" s="29">
        <v>4.0793816666666663E-3</v>
      </c>
      <c r="D134" s="29">
        <v>3.7165278539055269E-3</v>
      </c>
      <c r="E134" s="29">
        <v>5.5496781895874037E-3</v>
      </c>
      <c r="F134" s="29">
        <v>7.1372493041181873E-3</v>
      </c>
      <c r="G134" s="29">
        <v>4.1816017427482199E-2</v>
      </c>
      <c r="H134" s="29">
        <v>1.41E-2</v>
      </c>
      <c r="J134" s="24">
        <v>126</v>
      </c>
      <c r="K134" s="25">
        <f t="shared" si="32"/>
        <v>2.2205818372572479E-2</v>
      </c>
      <c r="L134" s="25">
        <f t="shared" si="33"/>
        <v>32.615345205953481</v>
      </c>
      <c r="N134" s="26">
        <v>126</v>
      </c>
      <c r="O134" s="30">
        <f t="shared" ca="1" si="40"/>
        <v>26.489658304965808</v>
      </c>
      <c r="P134" s="30">
        <f t="shared" ca="1" si="40"/>
        <v>19.721166116667199</v>
      </c>
      <c r="Q134" s="30">
        <f t="shared" ca="1" si="40"/>
        <v>13.738544649729933</v>
      </c>
      <c r="R134" s="30">
        <f t="shared" ca="1" si="40"/>
        <v>3.7454896747417945</v>
      </c>
      <c r="S134" s="30">
        <f t="shared" ca="1" si="40"/>
        <v>14.080947910784886</v>
      </c>
      <c r="T134" s="30">
        <f t="shared" ca="1" si="40"/>
        <v>16.193931265332193</v>
      </c>
      <c r="U134" s="30">
        <f t="shared" ca="1" si="40"/>
        <v>24.6001580462592</v>
      </c>
      <c r="V134" s="30">
        <f t="shared" ca="1" si="40"/>
        <v>20.508231947455322</v>
      </c>
      <c r="W134" s="30">
        <f t="shared" ca="1" si="40"/>
        <v>23.100022504042357</v>
      </c>
      <c r="X134" s="30">
        <f t="shared" ca="1" si="40"/>
        <v>5.6275488991403959</v>
      </c>
      <c r="Y134" s="30">
        <f t="shared" ca="1" si="40"/>
        <v>25.573406048154467</v>
      </c>
      <c r="Z134" s="30">
        <f t="shared" ca="1" si="40"/>
        <v>9.0506445808272975</v>
      </c>
      <c r="AA134" s="26">
        <v>126</v>
      </c>
      <c r="AB134" s="31">
        <f t="shared" ca="1" si="34"/>
        <v>52</v>
      </c>
      <c r="AC134" s="31">
        <f t="shared" ca="1" si="21"/>
        <v>30</v>
      </c>
      <c r="AD134" s="31">
        <f t="shared" ca="1" si="22"/>
        <v>18</v>
      </c>
      <c r="AE134" s="31">
        <f t="shared" ca="1" si="23"/>
        <v>4</v>
      </c>
      <c r="AF134" s="31">
        <f t="shared" ca="1" si="24"/>
        <v>19</v>
      </c>
      <c r="AG134" s="31">
        <f t="shared" ca="1" si="25"/>
        <v>22</v>
      </c>
      <c r="AH134" s="31">
        <f t="shared" ca="1" si="26"/>
        <v>44</v>
      </c>
      <c r="AI134" s="31">
        <f t="shared" ca="1" si="27"/>
        <v>32</v>
      </c>
      <c r="AJ134" s="31">
        <f t="shared" ca="1" si="28"/>
        <v>39</v>
      </c>
      <c r="AK134" s="31">
        <f t="shared" ca="1" si="29"/>
        <v>7</v>
      </c>
      <c r="AL134" s="31">
        <f t="shared" ca="1" si="30"/>
        <v>48</v>
      </c>
      <c r="AM134" s="31">
        <f t="shared" ca="1" si="31"/>
        <v>11</v>
      </c>
    </row>
    <row r="135" spans="1:39">
      <c r="A135" s="27"/>
      <c r="B135" s="28">
        <v>42460</v>
      </c>
      <c r="C135" s="29">
        <v>4.8399869444444446E-3</v>
      </c>
      <c r="D135" s="29">
        <v>3.2188409490214731E-3</v>
      </c>
      <c r="E135" s="29">
        <v>1.3967555026841438E-3</v>
      </c>
      <c r="F135" s="29">
        <v>3.0066575989691202E-3</v>
      </c>
      <c r="G135" s="29">
        <v>5.7625165055430028E-2</v>
      </c>
      <c r="H135" s="29">
        <v>1.6E-2</v>
      </c>
      <c r="J135" s="24">
        <v>127</v>
      </c>
      <c r="K135" s="25">
        <f t="shared" si="32"/>
        <v>2.1539643821395303E-2</v>
      </c>
      <c r="L135" s="25">
        <f t="shared" si="33"/>
        <v>32.63688484977488</v>
      </c>
      <c r="N135" s="26">
        <v>127</v>
      </c>
      <c r="O135" s="30">
        <f t="shared" ca="1" si="40"/>
        <v>27.956603961090476</v>
      </c>
      <c r="P135" s="30">
        <f t="shared" ca="1" si="40"/>
        <v>31.055334521929812</v>
      </c>
      <c r="Q135" s="30">
        <f t="shared" ca="1" si="40"/>
        <v>26.334228463612217</v>
      </c>
      <c r="R135" s="30">
        <f t="shared" ca="1" si="40"/>
        <v>1.6738045304569409</v>
      </c>
      <c r="S135" s="30">
        <f t="shared" ca="1" si="40"/>
        <v>17.312739289559769</v>
      </c>
      <c r="T135" s="30">
        <f t="shared" ca="1" si="40"/>
        <v>6.3979948732456737</v>
      </c>
      <c r="U135" s="30">
        <f t="shared" ca="1" si="40"/>
        <v>21.458783265728947</v>
      </c>
      <c r="V135" s="30">
        <f t="shared" ca="1" si="40"/>
        <v>7.5741286159083838</v>
      </c>
      <c r="W135" s="30">
        <f t="shared" ca="1" si="40"/>
        <v>3.2162767779159789</v>
      </c>
      <c r="X135" s="30">
        <f t="shared" ca="1" si="40"/>
        <v>0.31856037163961898</v>
      </c>
      <c r="Y135" s="30">
        <f t="shared" ca="1" si="40"/>
        <v>1.4614278552770781</v>
      </c>
      <c r="Z135" s="30">
        <f t="shared" ca="1" si="40"/>
        <v>10.074618142597629</v>
      </c>
      <c r="AA135" s="26">
        <v>127</v>
      </c>
      <c r="AB135" s="31">
        <f t="shared" ca="1" si="34"/>
        <v>60</v>
      </c>
      <c r="AC135" s="31">
        <f t="shared" ca="1" si="21"/>
        <v>89</v>
      </c>
      <c r="AD135" s="31">
        <f t="shared" ca="1" si="22"/>
        <v>52</v>
      </c>
      <c r="AE135" s="31">
        <f t="shared" ca="1" si="23"/>
        <v>2</v>
      </c>
      <c r="AF135" s="31">
        <f t="shared" ca="1" si="24"/>
        <v>25</v>
      </c>
      <c r="AG135" s="31">
        <f t="shared" ca="1" si="25"/>
        <v>7</v>
      </c>
      <c r="AH135" s="31">
        <f t="shared" ca="1" si="26"/>
        <v>34</v>
      </c>
      <c r="AI135" s="31">
        <f t="shared" ca="1" si="27"/>
        <v>9</v>
      </c>
      <c r="AJ135" s="31">
        <f t="shared" ca="1" si="28"/>
        <v>4</v>
      </c>
      <c r="AK135" s="31">
        <f t="shared" ca="1" si="29"/>
        <v>1</v>
      </c>
      <c r="AL135" s="31">
        <f t="shared" ca="1" si="30"/>
        <v>2</v>
      </c>
      <c r="AM135" s="31">
        <f t="shared" ca="1" si="31"/>
        <v>12</v>
      </c>
    </row>
    <row r="136" spans="1:39">
      <c r="A136" s="27"/>
      <c r="B136" s="28">
        <v>42429</v>
      </c>
      <c r="C136" s="29">
        <v>4.5111458333333323E-3</v>
      </c>
      <c r="D136" s="29">
        <v>-5.2948706778088717E-4</v>
      </c>
      <c r="E136" s="29">
        <v>1.0842516885887221E-3</v>
      </c>
      <c r="F136" s="29">
        <v>5.6634110052555808E-3</v>
      </c>
      <c r="G136" s="29">
        <v>6.0607892486682191E-2</v>
      </c>
      <c r="H136" s="29">
        <v>1.44E-2</v>
      </c>
      <c r="J136" s="24">
        <v>128</v>
      </c>
      <c r="K136" s="25">
        <f t="shared" si="32"/>
        <v>2.0893454506753444E-2</v>
      </c>
      <c r="L136" s="25">
        <f t="shared" si="33"/>
        <v>32.657778304281635</v>
      </c>
      <c r="N136" s="26">
        <v>128</v>
      </c>
      <c r="O136" s="30">
        <f t="shared" ca="1" si="40"/>
        <v>21.547546459579547</v>
      </c>
      <c r="P136" s="30">
        <f t="shared" ca="1" si="40"/>
        <v>25.769686232286713</v>
      </c>
      <c r="Q136" s="30">
        <f t="shared" ca="1" si="40"/>
        <v>16.512794012160182</v>
      </c>
      <c r="R136" s="30">
        <f t="shared" ca="1" si="40"/>
        <v>8.8901237380065048</v>
      </c>
      <c r="S136" s="30">
        <f t="shared" ca="1" si="40"/>
        <v>12.033643452710685</v>
      </c>
      <c r="T136" s="30">
        <f t="shared" ca="1" si="40"/>
        <v>9.0125880644227827</v>
      </c>
      <c r="U136" s="30">
        <f t="shared" ca="1" si="40"/>
        <v>29.542785024418418</v>
      </c>
      <c r="V136" s="30">
        <f t="shared" ca="1" si="40"/>
        <v>8.1575366944332117</v>
      </c>
      <c r="W136" s="30">
        <f t="shared" ca="1" si="40"/>
        <v>14.596107130543542</v>
      </c>
      <c r="X136" s="30">
        <f t="shared" ca="1" si="40"/>
        <v>16.602284137536515</v>
      </c>
      <c r="Y136" s="30">
        <f t="shared" ca="1" si="40"/>
        <v>22.437231374949548</v>
      </c>
      <c r="Z136" s="30">
        <f t="shared" ca="1" si="40"/>
        <v>8.390053444086325</v>
      </c>
      <c r="AA136" s="26">
        <v>128</v>
      </c>
      <c r="AB136" s="31">
        <f t="shared" ca="1" si="34"/>
        <v>35</v>
      </c>
      <c r="AC136" s="31">
        <f t="shared" ca="1" si="21"/>
        <v>49</v>
      </c>
      <c r="AD136" s="31">
        <f t="shared" ca="1" si="22"/>
        <v>23</v>
      </c>
      <c r="AE136" s="31">
        <f t="shared" ca="1" si="23"/>
        <v>11</v>
      </c>
      <c r="AF136" s="31">
        <f t="shared" ca="1" si="24"/>
        <v>15</v>
      </c>
      <c r="AG136" s="31">
        <f t="shared" ca="1" si="25"/>
        <v>11</v>
      </c>
      <c r="AH136" s="31">
        <f t="shared" ca="1" si="26"/>
        <v>72</v>
      </c>
      <c r="AI136" s="31">
        <f t="shared" ca="1" si="27"/>
        <v>10</v>
      </c>
      <c r="AJ136" s="31">
        <f t="shared" ca="1" si="28"/>
        <v>19</v>
      </c>
      <c r="AK136" s="31">
        <f t="shared" ca="1" si="29"/>
        <v>23</v>
      </c>
      <c r="AL136" s="31">
        <f t="shared" ca="1" si="30"/>
        <v>37</v>
      </c>
      <c r="AM136" s="31">
        <f t="shared" ca="1" si="31"/>
        <v>10</v>
      </c>
    </row>
    <row r="137" spans="1:39">
      <c r="A137" s="27"/>
      <c r="B137" s="28">
        <v>42400</v>
      </c>
      <c r="C137" s="29">
        <v>4.4791666666666669E-3</v>
      </c>
      <c r="D137" s="29">
        <v>4.6664152772912804E-3</v>
      </c>
      <c r="E137" s="29">
        <v>-4.1714113766837535E-3</v>
      </c>
      <c r="F137" s="29">
        <v>-5.2754702568510448E-3</v>
      </c>
      <c r="G137" s="29">
        <v>8.1341989203888465E-2</v>
      </c>
      <c r="H137" s="29">
        <v>-1.9599999999999999E-2</v>
      </c>
      <c r="J137" s="24">
        <v>129</v>
      </c>
      <c r="K137" s="25">
        <f t="shared" si="32"/>
        <v>2.0266650871550839E-2</v>
      </c>
      <c r="L137" s="25">
        <f t="shared" si="33"/>
        <v>32.678044955153183</v>
      </c>
      <c r="N137" s="26">
        <v>129</v>
      </c>
      <c r="O137" s="30">
        <f t="shared" ca="1" si="40"/>
        <v>1.8563477324303996</v>
      </c>
      <c r="P137" s="30">
        <f t="shared" ca="1" si="40"/>
        <v>18.227631671960339</v>
      </c>
      <c r="Q137" s="30">
        <f t="shared" ca="1" si="40"/>
        <v>14.62189605148231</v>
      </c>
      <c r="R137" s="30">
        <f t="shared" ca="1" si="40"/>
        <v>8.1518179018924872</v>
      </c>
      <c r="S137" s="30">
        <f t="shared" ca="1" si="40"/>
        <v>22.549026250394078</v>
      </c>
      <c r="T137" s="30">
        <f t="shared" ca="1" si="40"/>
        <v>21.361749734786443</v>
      </c>
      <c r="U137" s="30">
        <f t="shared" ca="1" si="40"/>
        <v>28.694919387664072</v>
      </c>
      <c r="V137" s="30">
        <f t="shared" ca="1" si="40"/>
        <v>33.188787354492426</v>
      </c>
      <c r="W137" s="30">
        <f t="shared" ca="1" si="40"/>
        <v>22.274673109316677</v>
      </c>
      <c r="X137" s="30">
        <f t="shared" ca="1" si="40"/>
        <v>19.219126184165965</v>
      </c>
      <c r="Y137" s="30">
        <f t="shared" ca="1" si="40"/>
        <v>19.616325775410218</v>
      </c>
      <c r="Z137" s="30">
        <f t="shared" ca="1" si="40"/>
        <v>19.167037074706879</v>
      </c>
      <c r="AA137" s="26">
        <v>129</v>
      </c>
      <c r="AB137" s="31">
        <f t="shared" ca="1" si="34"/>
        <v>2</v>
      </c>
      <c r="AC137" s="31">
        <f t="shared" ref="AC137:AC200" ca="1" si="41">MATCH(P137,cum_wt,1)</f>
        <v>26</v>
      </c>
      <c r="AD137" s="31">
        <f t="shared" ref="AD137:AD200" ca="1" si="42">MATCH(Q137,cum_wt,1)</f>
        <v>19</v>
      </c>
      <c r="AE137" s="31">
        <f t="shared" ref="AE137:AE200" ca="1" si="43">MATCH(R137,cum_wt,1)</f>
        <v>10</v>
      </c>
      <c r="AF137" s="31">
        <f t="shared" ref="AF137:AF200" ca="1" si="44">MATCH(S137,cum_wt,1)</f>
        <v>38</v>
      </c>
      <c r="AG137" s="31">
        <f t="shared" ref="AG137:AG200" ca="1" si="45">MATCH(T137,cum_wt,1)</f>
        <v>34</v>
      </c>
      <c r="AH137" s="31">
        <f t="shared" ref="AH137:AH200" ca="1" si="46">MATCH(U137,cum_wt,1)</f>
        <v>65</v>
      </c>
      <c r="AI137" s="31">
        <f t="shared" ref="AI137:AI200" ca="1" si="47">MATCH(V137,cum_wt,1)</f>
        <v>179</v>
      </c>
      <c r="AJ137" s="31">
        <f t="shared" ref="AJ137:AJ200" ca="1" si="48">MATCH(W137,cum_wt,1)</f>
        <v>37</v>
      </c>
      <c r="AK137" s="31">
        <f t="shared" ref="AK137:AK200" ca="1" si="49">MATCH(X137,cum_wt,1)</f>
        <v>29</v>
      </c>
      <c r="AL137" s="31">
        <f t="shared" ref="AL137:AL200" ca="1" si="50">MATCH(Y137,cum_wt,1)</f>
        <v>30</v>
      </c>
      <c r="AM137" s="31">
        <f t="shared" ref="AM137:AM200" ca="1" si="51">MATCH(Z137,cum_wt,1)</f>
        <v>29</v>
      </c>
    </row>
    <row r="138" spans="1:39">
      <c r="A138" s="27"/>
      <c r="B138" s="28">
        <v>42369</v>
      </c>
      <c r="C138" s="29">
        <v>4.7037749999999994E-3</v>
      </c>
      <c r="D138" s="29">
        <v>1.2145086760356083E-2</v>
      </c>
      <c r="E138" s="29">
        <v>2.534210940241266E-2</v>
      </c>
      <c r="F138" s="29">
        <v>2.3416028436366476E-2</v>
      </c>
      <c r="G138" s="29">
        <v>6.4060393970495344E-2</v>
      </c>
      <c r="H138" s="29">
        <v>-2.5499999999999998E-2</v>
      </c>
      <c r="J138" s="24">
        <v>130</v>
      </c>
      <c r="K138" s="25">
        <f t="shared" ref="K138:K201" si="52">K137*lambda</f>
        <v>1.9658651345404312E-2</v>
      </c>
      <c r="L138" s="25">
        <f t="shared" ref="L138:L201" si="53">L137+K138</f>
        <v>32.697703606498585</v>
      </c>
      <c r="N138" s="26">
        <v>130</v>
      </c>
      <c r="O138" s="30">
        <f t="shared" ca="1" si="40"/>
        <v>11.726736741935994</v>
      </c>
      <c r="P138" s="30">
        <f t="shared" ca="1" si="40"/>
        <v>18.582076664059901</v>
      </c>
      <c r="Q138" s="30">
        <f t="shared" ca="1" si="40"/>
        <v>24.551159189383245</v>
      </c>
      <c r="R138" s="30">
        <f t="shared" ca="1" si="40"/>
        <v>28.118728709352141</v>
      </c>
      <c r="S138" s="30">
        <f t="shared" ca="1" si="40"/>
        <v>25.570421156583553</v>
      </c>
      <c r="T138" s="30">
        <f t="shared" ca="1" si="40"/>
        <v>13.270651513867577</v>
      </c>
      <c r="U138" s="30">
        <f t="shared" ca="1" si="40"/>
        <v>28.556317289959761</v>
      </c>
      <c r="V138" s="30">
        <f t="shared" ca="1" si="40"/>
        <v>12.01647660743088</v>
      </c>
      <c r="W138" s="30">
        <f t="shared" ca="1" si="40"/>
        <v>21.943550961950837</v>
      </c>
      <c r="X138" s="30">
        <f t="shared" ca="1" si="40"/>
        <v>0.84514186385525214</v>
      </c>
      <c r="Y138" s="30">
        <f t="shared" ca="1" si="40"/>
        <v>20.97049989573534</v>
      </c>
      <c r="Z138" s="30">
        <f t="shared" ca="1" si="40"/>
        <v>1.1898061038389516</v>
      </c>
      <c r="AA138" s="26">
        <v>130</v>
      </c>
      <c r="AB138" s="31">
        <f t="shared" ref="AB138:AB201" ca="1" si="54">MATCH(O138,cum_wt,1)</f>
        <v>15</v>
      </c>
      <c r="AC138" s="31">
        <f t="shared" ca="1" si="41"/>
        <v>27</v>
      </c>
      <c r="AD138" s="31">
        <f t="shared" ca="1" si="42"/>
        <v>44</v>
      </c>
      <c r="AE138" s="31">
        <f t="shared" ca="1" si="43"/>
        <v>61</v>
      </c>
      <c r="AF138" s="31">
        <f t="shared" ca="1" si="44"/>
        <v>48</v>
      </c>
      <c r="AG138" s="31">
        <f t="shared" ca="1" si="45"/>
        <v>17</v>
      </c>
      <c r="AH138" s="31">
        <f t="shared" ca="1" si="46"/>
        <v>64</v>
      </c>
      <c r="AI138" s="31">
        <f t="shared" ca="1" si="47"/>
        <v>15</v>
      </c>
      <c r="AJ138" s="31">
        <f t="shared" ca="1" si="48"/>
        <v>36</v>
      </c>
      <c r="AK138" s="31">
        <f t="shared" ca="1" si="49"/>
        <v>1</v>
      </c>
      <c r="AL138" s="31">
        <f t="shared" ca="1" si="50"/>
        <v>33</v>
      </c>
      <c r="AM138" s="31">
        <f t="shared" ca="1" si="51"/>
        <v>2</v>
      </c>
    </row>
    <row r="139" spans="1:39">
      <c r="A139" s="27"/>
      <c r="B139" s="28">
        <v>42338</v>
      </c>
      <c r="C139" s="29">
        <v>4.8706597222222224E-3</v>
      </c>
      <c r="D139" s="29">
        <v>1.4043429582429212E-2</v>
      </c>
      <c r="E139" s="29">
        <v>3.0202178844763505E-2</v>
      </c>
      <c r="F139" s="29">
        <v>1.6274392968866458E-2</v>
      </c>
      <c r="G139" s="29">
        <v>-0.14457718218420057</v>
      </c>
      <c r="H139" s="29">
        <v>-7.4700000000000003E-2</v>
      </c>
      <c r="J139" s="24">
        <v>131</v>
      </c>
      <c r="K139" s="25">
        <f t="shared" si="52"/>
        <v>1.9068891805042183E-2</v>
      </c>
      <c r="L139" s="25">
        <f t="shared" si="53"/>
        <v>32.716772498303627</v>
      </c>
      <c r="N139" s="26">
        <v>131</v>
      </c>
      <c r="O139" s="30">
        <f t="shared" ref="O139:Z148" ca="1" si="55">RAND()*sumweights</f>
        <v>3.6378609853608226</v>
      </c>
      <c r="P139" s="30">
        <f t="shared" ca="1" si="55"/>
        <v>18.867898682566878</v>
      </c>
      <c r="Q139" s="30">
        <f t="shared" ca="1" si="55"/>
        <v>32.130578417701315</v>
      </c>
      <c r="R139" s="30">
        <f t="shared" ca="1" si="55"/>
        <v>28.970384560184783</v>
      </c>
      <c r="S139" s="30">
        <f t="shared" ca="1" si="55"/>
        <v>0.20876269834626138</v>
      </c>
      <c r="T139" s="30">
        <f t="shared" ca="1" si="55"/>
        <v>23.33396432242354</v>
      </c>
      <c r="U139" s="30">
        <f t="shared" ca="1" si="55"/>
        <v>28.23323183008085</v>
      </c>
      <c r="V139" s="30">
        <f t="shared" ca="1" si="55"/>
        <v>4.0936211040010511</v>
      </c>
      <c r="W139" s="30">
        <f t="shared" ca="1" si="55"/>
        <v>13.763778339490297</v>
      </c>
      <c r="X139" s="30">
        <f t="shared" ca="1" si="55"/>
        <v>8.9674012916788897</v>
      </c>
      <c r="Y139" s="30">
        <f t="shared" ca="1" si="55"/>
        <v>18.866796405644997</v>
      </c>
      <c r="Z139" s="30">
        <f t="shared" ca="1" si="55"/>
        <v>7.3479128066802399</v>
      </c>
      <c r="AA139" s="26">
        <v>131</v>
      </c>
      <c r="AB139" s="31">
        <f t="shared" ca="1" si="54"/>
        <v>4</v>
      </c>
      <c r="AC139" s="31">
        <f t="shared" ca="1" si="41"/>
        <v>28</v>
      </c>
      <c r="AD139" s="31">
        <f t="shared" ca="1" si="42"/>
        <v>110</v>
      </c>
      <c r="AE139" s="31">
        <f t="shared" ca="1" si="43"/>
        <v>67</v>
      </c>
      <c r="AF139" s="31">
        <f t="shared" ca="1" si="44"/>
        <v>1</v>
      </c>
      <c r="AG139" s="31">
        <f t="shared" ca="1" si="45"/>
        <v>40</v>
      </c>
      <c r="AH139" s="31">
        <f t="shared" ca="1" si="46"/>
        <v>62</v>
      </c>
      <c r="AI139" s="31">
        <f t="shared" ca="1" si="47"/>
        <v>5</v>
      </c>
      <c r="AJ139" s="31">
        <f t="shared" ca="1" si="48"/>
        <v>18</v>
      </c>
      <c r="AK139" s="31">
        <f t="shared" ca="1" si="49"/>
        <v>11</v>
      </c>
      <c r="AL139" s="31">
        <f t="shared" ca="1" si="50"/>
        <v>28</v>
      </c>
      <c r="AM139" s="31">
        <f t="shared" ca="1" si="51"/>
        <v>9</v>
      </c>
    </row>
    <row r="140" spans="1:39">
      <c r="A140" s="27"/>
      <c r="B140" s="28">
        <v>42308</v>
      </c>
      <c r="C140" s="29">
        <v>4.8740266666666672E-3</v>
      </c>
      <c r="D140" s="29">
        <v>4.8334004638952432E-3</v>
      </c>
      <c r="E140" s="29">
        <v>1.9357819934808784E-3</v>
      </c>
      <c r="F140" s="29">
        <v>2.1272625489829888E-3</v>
      </c>
      <c r="G140" s="29">
        <v>-1.0648387371064882E-2</v>
      </c>
      <c r="H140" s="29">
        <v>-2.0999999999999999E-3</v>
      </c>
      <c r="J140" s="24">
        <v>132</v>
      </c>
      <c r="K140" s="25">
        <f t="shared" si="52"/>
        <v>1.8496825050890918E-2</v>
      </c>
      <c r="L140" s="25">
        <f t="shared" si="53"/>
        <v>32.735269323354515</v>
      </c>
      <c r="N140" s="26">
        <v>132</v>
      </c>
      <c r="O140" s="30">
        <f t="shared" ca="1" si="55"/>
        <v>30.863636124765694</v>
      </c>
      <c r="P140" s="30">
        <f t="shared" ca="1" si="55"/>
        <v>17.660421544303205</v>
      </c>
      <c r="Q140" s="30">
        <f t="shared" ca="1" si="55"/>
        <v>15.271617738010283</v>
      </c>
      <c r="R140" s="30">
        <f t="shared" ca="1" si="55"/>
        <v>0.59110119669752259</v>
      </c>
      <c r="S140" s="30">
        <f t="shared" ca="1" si="55"/>
        <v>10.334180557010136</v>
      </c>
      <c r="T140" s="30">
        <f t="shared" ca="1" si="55"/>
        <v>8.4032909820559016</v>
      </c>
      <c r="U140" s="30">
        <f t="shared" ca="1" si="55"/>
        <v>9.5951960728638781</v>
      </c>
      <c r="V140" s="30">
        <f t="shared" ca="1" si="55"/>
        <v>14.284489584120882</v>
      </c>
      <c r="W140" s="30">
        <f t="shared" ca="1" si="55"/>
        <v>10.57696499599456</v>
      </c>
      <c r="X140" s="30">
        <f t="shared" ca="1" si="55"/>
        <v>2.2303164084925657</v>
      </c>
      <c r="Y140" s="30">
        <f t="shared" ca="1" si="55"/>
        <v>32.227553456181866</v>
      </c>
      <c r="Z140" s="30">
        <f t="shared" ca="1" si="55"/>
        <v>20.804068136408539</v>
      </c>
      <c r="AA140" s="26">
        <v>132</v>
      </c>
      <c r="AB140" s="31">
        <f t="shared" ca="1" si="54"/>
        <v>86</v>
      </c>
      <c r="AC140" s="31">
        <f t="shared" ca="1" si="41"/>
        <v>25</v>
      </c>
      <c r="AD140" s="31">
        <f t="shared" ca="1" si="42"/>
        <v>21</v>
      </c>
      <c r="AE140" s="31">
        <f t="shared" ca="1" si="43"/>
        <v>1</v>
      </c>
      <c r="AF140" s="31">
        <f t="shared" ca="1" si="44"/>
        <v>13</v>
      </c>
      <c r="AG140" s="31">
        <f t="shared" ca="1" si="45"/>
        <v>10</v>
      </c>
      <c r="AH140" s="31">
        <f t="shared" ca="1" si="46"/>
        <v>12</v>
      </c>
      <c r="AI140" s="31">
        <f t="shared" ca="1" si="47"/>
        <v>19</v>
      </c>
      <c r="AJ140" s="31">
        <f t="shared" ca="1" si="48"/>
        <v>13</v>
      </c>
      <c r="AK140" s="31">
        <f t="shared" ca="1" si="49"/>
        <v>3</v>
      </c>
      <c r="AL140" s="31">
        <f t="shared" ca="1" si="50"/>
        <v>112</v>
      </c>
      <c r="AM140" s="31">
        <f t="shared" ca="1" si="51"/>
        <v>33</v>
      </c>
    </row>
    <row r="141" spans="1:39">
      <c r="A141" s="27"/>
      <c r="B141" s="28">
        <v>42277</v>
      </c>
      <c r="C141" s="29">
        <v>5.0277777777777777E-3</v>
      </c>
      <c r="D141" s="29">
        <v>5.4532632299235662E-3</v>
      </c>
      <c r="E141" s="29">
        <v>1.168087028485143E-2</v>
      </c>
      <c r="F141" s="29">
        <v>8.4808490885597276E-3</v>
      </c>
      <c r="G141" s="29">
        <v>4.0618897585273039E-2</v>
      </c>
      <c r="H141" s="29">
        <v>-5.5000000000000005E-3</v>
      </c>
      <c r="J141" s="24">
        <v>133</v>
      </c>
      <c r="K141" s="25">
        <f t="shared" si="52"/>
        <v>1.794192029936419E-2</v>
      </c>
      <c r="L141" s="25">
        <f t="shared" si="53"/>
        <v>32.75321124365388</v>
      </c>
      <c r="N141" s="26">
        <v>133</v>
      </c>
      <c r="O141" s="30">
        <f t="shared" ca="1" si="55"/>
        <v>8.1351285541391629</v>
      </c>
      <c r="P141" s="30">
        <f t="shared" ca="1" si="55"/>
        <v>18.639866607263826</v>
      </c>
      <c r="Q141" s="30">
        <f t="shared" ca="1" si="55"/>
        <v>25.311885865096503</v>
      </c>
      <c r="R141" s="30">
        <f t="shared" ca="1" si="55"/>
        <v>23.418772323085467</v>
      </c>
      <c r="S141" s="30">
        <f t="shared" ca="1" si="55"/>
        <v>21.72463328934672</v>
      </c>
      <c r="T141" s="30">
        <f t="shared" ca="1" si="55"/>
        <v>18.443064370070054</v>
      </c>
      <c r="U141" s="30">
        <f t="shared" ca="1" si="55"/>
        <v>6.9355576689217591</v>
      </c>
      <c r="V141" s="30">
        <f t="shared" ca="1" si="55"/>
        <v>4.0335109327559993</v>
      </c>
      <c r="W141" s="30">
        <f t="shared" ca="1" si="55"/>
        <v>7.8336584263126143</v>
      </c>
      <c r="X141" s="30">
        <f t="shared" ca="1" si="55"/>
        <v>7.4518804630325901</v>
      </c>
      <c r="Y141" s="30">
        <f t="shared" ca="1" si="55"/>
        <v>31.332989493808455</v>
      </c>
      <c r="Z141" s="30">
        <f t="shared" ca="1" si="55"/>
        <v>26.840310665281468</v>
      </c>
      <c r="AA141" s="26">
        <v>133</v>
      </c>
      <c r="AB141" s="31">
        <f t="shared" ca="1" si="54"/>
        <v>10</v>
      </c>
      <c r="AC141" s="31">
        <f t="shared" ca="1" si="41"/>
        <v>27</v>
      </c>
      <c r="AD141" s="31">
        <f t="shared" ca="1" si="42"/>
        <v>47</v>
      </c>
      <c r="AE141" s="31">
        <f t="shared" ca="1" si="43"/>
        <v>40</v>
      </c>
      <c r="AF141" s="31">
        <f t="shared" ca="1" si="44"/>
        <v>35</v>
      </c>
      <c r="AG141" s="31">
        <f t="shared" ca="1" si="45"/>
        <v>27</v>
      </c>
      <c r="AH141" s="31">
        <f t="shared" ca="1" si="46"/>
        <v>8</v>
      </c>
      <c r="AI141" s="31">
        <f t="shared" ca="1" si="47"/>
        <v>5</v>
      </c>
      <c r="AJ141" s="31">
        <f t="shared" ca="1" si="48"/>
        <v>9</v>
      </c>
      <c r="AK141" s="31">
        <f t="shared" ca="1" si="49"/>
        <v>9</v>
      </c>
      <c r="AL141" s="31">
        <f t="shared" ca="1" si="50"/>
        <v>93</v>
      </c>
      <c r="AM141" s="31">
        <f t="shared" ca="1" si="51"/>
        <v>54</v>
      </c>
    </row>
    <row r="142" spans="1:39">
      <c r="A142" s="27"/>
      <c r="B142" s="28">
        <v>42247</v>
      </c>
      <c r="C142" s="29">
        <v>4.5564236111111109E-3</v>
      </c>
      <c r="D142" s="29">
        <v>4.9540035506032698E-3</v>
      </c>
      <c r="E142" s="29">
        <v>1.009501566577975E-2</v>
      </c>
      <c r="F142" s="29">
        <v>9.485815602836789E-3</v>
      </c>
      <c r="G142" s="29">
        <v>-1.7187921227490799E-2</v>
      </c>
      <c r="H142" s="29">
        <v>-9.300000000000001E-3</v>
      </c>
      <c r="J142" s="24">
        <v>134</v>
      </c>
      <c r="K142" s="25">
        <f t="shared" si="52"/>
        <v>1.7403662690383265E-2</v>
      </c>
      <c r="L142" s="25">
        <f t="shared" si="53"/>
        <v>32.770614906344264</v>
      </c>
      <c r="N142" s="26">
        <v>134</v>
      </c>
      <c r="O142" s="30">
        <f t="shared" ca="1" si="55"/>
        <v>22.17310425400477</v>
      </c>
      <c r="P142" s="30">
        <f t="shared" ca="1" si="55"/>
        <v>9.4429306137780529</v>
      </c>
      <c r="Q142" s="30">
        <f t="shared" ca="1" si="55"/>
        <v>22.86589572478071</v>
      </c>
      <c r="R142" s="30">
        <f t="shared" ca="1" si="55"/>
        <v>13.523913384889736</v>
      </c>
      <c r="S142" s="30">
        <f t="shared" ca="1" si="55"/>
        <v>19.219339369870209</v>
      </c>
      <c r="T142" s="30">
        <f t="shared" ca="1" si="55"/>
        <v>4.0411761118712048</v>
      </c>
      <c r="U142" s="30">
        <f t="shared" ca="1" si="55"/>
        <v>6.6345956241284663</v>
      </c>
      <c r="V142" s="30">
        <f t="shared" ca="1" si="55"/>
        <v>18.348110987123881</v>
      </c>
      <c r="W142" s="30">
        <f t="shared" ca="1" si="55"/>
        <v>29.266492535469855</v>
      </c>
      <c r="X142" s="30">
        <f t="shared" ca="1" si="55"/>
        <v>22.673579602873765</v>
      </c>
      <c r="Y142" s="30">
        <f t="shared" ca="1" si="55"/>
        <v>7.9008466462008906</v>
      </c>
      <c r="Z142" s="30">
        <f t="shared" ca="1" si="55"/>
        <v>31.914943456320877</v>
      </c>
      <c r="AA142" s="26">
        <v>134</v>
      </c>
      <c r="AB142" s="31">
        <f t="shared" ca="1" si="54"/>
        <v>36</v>
      </c>
      <c r="AC142" s="31">
        <f t="shared" ca="1" si="41"/>
        <v>11</v>
      </c>
      <c r="AD142" s="31">
        <f t="shared" ca="1" si="42"/>
        <v>39</v>
      </c>
      <c r="AE142" s="31">
        <f t="shared" ca="1" si="43"/>
        <v>18</v>
      </c>
      <c r="AF142" s="31">
        <f t="shared" ca="1" si="44"/>
        <v>29</v>
      </c>
      <c r="AG142" s="31">
        <f t="shared" ca="1" si="45"/>
        <v>5</v>
      </c>
      <c r="AH142" s="31">
        <f t="shared" ca="1" si="46"/>
        <v>8</v>
      </c>
      <c r="AI142" s="31">
        <f t="shared" ca="1" si="47"/>
        <v>27</v>
      </c>
      <c r="AJ142" s="31">
        <f t="shared" ca="1" si="48"/>
        <v>70</v>
      </c>
      <c r="AK142" s="31">
        <f t="shared" ca="1" si="49"/>
        <v>38</v>
      </c>
      <c r="AL142" s="31">
        <f t="shared" ca="1" si="50"/>
        <v>9</v>
      </c>
      <c r="AM142" s="31">
        <f t="shared" ca="1" si="51"/>
        <v>104</v>
      </c>
    </row>
    <row r="143" spans="1:39">
      <c r="A143" s="27"/>
      <c r="B143" s="28">
        <v>42216</v>
      </c>
      <c r="C143" s="29">
        <v>4.7395833333333335E-3</v>
      </c>
      <c r="D143" s="29">
        <v>4.5323822144529569E-3</v>
      </c>
      <c r="E143" s="29">
        <v>3.8498494651206805E-3</v>
      </c>
      <c r="F143" s="29">
        <v>5.2196053469129033E-3</v>
      </c>
      <c r="G143" s="29">
        <v>1.0060831204387499E-2</v>
      </c>
      <c r="H143" s="29">
        <v>9.1000000000000004E-3</v>
      </c>
      <c r="J143" s="24">
        <v>135</v>
      </c>
      <c r="K143" s="25">
        <f t="shared" si="52"/>
        <v>1.6881552809671765E-2</v>
      </c>
      <c r="L143" s="25">
        <f t="shared" si="53"/>
        <v>32.787496459153935</v>
      </c>
      <c r="N143" s="26">
        <v>135</v>
      </c>
      <c r="O143" s="30">
        <f t="shared" ca="1" si="55"/>
        <v>10.628889800015124</v>
      </c>
      <c r="P143" s="30">
        <f t="shared" ca="1" si="55"/>
        <v>17.311941050708889</v>
      </c>
      <c r="Q143" s="30">
        <f t="shared" ca="1" si="55"/>
        <v>13.636197755541374</v>
      </c>
      <c r="R143" s="30">
        <f t="shared" ca="1" si="55"/>
        <v>16.798053008562892</v>
      </c>
      <c r="S143" s="30">
        <f t="shared" ca="1" si="55"/>
        <v>27.438993103163643</v>
      </c>
      <c r="T143" s="30">
        <f t="shared" ca="1" si="55"/>
        <v>13.399787805143843</v>
      </c>
      <c r="U143" s="30">
        <f t="shared" ca="1" si="55"/>
        <v>28.687163413184308</v>
      </c>
      <c r="V143" s="30">
        <f t="shared" ca="1" si="55"/>
        <v>13.95399605329742</v>
      </c>
      <c r="W143" s="30">
        <f t="shared" ca="1" si="55"/>
        <v>3.2360835950346933</v>
      </c>
      <c r="X143" s="30">
        <f t="shared" ca="1" si="55"/>
        <v>19.58546872812969</v>
      </c>
      <c r="Y143" s="30">
        <f t="shared" ca="1" si="55"/>
        <v>26.449531533893413</v>
      </c>
      <c r="Z143" s="30">
        <f t="shared" ca="1" si="55"/>
        <v>29.170791758210612</v>
      </c>
      <c r="AA143" s="26">
        <v>135</v>
      </c>
      <c r="AB143" s="31">
        <f t="shared" ca="1" si="54"/>
        <v>13</v>
      </c>
      <c r="AC143" s="31">
        <f t="shared" ca="1" si="41"/>
        <v>25</v>
      </c>
      <c r="AD143" s="31">
        <f t="shared" ca="1" si="42"/>
        <v>18</v>
      </c>
      <c r="AE143" s="31">
        <f t="shared" ca="1" si="43"/>
        <v>24</v>
      </c>
      <c r="AF143" s="31">
        <f t="shared" ca="1" si="44"/>
        <v>57</v>
      </c>
      <c r="AG143" s="31">
        <f t="shared" ca="1" si="45"/>
        <v>17</v>
      </c>
      <c r="AH143" s="31">
        <f t="shared" ca="1" si="46"/>
        <v>65</v>
      </c>
      <c r="AI143" s="31">
        <f t="shared" ca="1" si="47"/>
        <v>18</v>
      </c>
      <c r="AJ143" s="31">
        <f t="shared" ca="1" si="48"/>
        <v>4</v>
      </c>
      <c r="AK143" s="31">
        <f t="shared" ca="1" si="49"/>
        <v>30</v>
      </c>
      <c r="AL143" s="31">
        <f t="shared" ca="1" si="50"/>
        <v>52</v>
      </c>
      <c r="AM143" s="31">
        <f t="shared" ca="1" si="51"/>
        <v>69</v>
      </c>
    </row>
    <row r="144" spans="1:39">
      <c r="A144" s="27"/>
      <c r="B144" s="28">
        <v>42185</v>
      </c>
      <c r="C144" s="29">
        <v>5.0555555555555553E-3</v>
      </c>
      <c r="D144" s="29">
        <v>4.2188119372557065E-3</v>
      </c>
      <c r="E144" s="29">
        <v>3.6065805630380865E-3</v>
      </c>
      <c r="F144" s="29">
        <v>3.4363383196434061E-3</v>
      </c>
      <c r="G144" s="29">
        <v>5.1208146027313051E-2</v>
      </c>
      <c r="H144" s="29">
        <v>4.0099999999999997E-2</v>
      </c>
      <c r="J144" s="24">
        <v>136</v>
      </c>
      <c r="K144" s="25">
        <f t="shared" si="52"/>
        <v>1.6375106225381613E-2</v>
      </c>
      <c r="L144" s="25">
        <f t="shared" si="53"/>
        <v>32.803871565379318</v>
      </c>
      <c r="N144" s="26">
        <v>136</v>
      </c>
      <c r="O144" s="30">
        <f t="shared" ca="1" si="55"/>
        <v>28.877270420081825</v>
      </c>
      <c r="P144" s="30">
        <f t="shared" ca="1" si="55"/>
        <v>14.584900100248511</v>
      </c>
      <c r="Q144" s="30">
        <f t="shared" ca="1" si="55"/>
        <v>17.763931351046406</v>
      </c>
      <c r="R144" s="30">
        <f t="shared" ca="1" si="55"/>
        <v>32.346748699542772</v>
      </c>
      <c r="S144" s="30">
        <f t="shared" ca="1" si="55"/>
        <v>30.00881716667093</v>
      </c>
      <c r="T144" s="30">
        <f t="shared" ca="1" si="55"/>
        <v>16.947701133938221</v>
      </c>
      <c r="U144" s="30">
        <f t="shared" ca="1" si="55"/>
        <v>7.0875977530718703</v>
      </c>
      <c r="V144" s="30">
        <f t="shared" ca="1" si="55"/>
        <v>26.612936489361179</v>
      </c>
      <c r="W144" s="30">
        <f t="shared" ca="1" si="55"/>
        <v>13.235493491014873</v>
      </c>
      <c r="X144" s="30">
        <f t="shared" ca="1" si="55"/>
        <v>5.3542795109990733</v>
      </c>
      <c r="Y144" s="30">
        <f t="shared" ca="1" si="55"/>
        <v>9.2601272178251577</v>
      </c>
      <c r="Z144" s="30">
        <f t="shared" ca="1" si="55"/>
        <v>14.521887011309563</v>
      </c>
      <c r="AA144" s="26">
        <v>136</v>
      </c>
      <c r="AB144" s="31">
        <f t="shared" ca="1" si="54"/>
        <v>67</v>
      </c>
      <c r="AC144" s="31">
        <f t="shared" ca="1" si="41"/>
        <v>19</v>
      </c>
      <c r="AD144" s="31">
        <f t="shared" ca="1" si="42"/>
        <v>25</v>
      </c>
      <c r="AE144" s="31">
        <f t="shared" ca="1" si="43"/>
        <v>116</v>
      </c>
      <c r="AF144" s="31">
        <f t="shared" ca="1" si="44"/>
        <v>76</v>
      </c>
      <c r="AG144" s="31">
        <f t="shared" ca="1" si="45"/>
        <v>24</v>
      </c>
      <c r="AH144" s="31">
        <f t="shared" ca="1" si="46"/>
        <v>8</v>
      </c>
      <c r="AI144" s="31">
        <f t="shared" ca="1" si="47"/>
        <v>53</v>
      </c>
      <c r="AJ144" s="31">
        <f t="shared" ca="1" si="48"/>
        <v>17</v>
      </c>
      <c r="AK144" s="31">
        <f t="shared" ca="1" si="49"/>
        <v>6</v>
      </c>
      <c r="AL144" s="31">
        <f t="shared" ca="1" si="50"/>
        <v>11</v>
      </c>
      <c r="AM144" s="31">
        <f t="shared" ca="1" si="51"/>
        <v>19</v>
      </c>
    </row>
    <row r="145" spans="1:39">
      <c r="A145" s="27"/>
      <c r="B145" s="28">
        <v>42155</v>
      </c>
      <c r="C145" s="29">
        <v>4.3537355555555565E-3</v>
      </c>
      <c r="D145" s="29">
        <v>9.1396668626853028E-4</v>
      </c>
      <c r="E145" s="29">
        <v>-2.4689932920337609E-3</v>
      </c>
      <c r="F145" s="29">
        <v>-7.5312739341337753E-4</v>
      </c>
      <c r="G145" s="29">
        <v>7.2125295178828486E-2</v>
      </c>
      <c r="H145" s="29">
        <v>1.9E-2</v>
      </c>
      <c r="J145" s="24">
        <v>137</v>
      </c>
      <c r="K145" s="25">
        <f t="shared" si="52"/>
        <v>1.5883853038620166E-2</v>
      </c>
      <c r="L145" s="25">
        <f t="shared" si="53"/>
        <v>32.819755418417941</v>
      </c>
      <c r="N145" s="26">
        <v>137</v>
      </c>
      <c r="O145" s="30">
        <f t="shared" ca="1" si="55"/>
        <v>1.7521969512100568</v>
      </c>
      <c r="P145" s="30">
        <f t="shared" ca="1" si="55"/>
        <v>31.920609053017102</v>
      </c>
      <c r="Q145" s="30">
        <f t="shared" ca="1" si="55"/>
        <v>20.810237201072351</v>
      </c>
      <c r="R145" s="30">
        <f t="shared" ca="1" si="55"/>
        <v>12.180931620965582</v>
      </c>
      <c r="S145" s="30">
        <f t="shared" ca="1" si="55"/>
        <v>33.215522322964667</v>
      </c>
      <c r="T145" s="30">
        <f t="shared" ca="1" si="55"/>
        <v>22.33129736169942</v>
      </c>
      <c r="U145" s="30">
        <f t="shared" ca="1" si="55"/>
        <v>28.18614675168536</v>
      </c>
      <c r="V145" s="30">
        <f t="shared" ca="1" si="55"/>
        <v>4.8655687791522171</v>
      </c>
      <c r="W145" s="30">
        <f t="shared" ca="1" si="55"/>
        <v>20.509065617551538</v>
      </c>
      <c r="X145" s="30">
        <f t="shared" ca="1" si="55"/>
        <v>30.038563210279062</v>
      </c>
      <c r="Y145" s="30">
        <f t="shared" ca="1" si="55"/>
        <v>19.401838343715959</v>
      </c>
      <c r="Z145" s="30">
        <f t="shared" ca="1" si="55"/>
        <v>31.951527896442439</v>
      </c>
      <c r="AA145" s="26">
        <v>137</v>
      </c>
      <c r="AB145" s="31">
        <f t="shared" ca="1" si="54"/>
        <v>2</v>
      </c>
      <c r="AC145" s="31">
        <f t="shared" ca="1" si="41"/>
        <v>104</v>
      </c>
      <c r="AD145" s="31">
        <f t="shared" ca="1" si="42"/>
        <v>33</v>
      </c>
      <c r="AE145" s="31">
        <f t="shared" ca="1" si="43"/>
        <v>15</v>
      </c>
      <c r="AF145" s="31">
        <f t="shared" ca="1" si="44"/>
        <v>186</v>
      </c>
      <c r="AG145" s="31">
        <f t="shared" ca="1" si="45"/>
        <v>37</v>
      </c>
      <c r="AH145" s="31">
        <f t="shared" ca="1" si="46"/>
        <v>62</v>
      </c>
      <c r="AI145" s="31">
        <f t="shared" ca="1" si="47"/>
        <v>6</v>
      </c>
      <c r="AJ145" s="31">
        <f t="shared" ca="1" si="48"/>
        <v>32</v>
      </c>
      <c r="AK145" s="31">
        <f t="shared" ca="1" si="49"/>
        <v>76</v>
      </c>
      <c r="AL145" s="31">
        <f t="shared" ca="1" si="50"/>
        <v>29</v>
      </c>
      <c r="AM145" s="31">
        <f t="shared" ca="1" si="51"/>
        <v>105</v>
      </c>
    </row>
    <row r="146" spans="1:39">
      <c r="A146" s="27"/>
      <c r="B146" s="28">
        <v>42124</v>
      </c>
      <c r="C146" s="29">
        <v>4.7656249999999999E-3</v>
      </c>
      <c r="D146" s="29">
        <v>9.7799336080586219E-3</v>
      </c>
      <c r="E146" s="29">
        <v>1.5519273726644522E-2</v>
      </c>
      <c r="F146" s="29">
        <v>1.2838248412995856E-2</v>
      </c>
      <c r="G146" s="29">
        <v>1.1060800526015546E-2</v>
      </c>
      <c r="H146" s="29">
        <v>-9.5999999999999992E-3</v>
      </c>
      <c r="J146" s="24">
        <v>138</v>
      </c>
      <c r="K146" s="25">
        <f t="shared" si="52"/>
        <v>1.5407337447461561E-2</v>
      </c>
      <c r="L146" s="25">
        <f t="shared" si="53"/>
        <v>32.835162755865404</v>
      </c>
      <c r="N146" s="26">
        <v>138</v>
      </c>
      <c r="O146" s="30">
        <f t="shared" ca="1" si="55"/>
        <v>20.466871993902465</v>
      </c>
      <c r="P146" s="30">
        <f t="shared" ca="1" si="55"/>
        <v>21.32969474774886</v>
      </c>
      <c r="Q146" s="30">
        <f t="shared" ca="1" si="55"/>
        <v>21.584443532416543</v>
      </c>
      <c r="R146" s="30">
        <f t="shared" ca="1" si="55"/>
        <v>14.855983173621885</v>
      </c>
      <c r="S146" s="30">
        <f t="shared" ca="1" si="55"/>
        <v>26.502182148909046</v>
      </c>
      <c r="T146" s="30">
        <f t="shared" ca="1" si="55"/>
        <v>13.815829529376787</v>
      </c>
      <c r="U146" s="30">
        <f t="shared" ca="1" si="55"/>
        <v>12.569316491726042</v>
      </c>
      <c r="V146" s="30">
        <f t="shared" ca="1" si="55"/>
        <v>31.518402703994994</v>
      </c>
      <c r="W146" s="30">
        <f t="shared" ca="1" si="55"/>
        <v>11.433312416926213</v>
      </c>
      <c r="X146" s="30">
        <f t="shared" ca="1" si="55"/>
        <v>29.793753496209003</v>
      </c>
      <c r="Y146" s="30">
        <f t="shared" ca="1" si="55"/>
        <v>19.704847276225873</v>
      </c>
      <c r="Z146" s="30">
        <f t="shared" ca="1" si="55"/>
        <v>29.050087717077322</v>
      </c>
      <c r="AA146" s="26">
        <v>138</v>
      </c>
      <c r="AB146" s="31">
        <f t="shared" ca="1" si="54"/>
        <v>32</v>
      </c>
      <c r="AC146" s="31">
        <f t="shared" ca="1" si="41"/>
        <v>34</v>
      </c>
      <c r="AD146" s="31">
        <f t="shared" ca="1" si="42"/>
        <v>35</v>
      </c>
      <c r="AE146" s="31">
        <f t="shared" ca="1" si="43"/>
        <v>20</v>
      </c>
      <c r="AF146" s="31">
        <f t="shared" ca="1" si="44"/>
        <v>53</v>
      </c>
      <c r="AG146" s="31">
        <f t="shared" ca="1" si="45"/>
        <v>18</v>
      </c>
      <c r="AH146" s="31">
        <f t="shared" ca="1" si="46"/>
        <v>16</v>
      </c>
      <c r="AI146" s="31">
        <f t="shared" ca="1" si="47"/>
        <v>96</v>
      </c>
      <c r="AJ146" s="31">
        <f t="shared" ca="1" si="48"/>
        <v>14</v>
      </c>
      <c r="AK146" s="31">
        <f t="shared" ca="1" si="49"/>
        <v>74</v>
      </c>
      <c r="AL146" s="31">
        <f t="shared" ca="1" si="50"/>
        <v>30</v>
      </c>
      <c r="AM146" s="31">
        <f t="shared" ca="1" si="51"/>
        <v>68</v>
      </c>
    </row>
    <row r="147" spans="1:39">
      <c r="A147" s="27"/>
      <c r="B147" s="28">
        <v>42094</v>
      </c>
      <c r="C147" s="29">
        <v>5.4713541666666669E-3</v>
      </c>
      <c r="D147" s="29">
        <v>7.0026800380393883E-3</v>
      </c>
      <c r="E147" s="29">
        <v>1.167486938245732E-2</v>
      </c>
      <c r="F147" s="29">
        <v>1.0068428750522385E-2</v>
      </c>
      <c r="G147" s="29">
        <v>1.71737312161091E-2</v>
      </c>
      <c r="H147" s="29">
        <v>1.0500000000000001E-2</v>
      </c>
      <c r="J147" s="24">
        <v>139</v>
      </c>
      <c r="K147" s="25">
        <f t="shared" si="52"/>
        <v>1.4945117324037714E-2</v>
      </c>
      <c r="L147" s="25">
        <f t="shared" si="53"/>
        <v>32.850107873189444</v>
      </c>
      <c r="N147" s="26">
        <v>139</v>
      </c>
      <c r="O147" s="30">
        <f t="shared" ca="1" si="55"/>
        <v>8.5720260759593554</v>
      </c>
      <c r="P147" s="30">
        <f t="shared" ca="1" si="55"/>
        <v>2.2596628778508601</v>
      </c>
      <c r="Q147" s="30">
        <f t="shared" ca="1" si="55"/>
        <v>5.0372335316234897</v>
      </c>
      <c r="R147" s="30">
        <f t="shared" ca="1" si="55"/>
        <v>4.4343027033209488</v>
      </c>
      <c r="S147" s="30">
        <f t="shared" ca="1" si="55"/>
        <v>27.416773417495143</v>
      </c>
      <c r="T147" s="30">
        <f t="shared" ca="1" si="55"/>
        <v>11.823604990357975</v>
      </c>
      <c r="U147" s="30">
        <f t="shared" ca="1" si="55"/>
        <v>5.6491694065390377</v>
      </c>
      <c r="V147" s="30">
        <f t="shared" ca="1" si="55"/>
        <v>2.5867223639982009</v>
      </c>
      <c r="W147" s="30">
        <f t="shared" ca="1" si="55"/>
        <v>18.55924723670319</v>
      </c>
      <c r="X147" s="30">
        <f t="shared" ca="1" si="55"/>
        <v>7.3064937325958956</v>
      </c>
      <c r="Y147" s="30">
        <f t="shared" ca="1" si="55"/>
        <v>31.787258771022124</v>
      </c>
      <c r="Z147" s="30">
        <f t="shared" ca="1" si="55"/>
        <v>25.173725289262059</v>
      </c>
      <c r="AA147" s="26">
        <v>139</v>
      </c>
      <c r="AB147" s="31">
        <f t="shared" ca="1" si="54"/>
        <v>10</v>
      </c>
      <c r="AC147" s="31">
        <f t="shared" ca="1" si="41"/>
        <v>3</v>
      </c>
      <c r="AD147" s="31">
        <f t="shared" ca="1" si="42"/>
        <v>6</v>
      </c>
      <c r="AE147" s="31">
        <f t="shared" ca="1" si="43"/>
        <v>5</v>
      </c>
      <c r="AF147" s="31">
        <f t="shared" ca="1" si="44"/>
        <v>57</v>
      </c>
      <c r="AG147" s="31">
        <f t="shared" ca="1" si="45"/>
        <v>15</v>
      </c>
      <c r="AH147" s="31">
        <f t="shared" ca="1" si="46"/>
        <v>7</v>
      </c>
      <c r="AI147" s="31">
        <f t="shared" ca="1" si="47"/>
        <v>3</v>
      </c>
      <c r="AJ147" s="31">
        <f t="shared" ca="1" si="48"/>
        <v>27</v>
      </c>
      <c r="AK147" s="31">
        <f t="shared" ca="1" si="49"/>
        <v>9</v>
      </c>
      <c r="AL147" s="31">
        <f t="shared" ca="1" si="50"/>
        <v>101</v>
      </c>
      <c r="AM147" s="31">
        <f t="shared" ca="1" si="51"/>
        <v>47</v>
      </c>
    </row>
    <row r="148" spans="1:39">
      <c r="A148" s="27"/>
      <c r="B148" s="28">
        <v>42063</v>
      </c>
      <c r="C148" s="29">
        <v>4.3932311111111108E-3</v>
      </c>
      <c r="D148" s="29">
        <v>2.2673117192577585E-3</v>
      </c>
      <c r="E148" s="29">
        <v>4.3607728957120173E-3</v>
      </c>
      <c r="F148" s="29">
        <v>4.6047884552311569E-3</v>
      </c>
      <c r="G148" s="29">
        <v>4.6292313075171565E-2</v>
      </c>
      <c r="H148" s="29">
        <v>-5.1000000000000004E-3</v>
      </c>
      <c r="J148" s="24">
        <v>140</v>
      </c>
      <c r="K148" s="25">
        <f t="shared" si="52"/>
        <v>1.4496763804316583E-2</v>
      </c>
      <c r="L148" s="25">
        <f t="shared" si="53"/>
        <v>32.864604636993761</v>
      </c>
      <c r="N148" s="26">
        <v>140</v>
      </c>
      <c r="O148" s="30">
        <f t="shared" ca="1" si="55"/>
        <v>16.327342866067504</v>
      </c>
      <c r="P148" s="30">
        <f t="shared" ca="1" si="55"/>
        <v>27.787395717389995</v>
      </c>
      <c r="Q148" s="30">
        <f t="shared" ca="1" si="55"/>
        <v>29.068412007556937</v>
      </c>
      <c r="R148" s="30">
        <f t="shared" ca="1" si="55"/>
        <v>27.986389248993216</v>
      </c>
      <c r="S148" s="30">
        <f t="shared" ca="1" si="55"/>
        <v>31.224764779855803</v>
      </c>
      <c r="T148" s="30">
        <f t="shared" ca="1" si="55"/>
        <v>26.3660016941705</v>
      </c>
      <c r="U148" s="30">
        <f t="shared" ca="1" si="55"/>
        <v>17.942940154439089</v>
      </c>
      <c r="V148" s="30">
        <f t="shared" ca="1" si="55"/>
        <v>5.4242622623757359</v>
      </c>
      <c r="W148" s="30">
        <f t="shared" ca="1" si="55"/>
        <v>20.291778429524026</v>
      </c>
      <c r="X148" s="30">
        <f t="shared" ca="1" si="55"/>
        <v>2.4259125196768563E-2</v>
      </c>
      <c r="Y148" s="30">
        <f t="shared" ca="1" si="55"/>
        <v>3.8476819457398479</v>
      </c>
      <c r="Z148" s="30">
        <f t="shared" ca="1" si="55"/>
        <v>4.1646177073442905</v>
      </c>
      <c r="AA148" s="26">
        <v>140</v>
      </c>
      <c r="AB148" s="31">
        <f t="shared" ca="1" si="54"/>
        <v>23</v>
      </c>
      <c r="AC148" s="31">
        <f t="shared" ca="1" si="41"/>
        <v>59</v>
      </c>
      <c r="AD148" s="31">
        <f t="shared" ca="1" si="42"/>
        <v>68</v>
      </c>
      <c r="AE148" s="31">
        <f t="shared" ca="1" si="43"/>
        <v>61</v>
      </c>
      <c r="AF148" s="31">
        <f t="shared" ca="1" si="44"/>
        <v>91</v>
      </c>
      <c r="AG148" s="31">
        <f t="shared" ca="1" si="45"/>
        <v>52</v>
      </c>
      <c r="AH148" s="31">
        <f t="shared" ca="1" si="46"/>
        <v>26</v>
      </c>
      <c r="AI148" s="31">
        <f t="shared" ca="1" si="47"/>
        <v>6</v>
      </c>
      <c r="AJ148" s="31">
        <f t="shared" ca="1" si="48"/>
        <v>31</v>
      </c>
      <c r="AK148" s="31">
        <f t="shared" ca="1" si="49"/>
        <v>1</v>
      </c>
      <c r="AL148" s="31">
        <f t="shared" ca="1" si="50"/>
        <v>5</v>
      </c>
      <c r="AM148" s="31">
        <f t="shared" ca="1" si="51"/>
        <v>5</v>
      </c>
    </row>
    <row r="149" spans="1:39">
      <c r="A149" s="27"/>
      <c r="B149" s="28">
        <v>42035</v>
      </c>
      <c r="C149" s="29">
        <v>4.8706597222222224E-3</v>
      </c>
      <c r="D149" s="29">
        <v>7.2000000000000952E-3</v>
      </c>
      <c r="E149" s="29">
        <v>1.6356397288281643E-2</v>
      </c>
      <c r="F149" s="29">
        <v>1.4507220336727134E-2</v>
      </c>
      <c r="G149" s="29">
        <v>-3.3397145330569811E-2</v>
      </c>
      <c r="H149" s="29">
        <v>-1.44E-2</v>
      </c>
      <c r="J149" s="24">
        <v>141</v>
      </c>
      <c r="K149" s="25">
        <f t="shared" si="52"/>
        <v>1.4061860890187084E-2</v>
      </c>
      <c r="L149" s="25">
        <f t="shared" si="53"/>
        <v>32.878666497883948</v>
      </c>
      <c r="N149" s="26">
        <v>141</v>
      </c>
      <c r="O149" s="30">
        <f t="shared" ref="O149:Z158" ca="1" si="56">RAND()*sumweights</f>
        <v>28.834848191106325</v>
      </c>
      <c r="P149" s="30">
        <f t="shared" ca="1" si="56"/>
        <v>3.2852245562932869</v>
      </c>
      <c r="Q149" s="30">
        <f t="shared" ca="1" si="56"/>
        <v>33.252594719013132</v>
      </c>
      <c r="R149" s="30">
        <f t="shared" ca="1" si="56"/>
        <v>20.029743908305619</v>
      </c>
      <c r="S149" s="30">
        <f t="shared" ca="1" si="56"/>
        <v>3.2965946129318855</v>
      </c>
      <c r="T149" s="30">
        <f t="shared" ca="1" si="56"/>
        <v>0.23010666290229928</v>
      </c>
      <c r="U149" s="30">
        <f t="shared" ca="1" si="56"/>
        <v>30.836380495536684</v>
      </c>
      <c r="V149" s="30">
        <f t="shared" ca="1" si="56"/>
        <v>16.371192014308821</v>
      </c>
      <c r="W149" s="30">
        <f t="shared" ca="1" si="56"/>
        <v>27.621787790423614</v>
      </c>
      <c r="X149" s="30">
        <f t="shared" ca="1" si="56"/>
        <v>5.7332765412708824</v>
      </c>
      <c r="Y149" s="30">
        <f t="shared" ca="1" si="56"/>
        <v>23.313371387558348</v>
      </c>
      <c r="Z149" s="30">
        <f t="shared" ca="1" si="56"/>
        <v>17.110202007707993</v>
      </c>
      <c r="AA149" s="26">
        <v>141</v>
      </c>
      <c r="AB149" s="31">
        <f t="shared" ca="1" si="54"/>
        <v>66</v>
      </c>
      <c r="AC149" s="31">
        <f t="shared" ca="1" si="41"/>
        <v>4</v>
      </c>
      <c r="AD149" s="31">
        <f t="shared" ca="1" si="42"/>
        <v>198</v>
      </c>
      <c r="AE149" s="31">
        <f t="shared" ca="1" si="43"/>
        <v>31</v>
      </c>
      <c r="AF149" s="31">
        <f t="shared" ca="1" si="44"/>
        <v>4</v>
      </c>
      <c r="AG149" s="31">
        <f t="shared" ca="1" si="45"/>
        <v>1</v>
      </c>
      <c r="AH149" s="31">
        <f t="shared" ca="1" si="46"/>
        <v>86</v>
      </c>
      <c r="AI149" s="31">
        <f t="shared" ca="1" si="47"/>
        <v>23</v>
      </c>
      <c r="AJ149" s="31">
        <f t="shared" ca="1" si="48"/>
        <v>58</v>
      </c>
      <c r="AK149" s="31">
        <f t="shared" ca="1" si="49"/>
        <v>7</v>
      </c>
      <c r="AL149" s="31">
        <f t="shared" ca="1" si="50"/>
        <v>40</v>
      </c>
      <c r="AM149" s="31">
        <f t="shared" ca="1" si="51"/>
        <v>24</v>
      </c>
    </row>
    <row r="150" spans="1:39">
      <c r="A150" s="27"/>
      <c r="B150" s="28">
        <v>42004</v>
      </c>
      <c r="C150" s="29">
        <v>5.0277777777777777E-3</v>
      </c>
      <c r="D150" s="29">
        <v>8.1384265708630554E-3</v>
      </c>
      <c r="E150" s="29">
        <v>1.6322624743677183E-2</v>
      </c>
      <c r="F150" s="29">
        <v>1.4748186864389723E-2</v>
      </c>
      <c r="G150" s="29">
        <v>5.476659702073583E-2</v>
      </c>
      <c r="H150" s="29">
        <v>2.7799999999999998E-2</v>
      </c>
      <c r="J150" s="24">
        <v>142</v>
      </c>
      <c r="K150" s="25">
        <f t="shared" si="52"/>
        <v>1.3640005063481472E-2</v>
      </c>
      <c r="L150" s="25">
        <f t="shared" si="53"/>
        <v>32.892306502947427</v>
      </c>
      <c r="N150" s="26">
        <v>142</v>
      </c>
      <c r="O150" s="30">
        <f t="shared" ca="1" si="56"/>
        <v>18.815790147243007</v>
      </c>
      <c r="P150" s="30">
        <f t="shared" ca="1" si="56"/>
        <v>20.344030323211253</v>
      </c>
      <c r="Q150" s="30">
        <f t="shared" ca="1" si="56"/>
        <v>20.935803059196392</v>
      </c>
      <c r="R150" s="30">
        <f t="shared" ca="1" si="56"/>
        <v>32.914133807214952</v>
      </c>
      <c r="S150" s="30">
        <f t="shared" ca="1" si="56"/>
        <v>10.625183937507259</v>
      </c>
      <c r="T150" s="30">
        <f t="shared" ca="1" si="56"/>
        <v>2.710747031667605</v>
      </c>
      <c r="U150" s="30">
        <f t="shared" ca="1" si="56"/>
        <v>7.1055103764506464</v>
      </c>
      <c r="V150" s="30">
        <f t="shared" ca="1" si="56"/>
        <v>1.0743791673889014</v>
      </c>
      <c r="W150" s="30">
        <f t="shared" ca="1" si="56"/>
        <v>10.596694420835435</v>
      </c>
      <c r="X150" s="30">
        <f t="shared" ca="1" si="56"/>
        <v>6.9961158896848588</v>
      </c>
      <c r="Y150" s="30">
        <f t="shared" ca="1" si="56"/>
        <v>1.4285637761789278</v>
      </c>
      <c r="Z150" s="30">
        <f t="shared" ca="1" si="56"/>
        <v>14.720266843500289</v>
      </c>
      <c r="AA150" s="26">
        <v>142</v>
      </c>
      <c r="AB150" s="31">
        <f t="shared" ca="1" si="54"/>
        <v>28</v>
      </c>
      <c r="AC150" s="31">
        <f t="shared" ca="1" si="41"/>
        <v>31</v>
      </c>
      <c r="AD150" s="31">
        <f t="shared" ca="1" si="42"/>
        <v>33</v>
      </c>
      <c r="AE150" s="31">
        <f t="shared" ca="1" si="43"/>
        <v>144</v>
      </c>
      <c r="AF150" s="31">
        <f t="shared" ca="1" si="44"/>
        <v>13</v>
      </c>
      <c r="AG150" s="31">
        <f t="shared" ca="1" si="45"/>
        <v>3</v>
      </c>
      <c r="AH150" s="31">
        <f t="shared" ca="1" si="46"/>
        <v>8</v>
      </c>
      <c r="AI150" s="31">
        <f t="shared" ca="1" si="47"/>
        <v>2</v>
      </c>
      <c r="AJ150" s="31">
        <f t="shared" ca="1" si="48"/>
        <v>13</v>
      </c>
      <c r="AK150" s="31">
        <f t="shared" ca="1" si="49"/>
        <v>8</v>
      </c>
      <c r="AL150" s="31">
        <f t="shared" ca="1" si="50"/>
        <v>2</v>
      </c>
      <c r="AM150" s="31">
        <f t="shared" ca="1" si="51"/>
        <v>20</v>
      </c>
    </row>
    <row r="151" spans="1:39">
      <c r="A151" s="27"/>
      <c r="B151" s="28">
        <v>41973</v>
      </c>
      <c r="C151" s="29">
        <v>4.5312499999999997E-3</v>
      </c>
      <c r="D151" s="29">
        <v>6.3094259889640014E-4</v>
      </c>
      <c r="E151" s="29">
        <v>-1.0650887573964374E-2</v>
      </c>
      <c r="F151" s="29">
        <v>-8.5164504077451797E-3</v>
      </c>
      <c r="G151" s="29">
        <v>-5.6021671155203512E-2</v>
      </c>
      <c r="H151" s="29">
        <v>-3.2000000000000002E-3</v>
      </c>
      <c r="J151" s="24">
        <v>143</v>
      </c>
      <c r="K151" s="25">
        <f t="shared" si="52"/>
        <v>1.3230804911577028E-2</v>
      </c>
      <c r="L151" s="25">
        <f t="shared" si="53"/>
        <v>32.905537307859007</v>
      </c>
      <c r="N151" s="26">
        <v>143</v>
      </c>
      <c r="O151" s="30">
        <f t="shared" ca="1" si="56"/>
        <v>31.749130219652912</v>
      </c>
      <c r="P151" s="30">
        <f t="shared" ca="1" si="56"/>
        <v>7.3596301849089896</v>
      </c>
      <c r="Q151" s="30">
        <f t="shared" ca="1" si="56"/>
        <v>17.298532220241952</v>
      </c>
      <c r="R151" s="30">
        <f t="shared" ca="1" si="56"/>
        <v>9.5998359553989374</v>
      </c>
      <c r="S151" s="30">
        <f t="shared" ca="1" si="56"/>
        <v>17.682563617106577</v>
      </c>
      <c r="T151" s="30">
        <f t="shared" ca="1" si="56"/>
        <v>17.610162070636626</v>
      </c>
      <c r="U151" s="30">
        <f t="shared" ca="1" si="56"/>
        <v>13.815672351286899</v>
      </c>
      <c r="V151" s="30">
        <f t="shared" ca="1" si="56"/>
        <v>6.9384964821937372</v>
      </c>
      <c r="W151" s="30">
        <f t="shared" ca="1" si="56"/>
        <v>1.0696819420050465</v>
      </c>
      <c r="X151" s="30">
        <f t="shared" ca="1" si="56"/>
        <v>12.401175946610106</v>
      </c>
      <c r="Y151" s="30">
        <f t="shared" ca="1" si="56"/>
        <v>0.65789502732991456</v>
      </c>
      <c r="Z151" s="30">
        <f t="shared" ca="1" si="56"/>
        <v>11.530994187961854</v>
      </c>
      <c r="AA151" s="26">
        <v>143</v>
      </c>
      <c r="AB151" s="31">
        <f t="shared" ca="1" si="54"/>
        <v>101</v>
      </c>
      <c r="AC151" s="31">
        <f t="shared" ca="1" si="41"/>
        <v>9</v>
      </c>
      <c r="AD151" s="31">
        <f t="shared" ca="1" si="42"/>
        <v>25</v>
      </c>
      <c r="AE151" s="31">
        <f t="shared" ca="1" si="43"/>
        <v>12</v>
      </c>
      <c r="AF151" s="31">
        <f t="shared" ca="1" si="44"/>
        <v>25</v>
      </c>
      <c r="AG151" s="31">
        <f t="shared" ca="1" si="45"/>
        <v>25</v>
      </c>
      <c r="AH151" s="31">
        <f t="shared" ca="1" si="46"/>
        <v>18</v>
      </c>
      <c r="AI151" s="31">
        <f t="shared" ca="1" si="47"/>
        <v>8</v>
      </c>
      <c r="AJ151" s="31">
        <f t="shared" ca="1" si="48"/>
        <v>2</v>
      </c>
      <c r="AK151" s="31">
        <f t="shared" ca="1" si="49"/>
        <v>16</v>
      </c>
      <c r="AL151" s="31">
        <f t="shared" ca="1" si="50"/>
        <v>1</v>
      </c>
      <c r="AM151" s="31">
        <f t="shared" ca="1" si="51"/>
        <v>14</v>
      </c>
    </row>
    <row r="152" spans="1:39">
      <c r="A152" s="27"/>
      <c r="B152" s="28">
        <v>41943</v>
      </c>
      <c r="C152" s="29">
        <v>4.8975694444444448E-3</v>
      </c>
      <c r="D152" s="29">
        <v>1.0969775635082613E-2</v>
      </c>
      <c r="E152" s="29">
        <v>2.8352271937022833E-2</v>
      </c>
      <c r="F152" s="29">
        <v>2.6953065911247354E-2</v>
      </c>
      <c r="G152" s="29">
        <v>7.9567609353423219E-2</v>
      </c>
      <c r="H152" s="29">
        <v>4.6399999999999997E-2</v>
      </c>
      <c r="J152" s="24">
        <v>144</v>
      </c>
      <c r="K152" s="25">
        <f t="shared" si="52"/>
        <v>1.2833880764229717E-2</v>
      </c>
      <c r="L152" s="25">
        <f t="shared" si="53"/>
        <v>32.918371188623233</v>
      </c>
      <c r="N152" s="26">
        <v>144</v>
      </c>
      <c r="O152" s="30">
        <f t="shared" ca="1" si="56"/>
        <v>11.857966481978037</v>
      </c>
      <c r="P152" s="30">
        <f t="shared" ca="1" si="56"/>
        <v>5.3188692916283493</v>
      </c>
      <c r="Q152" s="30">
        <f t="shared" ca="1" si="56"/>
        <v>11.368043314452224</v>
      </c>
      <c r="R152" s="30">
        <f t="shared" ca="1" si="56"/>
        <v>8.4006520664157414</v>
      </c>
      <c r="S152" s="30">
        <f t="shared" ca="1" si="56"/>
        <v>28.191860278860055</v>
      </c>
      <c r="T152" s="30">
        <f t="shared" ca="1" si="56"/>
        <v>13.350153960174495</v>
      </c>
      <c r="U152" s="30">
        <f t="shared" ca="1" si="56"/>
        <v>0.50786081512227599</v>
      </c>
      <c r="V152" s="30">
        <f t="shared" ca="1" si="56"/>
        <v>15.031821319081049</v>
      </c>
      <c r="W152" s="30">
        <f t="shared" ca="1" si="56"/>
        <v>4.9397405407033155</v>
      </c>
      <c r="X152" s="30">
        <f t="shared" ca="1" si="56"/>
        <v>32.52001836446167</v>
      </c>
      <c r="Y152" s="30">
        <f t="shared" ca="1" si="56"/>
        <v>23.823488000349915</v>
      </c>
      <c r="Z152" s="30">
        <f t="shared" ca="1" si="56"/>
        <v>24.2364028537372</v>
      </c>
      <c r="AA152" s="26">
        <v>144</v>
      </c>
      <c r="AB152" s="31">
        <f t="shared" ca="1" si="54"/>
        <v>15</v>
      </c>
      <c r="AC152" s="31">
        <f t="shared" ca="1" si="41"/>
        <v>6</v>
      </c>
      <c r="AD152" s="31">
        <f t="shared" ca="1" si="42"/>
        <v>14</v>
      </c>
      <c r="AE152" s="31">
        <f t="shared" ca="1" si="43"/>
        <v>10</v>
      </c>
      <c r="AF152" s="31">
        <f t="shared" ca="1" si="44"/>
        <v>62</v>
      </c>
      <c r="AG152" s="31">
        <f t="shared" ca="1" si="45"/>
        <v>17</v>
      </c>
      <c r="AH152" s="31">
        <f t="shared" ca="1" si="46"/>
        <v>1</v>
      </c>
      <c r="AI152" s="31">
        <f t="shared" ca="1" si="47"/>
        <v>20</v>
      </c>
      <c r="AJ152" s="31">
        <f t="shared" ca="1" si="48"/>
        <v>6</v>
      </c>
      <c r="AK152" s="31">
        <f t="shared" ca="1" si="49"/>
        <v>122</v>
      </c>
      <c r="AL152" s="31">
        <f t="shared" ca="1" si="50"/>
        <v>42</v>
      </c>
      <c r="AM152" s="31">
        <f t="shared" ca="1" si="51"/>
        <v>43</v>
      </c>
    </row>
    <row r="153" spans="1:39">
      <c r="A153" s="27"/>
      <c r="B153" s="28">
        <v>41912</v>
      </c>
      <c r="C153" s="29">
        <v>4.8975694444444448E-3</v>
      </c>
      <c r="D153" s="29">
        <v>7.1638802982083583E-3</v>
      </c>
      <c r="E153" s="29">
        <v>1.1500882789474032E-2</v>
      </c>
      <c r="F153" s="29">
        <v>1.186931233128341E-2</v>
      </c>
      <c r="G153" s="29">
        <v>4.4801769050336171E-2</v>
      </c>
      <c r="H153" s="29">
        <v>2.5000000000000001E-2</v>
      </c>
      <c r="J153" s="24">
        <v>145</v>
      </c>
      <c r="K153" s="25">
        <f t="shared" si="52"/>
        <v>1.2448864341302825E-2</v>
      </c>
      <c r="L153" s="25">
        <f t="shared" si="53"/>
        <v>32.930820052964535</v>
      </c>
      <c r="N153" s="26">
        <v>145</v>
      </c>
      <c r="O153" s="30">
        <f t="shared" ca="1" si="56"/>
        <v>28.366363419453119</v>
      </c>
      <c r="P153" s="30">
        <f t="shared" ca="1" si="56"/>
        <v>1.1580602220625096</v>
      </c>
      <c r="Q153" s="30">
        <f t="shared" ca="1" si="56"/>
        <v>30.678185681130625</v>
      </c>
      <c r="R153" s="30">
        <f t="shared" ca="1" si="56"/>
        <v>5.2768894770654393</v>
      </c>
      <c r="S153" s="30">
        <f t="shared" ca="1" si="56"/>
        <v>22.85154519286813</v>
      </c>
      <c r="T153" s="30">
        <f t="shared" ca="1" si="56"/>
        <v>6.6996373826744602</v>
      </c>
      <c r="U153" s="30">
        <f t="shared" ca="1" si="56"/>
        <v>12.419785635910891</v>
      </c>
      <c r="V153" s="30">
        <f t="shared" ca="1" si="56"/>
        <v>26.44804743809798</v>
      </c>
      <c r="W153" s="30">
        <f t="shared" ca="1" si="56"/>
        <v>12.053368224860375</v>
      </c>
      <c r="X153" s="30">
        <f t="shared" ca="1" si="56"/>
        <v>17.415549820785824</v>
      </c>
      <c r="Y153" s="30">
        <f t="shared" ca="1" si="56"/>
        <v>29.283193236173563</v>
      </c>
      <c r="Z153" s="30">
        <f t="shared" ca="1" si="56"/>
        <v>20.98857988412362</v>
      </c>
      <c r="AA153" s="26">
        <v>145</v>
      </c>
      <c r="AB153" s="31">
        <f t="shared" ca="1" si="54"/>
        <v>63</v>
      </c>
      <c r="AC153" s="31">
        <f t="shared" ca="1" si="41"/>
        <v>2</v>
      </c>
      <c r="AD153" s="31">
        <f t="shared" ca="1" si="42"/>
        <v>84</v>
      </c>
      <c r="AE153" s="31">
        <f t="shared" ca="1" si="43"/>
        <v>6</v>
      </c>
      <c r="AF153" s="31">
        <f t="shared" ca="1" si="44"/>
        <v>38</v>
      </c>
      <c r="AG153" s="31">
        <f t="shared" ca="1" si="45"/>
        <v>8</v>
      </c>
      <c r="AH153" s="31">
        <f t="shared" ca="1" si="46"/>
        <v>16</v>
      </c>
      <c r="AI153" s="31">
        <f t="shared" ca="1" si="47"/>
        <v>52</v>
      </c>
      <c r="AJ153" s="31">
        <f t="shared" ca="1" si="48"/>
        <v>15</v>
      </c>
      <c r="AK153" s="31">
        <f t="shared" ca="1" si="49"/>
        <v>25</v>
      </c>
      <c r="AL153" s="31">
        <f t="shared" ca="1" si="50"/>
        <v>70</v>
      </c>
      <c r="AM153" s="31">
        <f t="shared" ca="1" si="51"/>
        <v>33</v>
      </c>
    </row>
    <row r="154" spans="1:39">
      <c r="A154" s="27"/>
      <c r="B154" s="28">
        <v>41882</v>
      </c>
      <c r="C154" s="29">
        <v>4.7395833333333335E-3</v>
      </c>
      <c r="D154" s="29">
        <v>6.75350460261126E-3</v>
      </c>
      <c r="E154" s="29">
        <v>8.684608234768465E-3</v>
      </c>
      <c r="F154" s="29">
        <v>9.4531765763488096E-3</v>
      </c>
      <c r="G154" s="29">
        <v>6.0883211396422166E-2</v>
      </c>
      <c r="H154" s="29">
        <v>1.8200000000000001E-2</v>
      </c>
      <c r="J154" s="24">
        <v>146</v>
      </c>
      <c r="K154" s="25">
        <f t="shared" si="52"/>
        <v>1.207539841106374E-2</v>
      </c>
      <c r="L154" s="25">
        <f t="shared" si="53"/>
        <v>32.942895451375598</v>
      </c>
      <c r="N154" s="26">
        <v>146</v>
      </c>
      <c r="O154" s="30">
        <f t="shared" ca="1" si="56"/>
        <v>15.083970167449221</v>
      </c>
      <c r="P154" s="30">
        <f t="shared" ca="1" si="56"/>
        <v>9.0033522694098114</v>
      </c>
      <c r="Q154" s="30">
        <f t="shared" ca="1" si="56"/>
        <v>28.112475689754241</v>
      </c>
      <c r="R154" s="30">
        <f t="shared" ca="1" si="56"/>
        <v>31.423765578569288</v>
      </c>
      <c r="S154" s="30">
        <f t="shared" ca="1" si="56"/>
        <v>26.433161622837495</v>
      </c>
      <c r="T154" s="30">
        <f t="shared" ca="1" si="56"/>
        <v>19.039571365811089</v>
      </c>
      <c r="U154" s="30">
        <f t="shared" ca="1" si="56"/>
        <v>31.841934742668862</v>
      </c>
      <c r="V154" s="30">
        <f t="shared" ca="1" si="56"/>
        <v>0.22410528879954927</v>
      </c>
      <c r="W154" s="30">
        <f t="shared" ca="1" si="56"/>
        <v>12.271145499948663</v>
      </c>
      <c r="X154" s="30">
        <f t="shared" ca="1" si="56"/>
        <v>13.103816800659713</v>
      </c>
      <c r="Y154" s="30">
        <f t="shared" ca="1" si="56"/>
        <v>24.505188203136353</v>
      </c>
      <c r="Z154" s="30">
        <f t="shared" ca="1" si="56"/>
        <v>15.128701172128059</v>
      </c>
      <c r="AA154" s="26">
        <v>146</v>
      </c>
      <c r="AB154" s="31">
        <f t="shared" ca="1" si="54"/>
        <v>20</v>
      </c>
      <c r="AC154" s="31">
        <f t="shared" ca="1" si="41"/>
        <v>11</v>
      </c>
      <c r="AD154" s="31">
        <f t="shared" ca="1" si="42"/>
        <v>61</v>
      </c>
      <c r="AE154" s="31">
        <f t="shared" ca="1" si="43"/>
        <v>94</v>
      </c>
      <c r="AF154" s="31">
        <f t="shared" ca="1" si="44"/>
        <v>52</v>
      </c>
      <c r="AG154" s="31">
        <f t="shared" ca="1" si="45"/>
        <v>28</v>
      </c>
      <c r="AH154" s="31">
        <f t="shared" ca="1" si="46"/>
        <v>103</v>
      </c>
      <c r="AI154" s="31">
        <f t="shared" ca="1" si="47"/>
        <v>1</v>
      </c>
      <c r="AJ154" s="31">
        <f t="shared" ca="1" si="48"/>
        <v>16</v>
      </c>
      <c r="AK154" s="31">
        <f t="shared" ca="1" si="49"/>
        <v>17</v>
      </c>
      <c r="AL154" s="31">
        <f t="shared" ca="1" si="50"/>
        <v>44</v>
      </c>
      <c r="AM154" s="31">
        <f t="shared" ca="1" si="51"/>
        <v>20</v>
      </c>
    </row>
    <row r="155" spans="1:39">
      <c r="A155" s="27"/>
      <c r="B155" s="28">
        <v>41851</v>
      </c>
      <c r="C155" s="29">
        <v>4.7395833333333335E-3</v>
      </c>
      <c r="D155" s="29">
        <v>7.9365680975735931E-3</v>
      </c>
      <c r="E155" s="29">
        <v>1.3278980818451025E-2</v>
      </c>
      <c r="F155" s="29">
        <v>1.4969419614216717E-2</v>
      </c>
      <c r="G155" s="29">
        <v>5.9698880602238935E-2</v>
      </c>
      <c r="H155" s="29">
        <v>3.7000000000000002E-3</v>
      </c>
      <c r="J155" s="24">
        <v>147</v>
      </c>
      <c r="K155" s="25">
        <f t="shared" si="52"/>
        <v>1.1713136458731828E-2</v>
      </c>
      <c r="L155" s="25">
        <f t="shared" si="53"/>
        <v>32.954608587834329</v>
      </c>
      <c r="N155" s="26">
        <v>147</v>
      </c>
      <c r="O155" s="30">
        <f t="shared" ca="1" si="56"/>
        <v>8.9081834521176795</v>
      </c>
      <c r="P155" s="30">
        <f t="shared" ca="1" si="56"/>
        <v>29.570710828104982</v>
      </c>
      <c r="Q155" s="30">
        <f t="shared" ca="1" si="56"/>
        <v>12.102607585573029</v>
      </c>
      <c r="R155" s="30">
        <f t="shared" ca="1" si="56"/>
        <v>4.014973190745506</v>
      </c>
      <c r="S155" s="30">
        <f t="shared" ca="1" si="56"/>
        <v>9.6750938481683058</v>
      </c>
      <c r="T155" s="30">
        <f t="shared" ca="1" si="56"/>
        <v>26.548705166515525</v>
      </c>
      <c r="U155" s="30">
        <f t="shared" ca="1" si="56"/>
        <v>30.831590967198984</v>
      </c>
      <c r="V155" s="30">
        <f t="shared" ca="1" si="56"/>
        <v>26.742299860150297</v>
      </c>
      <c r="W155" s="30">
        <f t="shared" ca="1" si="56"/>
        <v>21.842206211535803</v>
      </c>
      <c r="X155" s="30">
        <f t="shared" ca="1" si="56"/>
        <v>0.54258138844966142</v>
      </c>
      <c r="Y155" s="30">
        <f t="shared" ca="1" si="56"/>
        <v>10.890239320297225</v>
      </c>
      <c r="Z155" s="30">
        <f t="shared" ca="1" si="56"/>
        <v>26.168475027960206</v>
      </c>
      <c r="AA155" s="26">
        <v>147</v>
      </c>
      <c r="AB155" s="31">
        <f t="shared" ca="1" si="54"/>
        <v>11</v>
      </c>
      <c r="AC155" s="31">
        <f t="shared" ca="1" si="41"/>
        <v>72</v>
      </c>
      <c r="AD155" s="31">
        <f t="shared" ca="1" si="42"/>
        <v>15</v>
      </c>
      <c r="AE155" s="31">
        <f t="shared" ca="1" si="43"/>
        <v>5</v>
      </c>
      <c r="AF155" s="31">
        <f t="shared" ca="1" si="44"/>
        <v>12</v>
      </c>
      <c r="AG155" s="31">
        <f t="shared" ca="1" si="45"/>
        <v>53</v>
      </c>
      <c r="AH155" s="31">
        <f t="shared" ca="1" si="46"/>
        <v>86</v>
      </c>
      <c r="AI155" s="31">
        <f t="shared" ca="1" si="47"/>
        <v>54</v>
      </c>
      <c r="AJ155" s="31">
        <f t="shared" ca="1" si="48"/>
        <v>35</v>
      </c>
      <c r="AK155" s="31">
        <f t="shared" ca="1" si="49"/>
        <v>1</v>
      </c>
      <c r="AL155" s="31">
        <f t="shared" ca="1" si="50"/>
        <v>13</v>
      </c>
      <c r="AM155" s="31">
        <f t="shared" ca="1" si="51"/>
        <v>51</v>
      </c>
    </row>
    <row r="156" spans="1:39">
      <c r="A156" s="27"/>
      <c r="B156" s="28">
        <v>41820</v>
      </c>
      <c r="C156" s="29">
        <v>4.6822916666666671E-3</v>
      </c>
      <c r="D156" s="29">
        <v>-5.0004924727442557E-4</v>
      </c>
      <c r="E156" s="29">
        <v>-9.8028746556177992E-3</v>
      </c>
      <c r="F156" s="29">
        <v>-1.1081504039250567E-2</v>
      </c>
      <c r="G156" s="29">
        <v>-4.1088324218896188E-2</v>
      </c>
      <c r="H156" s="29">
        <v>-8.199999999999999E-3</v>
      </c>
      <c r="J156" s="24">
        <v>148</v>
      </c>
      <c r="K156" s="25">
        <f t="shared" si="52"/>
        <v>1.1361742364969873E-2</v>
      </c>
      <c r="L156" s="25">
        <f t="shared" si="53"/>
        <v>32.965970330199298</v>
      </c>
      <c r="N156" s="26">
        <v>148</v>
      </c>
      <c r="O156" s="30">
        <f t="shared" ca="1" si="56"/>
        <v>17.691652724888897</v>
      </c>
      <c r="P156" s="30">
        <f t="shared" ca="1" si="56"/>
        <v>3.9210340800949779</v>
      </c>
      <c r="Q156" s="30">
        <f t="shared" ca="1" si="56"/>
        <v>23.76066851123597</v>
      </c>
      <c r="R156" s="30">
        <f t="shared" ca="1" si="56"/>
        <v>6.2585584595234129</v>
      </c>
      <c r="S156" s="30">
        <f t="shared" ca="1" si="56"/>
        <v>9.9006274645626338</v>
      </c>
      <c r="T156" s="30">
        <f t="shared" ca="1" si="56"/>
        <v>27.498331369736007</v>
      </c>
      <c r="U156" s="30">
        <f t="shared" ca="1" si="56"/>
        <v>8.3212945510382781</v>
      </c>
      <c r="V156" s="30">
        <f t="shared" ca="1" si="56"/>
        <v>24.065790257130796</v>
      </c>
      <c r="W156" s="30">
        <f t="shared" ca="1" si="56"/>
        <v>1.4951818916523745</v>
      </c>
      <c r="X156" s="30">
        <f t="shared" ca="1" si="56"/>
        <v>6.7021875768708714</v>
      </c>
      <c r="Y156" s="30">
        <f t="shared" ca="1" si="56"/>
        <v>22.516581905791568</v>
      </c>
      <c r="Z156" s="30">
        <f t="shared" ca="1" si="56"/>
        <v>11.198181707806237</v>
      </c>
      <c r="AA156" s="26">
        <v>148</v>
      </c>
      <c r="AB156" s="31">
        <f t="shared" ca="1" si="54"/>
        <v>25</v>
      </c>
      <c r="AC156" s="31">
        <f t="shared" ca="1" si="41"/>
        <v>5</v>
      </c>
      <c r="AD156" s="31">
        <f t="shared" ca="1" si="42"/>
        <v>41</v>
      </c>
      <c r="AE156" s="31">
        <f t="shared" ca="1" si="43"/>
        <v>7</v>
      </c>
      <c r="AF156" s="31">
        <f t="shared" ca="1" si="44"/>
        <v>12</v>
      </c>
      <c r="AG156" s="31">
        <f t="shared" ca="1" si="45"/>
        <v>58</v>
      </c>
      <c r="AH156" s="31">
        <f t="shared" ca="1" si="46"/>
        <v>10</v>
      </c>
      <c r="AI156" s="31">
        <f t="shared" ca="1" si="47"/>
        <v>43</v>
      </c>
      <c r="AJ156" s="31">
        <f t="shared" ca="1" si="48"/>
        <v>2</v>
      </c>
      <c r="AK156" s="31">
        <f t="shared" ca="1" si="49"/>
        <v>8</v>
      </c>
      <c r="AL156" s="31">
        <f t="shared" ca="1" si="50"/>
        <v>37</v>
      </c>
      <c r="AM156" s="31">
        <f t="shared" ca="1" si="51"/>
        <v>14</v>
      </c>
    </row>
    <row r="157" spans="1:39">
      <c r="A157" s="27"/>
      <c r="B157" s="28">
        <v>41790</v>
      </c>
      <c r="C157" s="29">
        <v>4.2291666666666667E-3</v>
      </c>
      <c r="D157" s="29">
        <v>2.1791951404708243E-3</v>
      </c>
      <c r="E157" s="29">
        <v>7.4805505685215934E-4</v>
      </c>
      <c r="F157" s="29">
        <v>2.4875270306559116E-3</v>
      </c>
      <c r="G157" s="29">
        <v>7.8377101129656346E-3</v>
      </c>
      <c r="H157" s="29">
        <v>1.6799999999999999E-2</v>
      </c>
      <c r="J157" s="24">
        <v>149</v>
      </c>
      <c r="K157" s="25">
        <f t="shared" si="52"/>
        <v>1.1020890094020776E-2</v>
      </c>
      <c r="L157" s="25">
        <f t="shared" si="53"/>
        <v>32.976991220293321</v>
      </c>
      <c r="N157" s="26">
        <v>149</v>
      </c>
      <c r="O157" s="30">
        <f t="shared" ca="1" si="56"/>
        <v>9.1297923718409031</v>
      </c>
      <c r="P157" s="30">
        <f t="shared" ca="1" si="56"/>
        <v>18.589773342524495</v>
      </c>
      <c r="Q157" s="30">
        <f t="shared" ca="1" si="56"/>
        <v>19.403944179056818</v>
      </c>
      <c r="R157" s="30">
        <f t="shared" ca="1" si="56"/>
        <v>29.395948194010643</v>
      </c>
      <c r="S157" s="30">
        <f t="shared" ca="1" si="56"/>
        <v>4.8642563399250616</v>
      </c>
      <c r="T157" s="30">
        <f t="shared" ca="1" si="56"/>
        <v>0.84263281467094353</v>
      </c>
      <c r="U157" s="30">
        <f t="shared" ca="1" si="56"/>
        <v>16.91425217541229</v>
      </c>
      <c r="V157" s="30">
        <f t="shared" ca="1" si="56"/>
        <v>5.1029901922172218</v>
      </c>
      <c r="W157" s="30">
        <f t="shared" ca="1" si="56"/>
        <v>18.919513832714902</v>
      </c>
      <c r="X157" s="30">
        <f t="shared" ca="1" si="56"/>
        <v>33.155638792498657</v>
      </c>
      <c r="Y157" s="30">
        <f t="shared" ca="1" si="56"/>
        <v>20.382060326162517</v>
      </c>
      <c r="Z157" s="30">
        <f t="shared" ca="1" si="56"/>
        <v>29.372509154593278</v>
      </c>
      <c r="AA157" s="26">
        <v>149</v>
      </c>
      <c r="AB157" s="31">
        <f t="shared" ca="1" si="54"/>
        <v>11</v>
      </c>
      <c r="AC157" s="31">
        <f t="shared" ca="1" si="41"/>
        <v>27</v>
      </c>
      <c r="AD157" s="31">
        <f t="shared" ca="1" si="42"/>
        <v>29</v>
      </c>
      <c r="AE157" s="31">
        <f t="shared" ca="1" si="43"/>
        <v>71</v>
      </c>
      <c r="AF157" s="31">
        <f t="shared" ca="1" si="44"/>
        <v>6</v>
      </c>
      <c r="AG157" s="31">
        <f t="shared" ca="1" si="45"/>
        <v>1</v>
      </c>
      <c r="AH157" s="31">
        <f t="shared" ca="1" si="46"/>
        <v>24</v>
      </c>
      <c r="AI157" s="31">
        <f t="shared" ca="1" si="47"/>
        <v>6</v>
      </c>
      <c r="AJ157" s="31">
        <f t="shared" ca="1" si="48"/>
        <v>28</v>
      </c>
      <c r="AK157" s="31">
        <f t="shared" ca="1" si="49"/>
        <v>172</v>
      </c>
      <c r="AL157" s="31">
        <f t="shared" ca="1" si="50"/>
        <v>32</v>
      </c>
      <c r="AM157" s="31">
        <f t="shared" ca="1" si="51"/>
        <v>70</v>
      </c>
    </row>
    <row r="158" spans="1:39">
      <c r="A158" s="27"/>
      <c r="B158" s="28">
        <v>41759</v>
      </c>
      <c r="C158" s="29">
        <v>4.7361111111111111E-3</v>
      </c>
      <c r="D158" s="29">
        <v>4.7605969056119246E-3</v>
      </c>
      <c r="E158" s="29">
        <v>1.248314775053716E-3</v>
      </c>
      <c r="F158" s="29">
        <v>3.0622226632830429E-3</v>
      </c>
      <c r="G158" s="29">
        <v>6.2474779160424543E-2</v>
      </c>
      <c r="H158" s="29">
        <v>3.5499999999999997E-2</v>
      </c>
      <c r="J158" s="24">
        <v>150</v>
      </c>
      <c r="K158" s="25">
        <f t="shared" si="52"/>
        <v>1.0690263391200152E-2</v>
      </c>
      <c r="L158" s="25">
        <f t="shared" si="53"/>
        <v>32.987681483684518</v>
      </c>
      <c r="N158" s="26">
        <v>150</v>
      </c>
      <c r="O158" s="30">
        <f t="shared" ca="1" si="56"/>
        <v>1.432809564304093</v>
      </c>
      <c r="P158" s="30">
        <f t="shared" ca="1" si="56"/>
        <v>31.443756351646226</v>
      </c>
      <c r="Q158" s="30">
        <f t="shared" ca="1" si="56"/>
        <v>15.924997656930655</v>
      </c>
      <c r="R158" s="30">
        <f t="shared" ca="1" si="56"/>
        <v>23.912258179912982</v>
      </c>
      <c r="S158" s="30">
        <f t="shared" ca="1" si="56"/>
        <v>10.547607320135961</v>
      </c>
      <c r="T158" s="30">
        <f t="shared" ca="1" si="56"/>
        <v>32.253405626998436</v>
      </c>
      <c r="U158" s="30">
        <f t="shared" ca="1" si="56"/>
        <v>16.749610364478595</v>
      </c>
      <c r="V158" s="30">
        <f t="shared" ca="1" si="56"/>
        <v>21.56997201065521</v>
      </c>
      <c r="W158" s="30">
        <f t="shared" ca="1" si="56"/>
        <v>16.432624207144567</v>
      </c>
      <c r="X158" s="30">
        <f t="shared" ca="1" si="56"/>
        <v>29.99194541415045</v>
      </c>
      <c r="Y158" s="30">
        <f t="shared" ca="1" si="56"/>
        <v>5.3014067151580768</v>
      </c>
      <c r="Z158" s="30">
        <f t="shared" ca="1" si="56"/>
        <v>3.8198493282543611</v>
      </c>
      <c r="AA158" s="26">
        <v>150</v>
      </c>
      <c r="AB158" s="31">
        <f t="shared" ca="1" si="54"/>
        <v>2</v>
      </c>
      <c r="AC158" s="31">
        <f t="shared" ca="1" si="41"/>
        <v>95</v>
      </c>
      <c r="AD158" s="31">
        <f t="shared" ca="1" si="42"/>
        <v>22</v>
      </c>
      <c r="AE158" s="31">
        <f t="shared" ca="1" si="43"/>
        <v>42</v>
      </c>
      <c r="AF158" s="31">
        <f t="shared" ca="1" si="44"/>
        <v>13</v>
      </c>
      <c r="AG158" s="31">
        <f t="shared" ca="1" si="45"/>
        <v>113</v>
      </c>
      <c r="AH158" s="31">
        <f t="shared" ca="1" si="46"/>
        <v>23</v>
      </c>
      <c r="AI158" s="31">
        <f t="shared" ca="1" si="47"/>
        <v>35</v>
      </c>
      <c r="AJ158" s="31">
        <f t="shared" ca="1" si="48"/>
        <v>23</v>
      </c>
      <c r="AK158" s="31">
        <f t="shared" ca="1" si="49"/>
        <v>76</v>
      </c>
      <c r="AL158" s="31">
        <f t="shared" ca="1" si="50"/>
        <v>6</v>
      </c>
      <c r="AM158" s="31">
        <f t="shared" ca="1" si="51"/>
        <v>4</v>
      </c>
    </row>
    <row r="159" spans="1:39">
      <c r="A159" s="27"/>
      <c r="B159" s="28">
        <v>41729</v>
      </c>
      <c r="C159" s="29">
        <v>4.944444444444444E-3</v>
      </c>
      <c r="D159" s="29">
        <v>1.7550151465428598E-4</v>
      </c>
      <c r="E159" s="29">
        <v>-1.0146442037479053E-2</v>
      </c>
      <c r="F159" s="29">
        <v>-9.2978833972386932E-3</v>
      </c>
      <c r="G159" s="29">
        <v>-1.9814127441665663E-2</v>
      </c>
      <c r="H159" s="29">
        <v>6.8000000000000005E-3</v>
      </c>
      <c r="J159" s="24">
        <v>151</v>
      </c>
      <c r="K159" s="25">
        <f t="shared" si="52"/>
        <v>1.0369555489464147E-2</v>
      </c>
      <c r="L159" s="25">
        <f t="shared" si="53"/>
        <v>32.99805103917398</v>
      </c>
      <c r="N159" s="26">
        <v>151</v>
      </c>
      <c r="O159" s="30">
        <f t="shared" ref="O159:Z168" ca="1" si="57">RAND()*sumweights</f>
        <v>2.3425706429265003</v>
      </c>
      <c r="P159" s="30">
        <f t="shared" ca="1" si="57"/>
        <v>6.21090718678456</v>
      </c>
      <c r="Q159" s="30">
        <f t="shared" ca="1" si="57"/>
        <v>6.6063739256776701</v>
      </c>
      <c r="R159" s="30">
        <f t="shared" ca="1" si="57"/>
        <v>18.983517576948607</v>
      </c>
      <c r="S159" s="30">
        <f t="shared" ca="1" si="57"/>
        <v>11.578906340162249</v>
      </c>
      <c r="T159" s="30">
        <f t="shared" ca="1" si="57"/>
        <v>10.541367158423281</v>
      </c>
      <c r="U159" s="30">
        <f t="shared" ca="1" si="57"/>
        <v>22.378075002723318</v>
      </c>
      <c r="V159" s="30">
        <f t="shared" ca="1" si="57"/>
        <v>13.237432666899496</v>
      </c>
      <c r="W159" s="30">
        <f t="shared" ca="1" si="57"/>
        <v>8.2559432786344917</v>
      </c>
      <c r="X159" s="30">
        <f t="shared" ca="1" si="57"/>
        <v>7.2005931481212189</v>
      </c>
      <c r="Y159" s="30">
        <f t="shared" ca="1" si="57"/>
        <v>27.254557547551695</v>
      </c>
      <c r="Z159" s="30">
        <f t="shared" ca="1" si="57"/>
        <v>21.879945634390399</v>
      </c>
      <c r="AA159" s="26">
        <v>151</v>
      </c>
      <c r="AB159" s="31">
        <f t="shared" ca="1" si="54"/>
        <v>3</v>
      </c>
      <c r="AC159" s="31">
        <f t="shared" ca="1" si="41"/>
        <v>7</v>
      </c>
      <c r="AD159" s="31">
        <f t="shared" ca="1" si="42"/>
        <v>8</v>
      </c>
      <c r="AE159" s="31">
        <f t="shared" ca="1" si="43"/>
        <v>28</v>
      </c>
      <c r="AF159" s="31">
        <f t="shared" ca="1" si="44"/>
        <v>15</v>
      </c>
      <c r="AG159" s="31">
        <f t="shared" ca="1" si="45"/>
        <v>13</v>
      </c>
      <c r="AH159" s="31">
        <f t="shared" ca="1" si="46"/>
        <v>37</v>
      </c>
      <c r="AI159" s="31">
        <f t="shared" ca="1" si="47"/>
        <v>17</v>
      </c>
      <c r="AJ159" s="31">
        <f t="shared" ca="1" si="48"/>
        <v>10</v>
      </c>
      <c r="AK159" s="31">
        <f t="shared" ca="1" si="49"/>
        <v>8</v>
      </c>
      <c r="AL159" s="31">
        <f t="shared" ca="1" si="50"/>
        <v>56</v>
      </c>
      <c r="AM159" s="31">
        <f t="shared" ca="1" si="51"/>
        <v>36</v>
      </c>
    </row>
    <row r="160" spans="1:39">
      <c r="A160" s="27"/>
      <c r="B160" s="28">
        <v>41698</v>
      </c>
      <c r="C160" s="29">
        <v>4.3298611111111107E-3</v>
      </c>
      <c r="D160" s="29">
        <v>7.0851680229921943E-3</v>
      </c>
      <c r="E160" s="29">
        <v>1.6778065748192628E-2</v>
      </c>
      <c r="F160" s="29">
        <v>1.7128571428571382E-2</v>
      </c>
      <c r="G160" s="29">
        <v>7.5586732484627994E-2</v>
      </c>
      <c r="H160" s="29">
        <v>2.3399999999999997E-2</v>
      </c>
      <c r="J160" s="24">
        <v>152</v>
      </c>
      <c r="K160" s="25">
        <f t="shared" si="52"/>
        <v>1.0058468824780223E-2</v>
      </c>
      <c r="L160" s="25">
        <f t="shared" si="53"/>
        <v>33.008109507998761</v>
      </c>
      <c r="N160" s="26">
        <v>152</v>
      </c>
      <c r="O160" s="30">
        <f t="shared" ca="1" si="57"/>
        <v>7.6071603812395754</v>
      </c>
      <c r="P160" s="30">
        <f t="shared" ca="1" si="57"/>
        <v>14.049188742380457</v>
      </c>
      <c r="Q160" s="30">
        <f t="shared" ca="1" si="57"/>
        <v>16.559902833477977</v>
      </c>
      <c r="R160" s="30">
        <f t="shared" ca="1" si="57"/>
        <v>12.437988445470932</v>
      </c>
      <c r="S160" s="30">
        <f t="shared" ca="1" si="57"/>
        <v>25.683722144317482</v>
      </c>
      <c r="T160" s="30">
        <f t="shared" ca="1" si="57"/>
        <v>7.7344664439146715</v>
      </c>
      <c r="U160" s="30">
        <f t="shared" ca="1" si="57"/>
        <v>24.091939288963605</v>
      </c>
      <c r="V160" s="30">
        <f t="shared" ca="1" si="57"/>
        <v>8.2500687334605658</v>
      </c>
      <c r="W160" s="30">
        <f t="shared" ca="1" si="57"/>
        <v>8.7900191636883331</v>
      </c>
      <c r="X160" s="30">
        <f t="shared" ca="1" si="57"/>
        <v>20.29759188323019</v>
      </c>
      <c r="Y160" s="30">
        <f t="shared" ca="1" si="57"/>
        <v>2.0998589207383209</v>
      </c>
      <c r="Z160" s="30">
        <f t="shared" ca="1" si="57"/>
        <v>2.0983081925281621</v>
      </c>
      <c r="AA160" s="26">
        <v>152</v>
      </c>
      <c r="AB160" s="31">
        <f t="shared" ca="1" si="54"/>
        <v>9</v>
      </c>
      <c r="AC160" s="31">
        <f t="shared" ca="1" si="41"/>
        <v>18</v>
      </c>
      <c r="AD160" s="31">
        <f t="shared" ca="1" si="42"/>
        <v>23</v>
      </c>
      <c r="AE160" s="31">
        <f t="shared" ca="1" si="43"/>
        <v>16</v>
      </c>
      <c r="AF160" s="31">
        <f t="shared" ca="1" si="44"/>
        <v>49</v>
      </c>
      <c r="AG160" s="31">
        <f t="shared" ca="1" si="45"/>
        <v>9</v>
      </c>
      <c r="AH160" s="31">
        <f t="shared" ca="1" si="46"/>
        <v>43</v>
      </c>
      <c r="AI160" s="31">
        <f t="shared" ca="1" si="47"/>
        <v>10</v>
      </c>
      <c r="AJ160" s="31">
        <f t="shared" ca="1" si="48"/>
        <v>11</v>
      </c>
      <c r="AK160" s="31">
        <f t="shared" ca="1" si="49"/>
        <v>31</v>
      </c>
      <c r="AL160" s="31">
        <f t="shared" ca="1" si="50"/>
        <v>3</v>
      </c>
      <c r="AM160" s="31">
        <f t="shared" ca="1" si="51"/>
        <v>3</v>
      </c>
    </row>
    <row r="161" spans="1:39">
      <c r="A161" s="27"/>
      <c r="B161" s="28">
        <v>41670</v>
      </c>
      <c r="C161" s="29">
        <v>4.6789247222222214E-3</v>
      </c>
      <c r="D161" s="29">
        <v>1.155116794278821E-2</v>
      </c>
      <c r="E161" s="29">
        <v>2.1929567131327765E-2</v>
      </c>
      <c r="F161" s="29">
        <v>2.2151482849758208E-2</v>
      </c>
      <c r="G161" s="29">
        <v>2.7580575906096527E-2</v>
      </c>
      <c r="H161" s="29">
        <v>1.5900000000000001E-2</v>
      </c>
      <c r="J161" s="24">
        <v>153</v>
      </c>
      <c r="K161" s="25">
        <f t="shared" si="52"/>
        <v>9.7567147600368161E-3</v>
      </c>
      <c r="L161" s="25">
        <f t="shared" si="53"/>
        <v>33.017866222758798</v>
      </c>
      <c r="N161" s="26">
        <v>153</v>
      </c>
      <c r="O161" s="30">
        <f t="shared" ca="1" si="57"/>
        <v>17.619370718846021</v>
      </c>
      <c r="P161" s="30">
        <f t="shared" ca="1" si="57"/>
        <v>24.994873035624803</v>
      </c>
      <c r="Q161" s="30">
        <f t="shared" ca="1" si="57"/>
        <v>8.4042526541035283</v>
      </c>
      <c r="R161" s="30">
        <f t="shared" ca="1" si="57"/>
        <v>30.587518026063456</v>
      </c>
      <c r="S161" s="30">
        <f t="shared" ca="1" si="57"/>
        <v>27.666772849254755</v>
      </c>
      <c r="T161" s="30">
        <f t="shared" ca="1" si="57"/>
        <v>25.964719845034384</v>
      </c>
      <c r="U161" s="30">
        <f t="shared" ca="1" si="57"/>
        <v>17.721857760217169</v>
      </c>
      <c r="V161" s="30">
        <f t="shared" ca="1" si="57"/>
        <v>31.244954985801087</v>
      </c>
      <c r="W161" s="30">
        <f t="shared" ca="1" si="57"/>
        <v>4.028814287375595</v>
      </c>
      <c r="X161" s="30">
        <f t="shared" ca="1" si="57"/>
        <v>16.791216850426952</v>
      </c>
      <c r="Y161" s="30">
        <f t="shared" ca="1" si="57"/>
        <v>22.813438107525077</v>
      </c>
      <c r="Z161" s="30">
        <f t="shared" ca="1" si="57"/>
        <v>29.686878163206487</v>
      </c>
      <c r="AA161" s="26">
        <v>153</v>
      </c>
      <c r="AB161" s="31">
        <f t="shared" ca="1" si="54"/>
        <v>25</v>
      </c>
      <c r="AC161" s="31">
        <f t="shared" ca="1" si="41"/>
        <v>46</v>
      </c>
      <c r="AD161" s="31">
        <f t="shared" ca="1" si="42"/>
        <v>10</v>
      </c>
      <c r="AE161" s="31">
        <f t="shared" ca="1" si="43"/>
        <v>82</v>
      </c>
      <c r="AF161" s="31">
        <f t="shared" ca="1" si="44"/>
        <v>59</v>
      </c>
      <c r="AG161" s="31">
        <f t="shared" ca="1" si="45"/>
        <v>50</v>
      </c>
      <c r="AH161" s="31">
        <f t="shared" ca="1" si="46"/>
        <v>25</v>
      </c>
      <c r="AI161" s="31">
        <f t="shared" ca="1" si="47"/>
        <v>91</v>
      </c>
      <c r="AJ161" s="31">
        <f t="shared" ca="1" si="48"/>
        <v>5</v>
      </c>
      <c r="AK161" s="31">
        <f t="shared" ca="1" si="49"/>
        <v>24</v>
      </c>
      <c r="AL161" s="31">
        <f t="shared" ca="1" si="50"/>
        <v>38</v>
      </c>
      <c r="AM161" s="31">
        <f t="shared" ca="1" si="51"/>
        <v>73</v>
      </c>
    </row>
    <row r="162" spans="1:39">
      <c r="A162" s="27"/>
      <c r="B162" s="28">
        <v>41639</v>
      </c>
      <c r="C162" s="29">
        <v>4.6822916666666671E-3</v>
      </c>
      <c r="D162" s="29">
        <v>9.27327930458266E-3</v>
      </c>
      <c r="E162" s="29">
        <v>1.6534534579327742E-2</v>
      </c>
      <c r="F162" s="29">
        <v>1.7426831080077365E-2</v>
      </c>
      <c r="G162" s="29">
        <v>5.6284838743032362E-2</v>
      </c>
      <c r="H162" s="29">
        <v>1.2500000000000001E-2</v>
      </c>
      <c r="J162" s="24">
        <v>154</v>
      </c>
      <c r="K162" s="25">
        <f t="shared" si="52"/>
        <v>9.4640133172357119E-3</v>
      </c>
      <c r="L162" s="25">
        <f t="shared" si="53"/>
        <v>33.027330236076033</v>
      </c>
      <c r="N162" s="26">
        <v>154</v>
      </c>
      <c r="O162" s="30">
        <f t="shared" ca="1" si="57"/>
        <v>24.140426222724169</v>
      </c>
      <c r="P162" s="30">
        <f t="shared" ca="1" si="57"/>
        <v>30.00669834647768</v>
      </c>
      <c r="Q162" s="30">
        <f t="shared" ca="1" si="57"/>
        <v>8.2623882700471345</v>
      </c>
      <c r="R162" s="30">
        <f t="shared" ca="1" si="57"/>
        <v>19.520758554210413</v>
      </c>
      <c r="S162" s="30">
        <f t="shared" ca="1" si="57"/>
        <v>16.917155541164924</v>
      </c>
      <c r="T162" s="30">
        <f t="shared" ca="1" si="57"/>
        <v>14.110511005623152</v>
      </c>
      <c r="U162" s="30">
        <f t="shared" ca="1" si="57"/>
        <v>6.6064023796465454</v>
      </c>
      <c r="V162" s="30">
        <f t="shared" ca="1" si="57"/>
        <v>24.820472166469262</v>
      </c>
      <c r="W162" s="30">
        <f t="shared" ca="1" si="57"/>
        <v>32.979022993522157</v>
      </c>
      <c r="X162" s="30">
        <f t="shared" ca="1" si="57"/>
        <v>4.9482327872031915</v>
      </c>
      <c r="Y162" s="30">
        <f t="shared" ca="1" si="57"/>
        <v>20.377928092647949</v>
      </c>
      <c r="Z162" s="30">
        <f t="shared" ca="1" si="57"/>
        <v>2.5526456825144956</v>
      </c>
      <c r="AA162" s="26">
        <v>154</v>
      </c>
      <c r="AB162" s="31">
        <f t="shared" ca="1" si="54"/>
        <v>43</v>
      </c>
      <c r="AC162" s="31">
        <f t="shared" ca="1" si="41"/>
        <v>76</v>
      </c>
      <c r="AD162" s="31">
        <f t="shared" ca="1" si="42"/>
        <v>10</v>
      </c>
      <c r="AE162" s="31">
        <f t="shared" ca="1" si="43"/>
        <v>29</v>
      </c>
      <c r="AF162" s="31">
        <f t="shared" ca="1" si="44"/>
        <v>24</v>
      </c>
      <c r="AG162" s="31">
        <f t="shared" ca="1" si="45"/>
        <v>19</v>
      </c>
      <c r="AH162" s="31">
        <f t="shared" ca="1" si="46"/>
        <v>8</v>
      </c>
      <c r="AI162" s="31">
        <f t="shared" ca="1" si="47"/>
        <v>45</v>
      </c>
      <c r="AJ162" s="31">
        <f t="shared" ca="1" si="48"/>
        <v>150</v>
      </c>
      <c r="AK162" s="31">
        <f t="shared" ca="1" si="49"/>
        <v>6</v>
      </c>
      <c r="AL162" s="31">
        <f t="shared" ca="1" si="50"/>
        <v>32</v>
      </c>
      <c r="AM162" s="31">
        <f t="shared" ca="1" si="51"/>
        <v>3</v>
      </c>
    </row>
    <row r="163" spans="1:39">
      <c r="A163" s="27"/>
      <c r="B163" s="28">
        <v>41608</v>
      </c>
      <c r="C163" s="29">
        <v>4.554033333333333E-3</v>
      </c>
      <c r="D163" s="29">
        <v>3.2427922645237306E-3</v>
      </c>
      <c r="E163" s="29">
        <v>-3.2856346404014358E-3</v>
      </c>
      <c r="F163" s="29">
        <v>-1.6759859395162335E-3</v>
      </c>
      <c r="G163" s="29">
        <v>2.1094636716809667E-2</v>
      </c>
      <c r="H163" s="29">
        <v>1.5300000000000001E-2</v>
      </c>
      <c r="J163" s="24">
        <v>155</v>
      </c>
      <c r="K163" s="25">
        <f t="shared" si="52"/>
        <v>9.1800929177186397E-3</v>
      </c>
      <c r="L163" s="25">
        <f t="shared" si="53"/>
        <v>33.036510328993749</v>
      </c>
      <c r="N163" s="26">
        <v>155</v>
      </c>
      <c r="O163" s="30">
        <f t="shared" ca="1" si="57"/>
        <v>28.571413862358927</v>
      </c>
      <c r="P163" s="30">
        <f t="shared" ca="1" si="57"/>
        <v>23.770414469622718</v>
      </c>
      <c r="Q163" s="30">
        <f t="shared" ca="1" si="57"/>
        <v>30.233189826292364</v>
      </c>
      <c r="R163" s="30">
        <f t="shared" ca="1" si="57"/>
        <v>30.611011800436358</v>
      </c>
      <c r="S163" s="30">
        <f t="shared" ca="1" si="57"/>
        <v>22.285684415835689</v>
      </c>
      <c r="T163" s="30">
        <f t="shared" ca="1" si="57"/>
        <v>3.3633353398902366</v>
      </c>
      <c r="U163" s="30">
        <f t="shared" ca="1" si="57"/>
        <v>29.313703855321521</v>
      </c>
      <c r="V163" s="30">
        <f t="shared" ca="1" si="57"/>
        <v>17.017114353121155</v>
      </c>
      <c r="W163" s="30">
        <f t="shared" ca="1" si="57"/>
        <v>1.7604579800891682</v>
      </c>
      <c r="X163" s="30">
        <f t="shared" ca="1" si="57"/>
        <v>16.523460136644751</v>
      </c>
      <c r="Y163" s="30">
        <f t="shared" ca="1" si="57"/>
        <v>20.161831695023288</v>
      </c>
      <c r="Z163" s="30">
        <f t="shared" ca="1" si="57"/>
        <v>7.2639032136683559</v>
      </c>
      <c r="AA163" s="26">
        <v>155</v>
      </c>
      <c r="AB163" s="31">
        <f t="shared" ca="1" si="54"/>
        <v>64</v>
      </c>
      <c r="AC163" s="31">
        <f t="shared" ca="1" si="41"/>
        <v>41</v>
      </c>
      <c r="AD163" s="31">
        <f t="shared" ca="1" si="42"/>
        <v>78</v>
      </c>
      <c r="AE163" s="31">
        <f t="shared" ca="1" si="43"/>
        <v>83</v>
      </c>
      <c r="AF163" s="31">
        <f t="shared" ca="1" si="44"/>
        <v>37</v>
      </c>
      <c r="AG163" s="31">
        <f t="shared" ca="1" si="45"/>
        <v>4</v>
      </c>
      <c r="AH163" s="31">
        <f t="shared" ca="1" si="46"/>
        <v>70</v>
      </c>
      <c r="AI163" s="31">
        <f t="shared" ca="1" si="47"/>
        <v>24</v>
      </c>
      <c r="AJ163" s="31">
        <f t="shared" ca="1" si="48"/>
        <v>2</v>
      </c>
      <c r="AK163" s="31">
        <f t="shared" ca="1" si="49"/>
        <v>23</v>
      </c>
      <c r="AL163" s="31">
        <f t="shared" ca="1" si="50"/>
        <v>31</v>
      </c>
      <c r="AM163" s="31">
        <f t="shared" ca="1" si="51"/>
        <v>9</v>
      </c>
    </row>
    <row r="164" spans="1:39">
      <c r="A164" s="27"/>
      <c r="B164" s="28">
        <v>41578</v>
      </c>
      <c r="C164" s="29">
        <v>5.0380824999999999E-3</v>
      </c>
      <c r="D164" s="29">
        <v>3.1899689688661415E-3</v>
      </c>
      <c r="E164" s="29">
        <v>1.6753536857780915E-3</v>
      </c>
      <c r="F164" s="29">
        <v>2.7365070866609553E-3</v>
      </c>
      <c r="G164" s="29">
        <v>-4.4180787332226412E-2</v>
      </c>
      <c r="H164" s="29">
        <v>-1.8700000000000001E-2</v>
      </c>
      <c r="J164" s="24">
        <v>156</v>
      </c>
      <c r="K164" s="25">
        <f t="shared" si="52"/>
        <v>8.9046901301870797E-3</v>
      </c>
      <c r="L164" s="25">
        <f t="shared" si="53"/>
        <v>33.045415019123936</v>
      </c>
      <c r="N164" s="26">
        <v>156</v>
      </c>
      <c r="O164" s="30">
        <f t="shared" ca="1" si="57"/>
        <v>26.220571402257779</v>
      </c>
      <c r="P164" s="30">
        <f t="shared" ca="1" si="57"/>
        <v>16.618037691522176</v>
      </c>
      <c r="Q164" s="30">
        <f t="shared" ca="1" si="57"/>
        <v>13.241631314872631</v>
      </c>
      <c r="R164" s="30">
        <f t="shared" ca="1" si="57"/>
        <v>7.1025099882125575</v>
      </c>
      <c r="S164" s="30">
        <f t="shared" ca="1" si="57"/>
        <v>0.51107298816605606</v>
      </c>
      <c r="T164" s="30">
        <f t="shared" ca="1" si="57"/>
        <v>21.004221489672101</v>
      </c>
      <c r="U164" s="30">
        <f t="shared" ca="1" si="57"/>
        <v>29.809522948312019</v>
      </c>
      <c r="V164" s="30">
        <f t="shared" ca="1" si="57"/>
        <v>5.1474353277274272</v>
      </c>
      <c r="W164" s="30">
        <f t="shared" ca="1" si="57"/>
        <v>32.539248568796708</v>
      </c>
      <c r="X164" s="30">
        <f t="shared" ca="1" si="57"/>
        <v>15.337600803031577</v>
      </c>
      <c r="Y164" s="30">
        <f t="shared" ca="1" si="57"/>
        <v>15.673768587434838</v>
      </c>
      <c r="Z164" s="30">
        <f t="shared" ca="1" si="57"/>
        <v>19.896657560334624</v>
      </c>
      <c r="AA164" s="26">
        <v>156</v>
      </c>
      <c r="AB164" s="31">
        <f t="shared" ca="1" si="54"/>
        <v>51</v>
      </c>
      <c r="AC164" s="31">
        <f t="shared" ca="1" si="41"/>
        <v>23</v>
      </c>
      <c r="AD164" s="31">
        <f t="shared" ca="1" si="42"/>
        <v>17</v>
      </c>
      <c r="AE164" s="31">
        <f t="shared" ca="1" si="43"/>
        <v>8</v>
      </c>
      <c r="AF164" s="31">
        <f t="shared" ca="1" si="44"/>
        <v>1</v>
      </c>
      <c r="AG164" s="31">
        <f t="shared" ca="1" si="45"/>
        <v>33</v>
      </c>
      <c r="AH164" s="31">
        <f t="shared" ca="1" si="46"/>
        <v>74</v>
      </c>
      <c r="AI164" s="31">
        <f t="shared" ca="1" si="47"/>
        <v>6</v>
      </c>
      <c r="AJ164" s="31">
        <f t="shared" ca="1" si="48"/>
        <v>123</v>
      </c>
      <c r="AK164" s="31">
        <f t="shared" ca="1" si="49"/>
        <v>21</v>
      </c>
      <c r="AL164" s="31">
        <f t="shared" ca="1" si="50"/>
        <v>21</v>
      </c>
      <c r="AM164" s="31">
        <f t="shared" ca="1" si="51"/>
        <v>30</v>
      </c>
    </row>
    <row r="165" spans="1:39">
      <c r="A165" s="27"/>
      <c r="B165" s="28">
        <v>41547</v>
      </c>
      <c r="C165" s="29">
        <v>4.2291666666666667E-3</v>
      </c>
      <c r="D165" s="29">
        <v>6.7008998124067354E-3</v>
      </c>
      <c r="E165" s="29">
        <v>1.1920010850073215E-2</v>
      </c>
      <c r="F165" s="29">
        <v>1.3429191535539786E-2</v>
      </c>
      <c r="G165" s="29">
        <v>3.8149221705228165E-3</v>
      </c>
      <c r="H165" s="29">
        <v>3.8E-3</v>
      </c>
      <c r="J165" s="24">
        <v>157</v>
      </c>
      <c r="K165" s="25">
        <f t="shared" si="52"/>
        <v>8.6375494262814663E-3</v>
      </c>
      <c r="L165" s="25">
        <f t="shared" si="53"/>
        <v>33.054052568550219</v>
      </c>
      <c r="N165" s="26">
        <v>157</v>
      </c>
      <c r="O165" s="30">
        <f t="shared" ca="1" si="57"/>
        <v>11.654785130698237</v>
      </c>
      <c r="P165" s="30">
        <f t="shared" ca="1" si="57"/>
        <v>10.106667377815784</v>
      </c>
      <c r="Q165" s="30">
        <f t="shared" ca="1" si="57"/>
        <v>8.5157921218886425</v>
      </c>
      <c r="R165" s="30">
        <f t="shared" ca="1" si="57"/>
        <v>14.148397206956471</v>
      </c>
      <c r="S165" s="30">
        <f t="shared" ca="1" si="57"/>
        <v>31.29172521302403</v>
      </c>
      <c r="T165" s="30">
        <f t="shared" ca="1" si="57"/>
        <v>17.41151069814957</v>
      </c>
      <c r="U165" s="30">
        <f t="shared" ca="1" si="57"/>
        <v>29.83940969375703</v>
      </c>
      <c r="V165" s="30">
        <f t="shared" ca="1" si="57"/>
        <v>15.226342368718825</v>
      </c>
      <c r="W165" s="30">
        <f t="shared" ca="1" si="57"/>
        <v>7.5264235195731013</v>
      </c>
      <c r="X165" s="30">
        <f t="shared" ca="1" si="57"/>
        <v>19.715969361640731</v>
      </c>
      <c r="Y165" s="30">
        <f t="shared" ca="1" si="57"/>
        <v>9.5370249726376954</v>
      </c>
      <c r="Z165" s="30">
        <f t="shared" ca="1" si="57"/>
        <v>7.0293472679654503</v>
      </c>
      <c r="AA165" s="26">
        <v>157</v>
      </c>
      <c r="AB165" s="31">
        <f t="shared" ca="1" si="54"/>
        <v>15</v>
      </c>
      <c r="AC165" s="31">
        <f t="shared" ca="1" si="41"/>
        <v>12</v>
      </c>
      <c r="AD165" s="31">
        <f t="shared" ca="1" si="42"/>
        <v>10</v>
      </c>
      <c r="AE165" s="31">
        <f t="shared" ca="1" si="43"/>
        <v>19</v>
      </c>
      <c r="AF165" s="31">
        <f t="shared" ca="1" si="44"/>
        <v>92</v>
      </c>
      <c r="AG165" s="31">
        <f t="shared" ca="1" si="45"/>
        <v>25</v>
      </c>
      <c r="AH165" s="31">
        <f t="shared" ca="1" si="46"/>
        <v>75</v>
      </c>
      <c r="AI165" s="31">
        <f t="shared" ca="1" si="47"/>
        <v>21</v>
      </c>
      <c r="AJ165" s="31">
        <f t="shared" ca="1" si="48"/>
        <v>9</v>
      </c>
      <c r="AK165" s="31">
        <f t="shared" ca="1" si="49"/>
        <v>30</v>
      </c>
      <c r="AL165" s="31">
        <f t="shared" ca="1" si="50"/>
        <v>12</v>
      </c>
      <c r="AM165" s="31">
        <f t="shared" ca="1" si="51"/>
        <v>8</v>
      </c>
    </row>
    <row r="166" spans="1:39">
      <c r="A166" s="27"/>
      <c r="B166" s="28">
        <v>41517</v>
      </c>
      <c r="C166" s="29">
        <v>4.6822916666666671E-3</v>
      </c>
      <c r="D166" s="29">
        <v>2.606055293001841E-3</v>
      </c>
      <c r="E166" s="29">
        <v>-1.8080185623237099E-4</v>
      </c>
      <c r="F166" s="29">
        <v>-2.0305942872614891E-3</v>
      </c>
      <c r="G166" s="29">
        <v>2.5789569394488288E-2</v>
      </c>
      <c r="H166" s="29">
        <v>1.54E-2</v>
      </c>
      <c r="J166" s="24">
        <v>158</v>
      </c>
      <c r="K166" s="25">
        <f t="shared" si="52"/>
        <v>8.3784229434930215E-3</v>
      </c>
      <c r="L166" s="25">
        <f t="shared" si="53"/>
        <v>33.062430991493713</v>
      </c>
      <c r="N166" s="26">
        <v>158</v>
      </c>
      <c r="O166" s="30">
        <f t="shared" ca="1" si="57"/>
        <v>4.6802274985471763</v>
      </c>
      <c r="P166" s="30">
        <f t="shared" ca="1" si="57"/>
        <v>3.5047209410171747</v>
      </c>
      <c r="Q166" s="30">
        <f t="shared" ca="1" si="57"/>
        <v>4.4558654785596676</v>
      </c>
      <c r="R166" s="30">
        <f t="shared" ca="1" si="57"/>
        <v>10.264420318394725</v>
      </c>
      <c r="S166" s="30">
        <f t="shared" ca="1" si="57"/>
        <v>6.5293366703254252</v>
      </c>
      <c r="T166" s="30">
        <f t="shared" ca="1" si="57"/>
        <v>21.958960821081799</v>
      </c>
      <c r="U166" s="30">
        <f t="shared" ca="1" si="57"/>
        <v>4.9438640804810925</v>
      </c>
      <c r="V166" s="30">
        <f t="shared" ca="1" si="57"/>
        <v>15.003026065867163</v>
      </c>
      <c r="W166" s="30">
        <f t="shared" ca="1" si="57"/>
        <v>2.2388269113180792</v>
      </c>
      <c r="X166" s="30">
        <f t="shared" ca="1" si="57"/>
        <v>17.506399531625345</v>
      </c>
      <c r="Y166" s="30">
        <f t="shared" ca="1" si="57"/>
        <v>16.025169474953262</v>
      </c>
      <c r="Z166" s="30">
        <f t="shared" ca="1" si="57"/>
        <v>30.195498989974404</v>
      </c>
      <c r="AA166" s="26">
        <v>158</v>
      </c>
      <c r="AB166" s="31">
        <f t="shared" ca="1" si="54"/>
        <v>5</v>
      </c>
      <c r="AC166" s="31">
        <f t="shared" ca="1" si="41"/>
        <v>4</v>
      </c>
      <c r="AD166" s="31">
        <f t="shared" ca="1" si="42"/>
        <v>5</v>
      </c>
      <c r="AE166" s="31">
        <f t="shared" ca="1" si="43"/>
        <v>13</v>
      </c>
      <c r="AF166" s="31">
        <f t="shared" ca="1" si="44"/>
        <v>8</v>
      </c>
      <c r="AG166" s="31">
        <f t="shared" ca="1" si="45"/>
        <v>36</v>
      </c>
      <c r="AH166" s="31">
        <f t="shared" ca="1" si="46"/>
        <v>6</v>
      </c>
      <c r="AI166" s="31">
        <f t="shared" ca="1" si="47"/>
        <v>20</v>
      </c>
      <c r="AJ166" s="31">
        <f t="shared" ca="1" si="48"/>
        <v>3</v>
      </c>
      <c r="AK166" s="31">
        <f t="shared" ca="1" si="49"/>
        <v>25</v>
      </c>
      <c r="AL166" s="31">
        <f t="shared" ca="1" si="50"/>
        <v>22</v>
      </c>
      <c r="AM166" s="31">
        <f t="shared" ca="1" si="51"/>
        <v>78</v>
      </c>
    </row>
    <row r="167" spans="1:39">
      <c r="A167" s="27"/>
      <c r="B167" s="28">
        <v>41486</v>
      </c>
      <c r="C167" s="29">
        <v>4.8333333333333336E-3</v>
      </c>
      <c r="D167" s="29">
        <v>9.5726604816648297E-4</v>
      </c>
      <c r="E167" s="29">
        <v>-7.1504435369266206E-3</v>
      </c>
      <c r="F167" s="29">
        <v>-5.6237754079480062E-3</v>
      </c>
      <c r="G167" s="29">
        <v>1.4743274818764807E-2</v>
      </c>
      <c r="H167" s="29">
        <v>3.0899999999999997E-2</v>
      </c>
      <c r="J167" s="24">
        <v>159</v>
      </c>
      <c r="K167" s="25">
        <f t="shared" si="52"/>
        <v>8.12707025518823E-3</v>
      </c>
      <c r="L167" s="25">
        <f t="shared" si="53"/>
        <v>33.070558061748898</v>
      </c>
      <c r="N167" s="26">
        <v>159</v>
      </c>
      <c r="O167" s="30">
        <f t="shared" ca="1" si="57"/>
        <v>5.4923964641636518</v>
      </c>
      <c r="P167" s="30">
        <f t="shared" ca="1" si="57"/>
        <v>2.0472560944127842</v>
      </c>
      <c r="Q167" s="30">
        <f t="shared" ca="1" si="57"/>
        <v>14.20171551547662</v>
      </c>
      <c r="R167" s="30">
        <f t="shared" ca="1" si="57"/>
        <v>7.419754750696149</v>
      </c>
      <c r="S167" s="30">
        <f t="shared" ca="1" si="57"/>
        <v>31.003963456816518</v>
      </c>
      <c r="T167" s="30">
        <f t="shared" ca="1" si="57"/>
        <v>9.5713269065174167</v>
      </c>
      <c r="U167" s="30">
        <f t="shared" ca="1" si="57"/>
        <v>0.93910241343470446</v>
      </c>
      <c r="V167" s="30">
        <f t="shared" ca="1" si="57"/>
        <v>23.758355047618824</v>
      </c>
      <c r="W167" s="30">
        <f t="shared" ca="1" si="57"/>
        <v>32.904834065892906</v>
      </c>
      <c r="X167" s="30">
        <f t="shared" ca="1" si="57"/>
        <v>10.441391534710597</v>
      </c>
      <c r="Y167" s="30">
        <f t="shared" ca="1" si="57"/>
        <v>15.93821257987274</v>
      </c>
      <c r="Z167" s="30">
        <f t="shared" ca="1" si="57"/>
        <v>8.8657612103154122</v>
      </c>
      <c r="AA167" s="26">
        <v>159</v>
      </c>
      <c r="AB167" s="31">
        <f t="shared" ca="1" si="54"/>
        <v>6</v>
      </c>
      <c r="AC167" s="31">
        <f t="shared" ca="1" si="41"/>
        <v>3</v>
      </c>
      <c r="AD167" s="31">
        <f t="shared" ca="1" si="42"/>
        <v>19</v>
      </c>
      <c r="AE167" s="31">
        <f t="shared" ca="1" si="43"/>
        <v>9</v>
      </c>
      <c r="AF167" s="31">
        <f t="shared" ca="1" si="44"/>
        <v>88</v>
      </c>
      <c r="AG167" s="31">
        <f t="shared" ca="1" si="45"/>
        <v>12</v>
      </c>
      <c r="AH167" s="31">
        <f t="shared" ca="1" si="46"/>
        <v>1</v>
      </c>
      <c r="AI167" s="31">
        <f t="shared" ca="1" si="47"/>
        <v>41</v>
      </c>
      <c r="AJ167" s="31">
        <f t="shared" ca="1" si="48"/>
        <v>143</v>
      </c>
      <c r="AK167" s="31">
        <f t="shared" ca="1" si="49"/>
        <v>13</v>
      </c>
      <c r="AL167" s="31">
        <f t="shared" ca="1" si="50"/>
        <v>22</v>
      </c>
      <c r="AM167" s="31">
        <f t="shared" ca="1" si="51"/>
        <v>11</v>
      </c>
    </row>
    <row r="168" spans="1:39">
      <c r="A168" s="27"/>
      <c r="B168" s="28">
        <v>41455</v>
      </c>
      <c r="C168" s="29">
        <v>4.2795138888888891E-3</v>
      </c>
      <c r="D168" s="29">
        <v>-1.3224667989133465E-3</v>
      </c>
      <c r="E168" s="29">
        <v>-9.108629110555988E-3</v>
      </c>
      <c r="F168" s="29">
        <v>-6.9511488704382396E-3</v>
      </c>
      <c r="G168" s="29">
        <v>9.6262610498758505E-3</v>
      </c>
      <c r="H168" s="29">
        <v>9.8999999999999991E-3</v>
      </c>
      <c r="J168" s="24">
        <v>160</v>
      </c>
      <c r="K168" s="25">
        <f t="shared" si="52"/>
        <v>7.8832581475325823E-3</v>
      </c>
      <c r="L168" s="25">
        <f t="shared" si="53"/>
        <v>33.078441319896427</v>
      </c>
      <c r="N168" s="26">
        <v>160</v>
      </c>
      <c r="O168" s="30">
        <f t="shared" ca="1" si="57"/>
        <v>24.224206679939918</v>
      </c>
      <c r="P168" s="30">
        <f t="shared" ca="1" si="57"/>
        <v>10.129928804792039</v>
      </c>
      <c r="Q168" s="30">
        <f t="shared" ca="1" si="57"/>
        <v>4.1656376705864018</v>
      </c>
      <c r="R168" s="30">
        <f t="shared" ca="1" si="57"/>
        <v>27.51728918231915</v>
      </c>
      <c r="S168" s="30">
        <f t="shared" ca="1" si="57"/>
        <v>33.236985036367564</v>
      </c>
      <c r="T168" s="30">
        <f t="shared" ca="1" si="57"/>
        <v>12.81174520159275</v>
      </c>
      <c r="U168" s="30">
        <f t="shared" ca="1" si="57"/>
        <v>27.350363731507599</v>
      </c>
      <c r="V168" s="30">
        <f t="shared" ca="1" si="57"/>
        <v>28.952629438499144</v>
      </c>
      <c r="W168" s="30">
        <f t="shared" ca="1" si="57"/>
        <v>23.828378873950125</v>
      </c>
      <c r="X168" s="30">
        <f t="shared" ca="1" si="57"/>
        <v>8.5385163157952491</v>
      </c>
      <c r="Y168" s="30">
        <f t="shared" ca="1" si="57"/>
        <v>11.10350822178107</v>
      </c>
      <c r="Z168" s="30">
        <f t="shared" ca="1" si="57"/>
        <v>13.744447992560172</v>
      </c>
      <c r="AA168" s="26">
        <v>160</v>
      </c>
      <c r="AB168" s="31">
        <f t="shared" ca="1" si="54"/>
        <v>43</v>
      </c>
      <c r="AC168" s="31">
        <f t="shared" ca="1" si="41"/>
        <v>12</v>
      </c>
      <c r="AD168" s="31">
        <f t="shared" ca="1" si="42"/>
        <v>5</v>
      </c>
      <c r="AE168" s="31">
        <f t="shared" ca="1" si="43"/>
        <v>58</v>
      </c>
      <c r="AF168" s="31">
        <f t="shared" ca="1" si="44"/>
        <v>192</v>
      </c>
      <c r="AG168" s="31">
        <f t="shared" ca="1" si="45"/>
        <v>16</v>
      </c>
      <c r="AH168" s="31">
        <f t="shared" ca="1" si="46"/>
        <v>57</v>
      </c>
      <c r="AI168" s="31">
        <f t="shared" ca="1" si="47"/>
        <v>67</v>
      </c>
      <c r="AJ168" s="31">
        <f t="shared" ca="1" si="48"/>
        <v>42</v>
      </c>
      <c r="AK168" s="31">
        <f t="shared" ca="1" si="49"/>
        <v>10</v>
      </c>
      <c r="AL168" s="31">
        <f t="shared" ca="1" si="50"/>
        <v>14</v>
      </c>
      <c r="AM168" s="31">
        <f t="shared" ca="1" si="51"/>
        <v>18</v>
      </c>
    </row>
    <row r="169" spans="1:39">
      <c r="A169" s="27"/>
      <c r="B169" s="28">
        <v>41425</v>
      </c>
      <c r="C169" s="29">
        <v>4.3802083333333332E-3</v>
      </c>
      <c r="D169" s="29">
        <v>-3.6591948183896106E-3</v>
      </c>
      <c r="E169" s="29">
        <v>-1.7261848401640245E-2</v>
      </c>
      <c r="F169" s="29">
        <v>-1.7367952478946846E-2</v>
      </c>
      <c r="G169" s="29">
        <v>9.2710622710621138E-3</v>
      </c>
      <c r="H169" s="29">
        <v>-6.1999999999999998E-3</v>
      </c>
      <c r="J169" s="24">
        <v>161</v>
      </c>
      <c r="K169" s="25">
        <f t="shared" si="52"/>
        <v>7.6467604031066044E-3</v>
      </c>
      <c r="L169" s="25">
        <f t="shared" si="53"/>
        <v>33.086088080299533</v>
      </c>
      <c r="N169" s="26">
        <v>161</v>
      </c>
      <c r="O169" s="30">
        <f t="shared" ref="O169:Z178" ca="1" si="58">RAND()*sumweights</f>
        <v>23.102326995071323</v>
      </c>
      <c r="P169" s="30">
        <f t="shared" ca="1" si="58"/>
        <v>22.487054600972105</v>
      </c>
      <c r="Q169" s="30">
        <f t="shared" ca="1" si="58"/>
        <v>25.512770275873436</v>
      </c>
      <c r="R169" s="30">
        <f t="shared" ca="1" si="58"/>
        <v>0.87124313204692982</v>
      </c>
      <c r="S169" s="30">
        <f t="shared" ca="1" si="58"/>
        <v>19.785868151582157</v>
      </c>
      <c r="T169" s="30">
        <f t="shared" ca="1" si="58"/>
        <v>8.9021850544099994</v>
      </c>
      <c r="U169" s="30">
        <f t="shared" ca="1" si="58"/>
        <v>14.264865547507364</v>
      </c>
      <c r="V169" s="30">
        <f t="shared" ca="1" si="58"/>
        <v>8.7725885527396574</v>
      </c>
      <c r="W169" s="30">
        <f t="shared" ca="1" si="58"/>
        <v>32.580298835391865</v>
      </c>
      <c r="X169" s="30">
        <f t="shared" ca="1" si="58"/>
        <v>9.5036902125473652</v>
      </c>
      <c r="Y169" s="30">
        <f t="shared" ca="1" si="58"/>
        <v>2.0126203492151353E-2</v>
      </c>
      <c r="Z169" s="30">
        <f t="shared" ca="1" si="58"/>
        <v>4.7834737753930767</v>
      </c>
      <c r="AA169" s="26">
        <v>161</v>
      </c>
      <c r="AB169" s="31">
        <f t="shared" ca="1" si="54"/>
        <v>39</v>
      </c>
      <c r="AC169" s="31">
        <f t="shared" ca="1" si="41"/>
        <v>37</v>
      </c>
      <c r="AD169" s="31">
        <f t="shared" ca="1" si="42"/>
        <v>48</v>
      </c>
      <c r="AE169" s="31">
        <f t="shared" ca="1" si="43"/>
        <v>1</v>
      </c>
      <c r="AF169" s="31">
        <f t="shared" ca="1" si="44"/>
        <v>30</v>
      </c>
      <c r="AG169" s="31">
        <f t="shared" ca="1" si="45"/>
        <v>11</v>
      </c>
      <c r="AH169" s="31">
        <f t="shared" ca="1" si="46"/>
        <v>19</v>
      </c>
      <c r="AI169" s="31">
        <f t="shared" ca="1" si="47"/>
        <v>11</v>
      </c>
      <c r="AJ169" s="31">
        <f t="shared" ca="1" si="48"/>
        <v>125</v>
      </c>
      <c r="AK169" s="31">
        <f t="shared" ca="1" si="49"/>
        <v>12</v>
      </c>
      <c r="AL169" s="31">
        <f t="shared" ca="1" si="50"/>
        <v>1</v>
      </c>
      <c r="AM169" s="31">
        <f t="shared" ca="1" si="51"/>
        <v>6</v>
      </c>
    </row>
    <row r="170" spans="1:39">
      <c r="A170" s="27"/>
      <c r="B170" s="28">
        <v>41394</v>
      </c>
      <c r="C170" s="29">
        <v>5.2135416666666667E-3</v>
      </c>
      <c r="D170" s="29">
        <v>8.6385653096352488E-3</v>
      </c>
      <c r="E170" s="29">
        <v>6.3180268992559796E-3</v>
      </c>
      <c r="F170" s="29">
        <v>6.625921899332976E-3</v>
      </c>
      <c r="G170" s="29">
        <v>3.4036073844568859E-2</v>
      </c>
      <c r="H170" s="29">
        <v>2.7300000000000001E-2</v>
      </c>
      <c r="J170" s="24">
        <v>162</v>
      </c>
      <c r="K170" s="25">
        <f t="shared" si="52"/>
        <v>7.417357591013406E-3</v>
      </c>
      <c r="L170" s="25">
        <f t="shared" si="53"/>
        <v>33.093505437890549</v>
      </c>
      <c r="N170" s="26">
        <v>162</v>
      </c>
      <c r="O170" s="30">
        <f t="shared" ca="1" si="58"/>
        <v>7.5538626513994469</v>
      </c>
      <c r="P170" s="30">
        <f t="shared" ca="1" si="58"/>
        <v>2.510981550285353</v>
      </c>
      <c r="Q170" s="30">
        <f t="shared" ca="1" si="58"/>
        <v>22.876278166517324</v>
      </c>
      <c r="R170" s="30">
        <f t="shared" ca="1" si="58"/>
        <v>17.681743748401175</v>
      </c>
      <c r="S170" s="30">
        <f t="shared" ca="1" si="58"/>
        <v>20.560017634496969</v>
      </c>
      <c r="T170" s="30">
        <f t="shared" ca="1" si="58"/>
        <v>13.406382269606151</v>
      </c>
      <c r="U170" s="30">
        <f t="shared" ca="1" si="58"/>
        <v>27.027948892495374</v>
      </c>
      <c r="V170" s="30">
        <f t="shared" ca="1" si="58"/>
        <v>11.717398971778159</v>
      </c>
      <c r="W170" s="30">
        <f t="shared" ca="1" si="58"/>
        <v>4.9665427314052852</v>
      </c>
      <c r="X170" s="30">
        <f t="shared" ca="1" si="58"/>
        <v>25.16471294811145</v>
      </c>
      <c r="Y170" s="30">
        <f t="shared" ca="1" si="58"/>
        <v>30.796619220970122</v>
      </c>
      <c r="Z170" s="30">
        <f t="shared" ca="1" si="58"/>
        <v>8.1684567358043942</v>
      </c>
      <c r="AA170" s="26">
        <v>162</v>
      </c>
      <c r="AB170" s="31">
        <f t="shared" ca="1" si="54"/>
        <v>9</v>
      </c>
      <c r="AC170" s="31">
        <f t="shared" ca="1" si="41"/>
        <v>3</v>
      </c>
      <c r="AD170" s="31">
        <f t="shared" ca="1" si="42"/>
        <v>39</v>
      </c>
      <c r="AE170" s="31">
        <f t="shared" ca="1" si="43"/>
        <v>25</v>
      </c>
      <c r="AF170" s="31">
        <f t="shared" ca="1" si="44"/>
        <v>32</v>
      </c>
      <c r="AG170" s="31">
        <f t="shared" ca="1" si="45"/>
        <v>17</v>
      </c>
      <c r="AH170" s="31">
        <f t="shared" ca="1" si="46"/>
        <v>55</v>
      </c>
      <c r="AI170" s="31">
        <f t="shared" ca="1" si="47"/>
        <v>15</v>
      </c>
      <c r="AJ170" s="31">
        <f t="shared" ca="1" si="48"/>
        <v>6</v>
      </c>
      <c r="AK170" s="31">
        <f t="shared" ca="1" si="49"/>
        <v>47</v>
      </c>
      <c r="AL170" s="31">
        <f t="shared" ca="1" si="50"/>
        <v>85</v>
      </c>
      <c r="AM170" s="31">
        <f t="shared" ca="1" si="51"/>
        <v>10</v>
      </c>
    </row>
    <row r="171" spans="1:39">
      <c r="A171" s="27"/>
      <c r="B171" s="28">
        <v>41364</v>
      </c>
      <c r="C171" s="29">
        <v>4.8144511111111116E-3</v>
      </c>
      <c r="D171" s="29">
        <v>8.8849400266548528E-3</v>
      </c>
      <c r="E171" s="29">
        <v>1.9076642690150303E-2</v>
      </c>
      <c r="F171" s="29">
        <v>1.4033728621655417E-2</v>
      </c>
      <c r="G171" s="29">
        <v>1.92620007875699E-2</v>
      </c>
      <c r="H171" s="29">
        <v>2.2200000000000001E-2</v>
      </c>
      <c r="J171" s="24">
        <v>163</v>
      </c>
      <c r="K171" s="25">
        <f t="shared" si="52"/>
        <v>7.1948368632830037E-3</v>
      </c>
      <c r="L171" s="25">
        <f t="shared" si="53"/>
        <v>33.100700274753834</v>
      </c>
      <c r="N171" s="26">
        <v>163</v>
      </c>
      <c r="O171" s="30">
        <f t="shared" ca="1" si="58"/>
        <v>4.8562115498620226</v>
      </c>
      <c r="P171" s="30">
        <f t="shared" ca="1" si="58"/>
        <v>27.522059570228265</v>
      </c>
      <c r="Q171" s="30">
        <f t="shared" ca="1" si="58"/>
        <v>19.899956632715266</v>
      </c>
      <c r="R171" s="30">
        <f t="shared" ca="1" si="58"/>
        <v>8.2787792978232062</v>
      </c>
      <c r="S171" s="30">
        <f t="shared" ca="1" si="58"/>
        <v>10.86396791359712</v>
      </c>
      <c r="T171" s="30">
        <f t="shared" ca="1" si="58"/>
        <v>20.622936203816</v>
      </c>
      <c r="U171" s="30">
        <f t="shared" ca="1" si="58"/>
        <v>6.32597723475486</v>
      </c>
      <c r="V171" s="30">
        <f t="shared" ca="1" si="58"/>
        <v>1.984209641915649</v>
      </c>
      <c r="W171" s="30">
        <f t="shared" ca="1" si="58"/>
        <v>25.994153312664405</v>
      </c>
      <c r="X171" s="30">
        <f t="shared" ca="1" si="58"/>
        <v>27.559153294011466</v>
      </c>
      <c r="Y171" s="30">
        <f t="shared" ca="1" si="58"/>
        <v>25.488916986710187</v>
      </c>
      <c r="Z171" s="30">
        <f t="shared" ca="1" si="58"/>
        <v>29.18179893160033</v>
      </c>
      <c r="AA171" s="26">
        <v>163</v>
      </c>
      <c r="AB171" s="31">
        <f t="shared" ca="1" si="54"/>
        <v>6</v>
      </c>
      <c r="AC171" s="31">
        <f t="shared" ca="1" si="41"/>
        <v>58</v>
      </c>
      <c r="AD171" s="31">
        <f t="shared" ca="1" si="42"/>
        <v>30</v>
      </c>
      <c r="AE171" s="31">
        <f t="shared" ca="1" si="43"/>
        <v>10</v>
      </c>
      <c r="AF171" s="31">
        <f t="shared" ca="1" si="44"/>
        <v>13</v>
      </c>
      <c r="AG171" s="31">
        <f t="shared" ca="1" si="45"/>
        <v>32</v>
      </c>
      <c r="AH171" s="31">
        <f t="shared" ca="1" si="46"/>
        <v>7</v>
      </c>
      <c r="AI171" s="31">
        <f t="shared" ca="1" si="47"/>
        <v>3</v>
      </c>
      <c r="AJ171" s="31">
        <f t="shared" ca="1" si="48"/>
        <v>50</v>
      </c>
      <c r="AK171" s="31">
        <f t="shared" ca="1" si="49"/>
        <v>58</v>
      </c>
      <c r="AL171" s="31">
        <f t="shared" ca="1" si="50"/>
        <v>48</v>
      </c>
      <c r="AM171" s="31">
        <f t="shared" ca="1" si="51"/>
        <v>69</v>
      </c>
    </row>
    <row r="172" spans="1:39">
      <c r="A172" s="27"/>
      <c r="B172" s="28">
        <v>41333</v>
      </c>
      <c r="C172" s="29">
        <v>4.8600249999999996E-3</v>
      </c>
      <c r="D172" s="29">
        <v>8.7672840160029075E-3</v>
      </c>
      <c r="E172" s="29">
        <v>1.5981787137165471E-2</v>
      </c>
      <c r="F172" s="29">
        <v>1.4984954561262809E-2</v>
      </c>
      <c r="G172" s="29">
        <v>4.3898677585586077E-2</v>
      </c>
      <c r="H172" s="29">
        <v>1.15E-2</v>
      </c>
      <c r="J172" s="24">
        <v>164</v>
      </c>
      <c r="K172" s="25">
        <f t="shared" si="52"/>
        <v>6.9789917573845131E-3</v>
      </c>
      <c r="L172" s="25">
        <f t="shared" si="53"/>
        <v>33.107679266511219</v>
      </c>
      <c r="N172" s="26">
        <v>164</v>
      </c>
      <c r="O172" s="30">
        <f t="shared" ca="1" si="58"/>
        <v>10.747219472252429</v>
      </c>
      <c r="P172" s="30">
        <f t="shared" ca="1" si="58"/>
        <v>30.736984711098135</v>
      </c>
      <c r="Q172" s="30">
        <f t="shared" ca="1" si="58"/>
        <v>3.2983940019841045</v>
      </c>
      <c r="R172" s="30">
        <f t="shared" ca="1" si="58"/>
        <v>19.179786707011171</v>
      </c>
      <c r="S172" s="30">
        <f t="shared" ca="1" si="58"/>
        <v>2.5485084881176077</v>
      </c>
      <c r="T172" s="30">
        <f t="shared" ca="1" si="58"/>
        <v>15.276488309029105</v>
      </c>
      <c r="U172" s="30">
        <f t="shared" ca="1" si="58"/>
        <v>17.617616514933978</v>
      </c>
      <c r="V172" s="30">
        <f t="shared" ca="1" si="58"/>
        <v>23.387767485454262</v>
      </c>
      <c r="W172" s="30">
        <f t="shared" ca="1" si="58"/>
        <v>22.206547273812223</v>
      </c>
      <c r="X172" s="30">
        <f t="shared" ca="1" si="58"/>
        <v>14.663952990242665</v>
      </c>
      <c r="Y172" s="30">
        <f t="shared" ca="1" si="58"/>
        <v>19.016294731090259</v>
      </c>
      <c r="Z172" s="30">
        <f t="shared" ca="1" si="58"/>
        <v>28.796672329812473</v>
      </c>
      <c r="AA172" s="26">
        <v>164</v>
      </c>
      <c r="AB172" s="31">
        <f t="shared" ca="1" si="54"/>
        <v>13</v>
      </c>
      <c r="AC172" s="31">
        <f t="shared" ca="1" si="41"/>
        <v>84</v>
      </c>
      <c r="AD172" s="31">
        <f t="shared" ca="1" si="42"/>
        <v>4</v>
      </c>
      <c r="AE172" s="31">
        <f t="shared" ca="1" si="43"/>
        <v>29</v>
      </c>
      <c r="AF172" s="31">
        <f t="shared" ca="1" si="44"/>
        <v>3</v>
      </c>
      <c r="AG172" s="31">
        <f t="shared" ca="1" si="45"/>
        <v>21</v>
      </c>
      <c r="AH172" s="31">
        <f t="shared" ca="1" si="46"/>
        <v>25</v>
      </c>
      <c r="AI172" s="31">
        <f t="shared" ca="1" si="47"/>
        <v>40</v>
      </c>
      <c r="AJ172" s="31">
        <f t="shared" ca="1" si="48"/>
        <v>37</v>
      </c>
      <c r="AK172" s="31">
        <f t="shared" ca="1" si="49"/>
        <v>20</v>
      </c>
      <c r="AL172" s="31">
        <f t="shared" ca="1" si="50"/>
        <v>28</v>
      </c>
      <c r="AM172" s="31">
        <f t="shared" ca="1" si="51"/>
        <v>66</v>
      </c>
    </row>
    <row r="173" spans="1:39">
      <c r="A173" s="27"/>
      <c r="B173" s="28">
        <v>41305</v>
      </c>
      <c r="C173" s="29">
        <v>5.2222222222222218E-3</v>
      </c>
      <c r="D173" s="29">
        <v>8.9194699286441192E-3</v>
      </c>
      <c r="E173" s="29">
        <v>1.6813790549091046E-2</v>
      </c>
      <c r="F173" s="29">
        <v>1.3004717848171143E-2</v>
      </c>
      <c r="G173" s="29">
        <v>-3.5739814152967453E-3</v>
      </c>
      <c r="H173" s="29">
        <v>-5.3E-3</v>
      </c>
      <c r="J173" s="24">
        <v>165</v>
      </c>
      <c r="K173" s="25">
        <f t="shared" si="52"/>
        <v>6.7696220046629778E-3</v>
      </c>
      <c r="L173" s="25">
        <f t="shared" si="53"/>
        <v>33.114448888515881</v>
      </c>
      <c r="N173" s="26">
        <v>165</v>
      </c>
      <c r="O173" s="30">
        <f t="shared" ca="1" si="58"/>
        <v>25.822639791036707</v>
      </c>
      <c r="P173" s="30">
        <f t="shared" ca="1" si="58"/>
        <v>28.844409352632489</v>
      </c>
      <c r="Q173" s="30">
        <f t="shared" ca="1" si="58"/>
        <v>32.948039149875385</v>
      </c>
      <c r="R173" s="30">
        <f t="shared" ca="1" si="58"/>
        <v>1.562867607302451</v>
      </c>
      <c r="S173" s="30">
        <f t="shared" ca="1" si="58"/>
        <v>10.251164225224862</v>
      </c>
      <c r="T173" s="30">
        <f t="shared" ca="1" si="58"/>
        <v>17.604414540224607</v>
      </c>
      <c r="U173" s="30">
        <f t="shared" ca="1" si="58"/>
        <v>9.5957388912054267</v>
      </c>
      <c r="V173" s="30">
        <f t="shared" ca="1" si="58"/>
        <v>14.327802314756079</v>
      </c>
      <c r="W173" s="30">
        <f t="shared" ca="1" si="58"/>
        <v>7.3963674695247512</v>
      </c>
      <c r="X173" s="30">
        <f t="shared" ca="1" si="58"/>
        <v>24.297290377697845</v>
      </c>
      <c r="Y173" s="30">
        <f t="shared" ca="1" si="58"/>
        <v>7.5887246837046671</v>
      </c>
      <c r="Z173" s="30">
        <f t="shared" ca="1" si="58"/>
        <v>12.655552070861274</v>
      </c>
      <c r="AA173" s="26">
        <v>165</v>
      </c>
      <c r="AB173" s="31">
        <f t="shared" ca="1" si="54"/>
        <v>49</v>
      </c>
      <c r="AC173" s="31">
        <f t="shared" ca="1" si="41"/>
        <v>66</v>
      </c>
      <c r="AD173" s="31">
        <f t="shared" ca="1" si="42"/>
        <v>147</v>
      </c>
      <c r="AE173" s="31">
        <f t="shared" ca="1" si="43"/>
        <v>2</v>
      </c>
      <c r="AF173" s="31">
        <f t="shared" ca="1" si="44"/>
        <v>13</v>
      </c>
      <c r="AG173" s="31">
        <f t="shared" ca="1" si="45"/>
        <v>25</v>
      </c>
      <c r="AH173" s="31">
        <f t="shared" ca="1" si="46"/>
        <v>12</v>
      </c>
      <c r="AI173" s="31">
        <f t="shared" ca="1" si="47"/>
        <v>19</v>
      </c>
      <c r="AJ173" s="31">
        <f t="shared" ca="1" si="48"/>
        <v>9</v>
      </c>
      <c r="AK173" s="31">
        <f t="shared" ca="1" si="49"/>
        <v>43</v>
      </c>
      <c r="AL173" s="31">
        <f t="shared" ca="1" si="50"/>
        <v>9</v>
      </c>
      <c r="AM173" s="31">
        <f t="shared" ca="1" si="51"/>
        <v>16</v>
      </c>
    </row>
    <row r="174" spans="1:39">
      <c r="A174" s="27"/>
      <c r="B174" s="28">
        <v>41274</v>
      </c>
      <c r="C174" s="29">
        <v>4.7326388888888887E-3</v>
      </c>
      <c r="D174" s="29">
        <v>4.1356083306505198E-3</v>
      </c>
      <c r="E174" s="29">
        <v>7.7998024775844943E-3</v>
      </c>
      <c r="F174" s="29">
        <v>9.7285592761582329E-3</v>
      </c>
      <c r="G174" s="29">
        <v>4.2201962849549801E-2</v>
      </c>
      <c r="H174" s="29">
        <v>7.4999999999999997E-3</v>
      </c>
      <c r="J174" s="24">
        <v>166</v>
      </c>
      <c r="K174" s="25">
        <f t="shared" si="52"/>
        <v>6.5665333445230883E-3</v>
      </c>
      <c r="L174" s="25">
        <f t="shared" si="53"/>
        <v>33.121015421860406</v>
      </c>
      <c r="N174" s="26">
        <v>166</v>
      </c>
      <c r="O174" s="30">
        <f t="shared" ca="1" si="58"/>
        <v>20.102062180380717</v>
      </c>
      <c r="P174" s="30">
        <f t="shared" ca="1" si="58"/>
        <v>2.625456498924851</v>
      </c>
      <c r="Q174" s="30">
        <f t="shared" ca="1" si="58"/>
        <v>5.0516720262155816</v>
      </c>
      <c r="R174" s="30">
        <f t="shared" ca="1" si="58"/>
        <v>14.860445190885127</v>
      </c>
      <c r="S174" s="30">
        <f t="shared" ca="1" si="58"/>
        <v>0.47468145489726243</v>
      </c>
      <c r="T174" s="30">
        <f t="shared" ca="1" si="58"/>
        <v>12.66645615806665</v>
      </c>
      <c r="U174" s="30">
        <f t="shared" ca="1" si="58"/>
        <v>27.531054039723678</v>
      </c>
      <c r="V174" s="30">
        <f t="shared" ca="1" si="58"/>
        <v>5.4889389264579407</v>
      </c>
      <c r="W174" s="30">
        <f t="shared" ca="1" si="58"/>
        <v>7.3335896260301459</v>
      </c>
      <c r="X174" s="30">
        <f t="shared" ca="1" si="58"/>
        <v>13.586219223187864</v>
      </c>
      <c r="Y174" s="30">
        <f t="shared" ca="1" si="58"/>
        <v>19.977067070063772</v>
      </c>
      <c r="Z174" s="30">
        <f t="shared" ca="1" si="58"/>
        <v>8.4434669783245724</v>
      </c>
      <c r="AA174" s="26">
        <v>166</v>
      </c>
      <c r="AB174" s="31">
        <f t="shared" ca="1" si="54"/>
        <v>31</v>
      </c>
      <c r="AC174" s="31">
        <f t="shared" ca="1" si="41"/>
        <v>3</v>
      </c>
      <c r="AD174" s="31">
        <f t="shared" ca="1" si="42"/>
        <v>6</v>
      </c>
      <c r="AE174" s="31">
        <f t="shared" ca="1" si="43"/>
        <v>20</v>
      </c>
      <c r="AF174" s="31">
        <f t="shared" ca="1" si="44"/>
        <v>1</v>
      </c>
      <c r="AG174" s="31">
        <f t="shared" ca="1" si="45"/>
        <v>16</v>
      </c>
      <c r="AH174" s="31">
        <f t="shared" ca="1" si="46"/>
        <v>58</v>
      </c>
      <c r="AI174" s="31">
        <f t="shared" ca="1" si="47"/>
        <v>6</v>
      </c>
      <c r="AJ174" s="31">
        <f t="shared" ca="1" si="48"/>
        <v>9</v>
      </c>
      <c r="AK174" s="31">
        <f t="shared" ca="1" si="49"/>
        <v>18</v>
      </c>
      <c r="AL174" s="31">
        <f t="shared" ca="1" si="50"/>
        <v>31</v>
      </c>
      <c r="AM174" s="31">
        <f t="shared" ca="1" si="51"/>
        <v>10</v>
      </c>
    </row>
    <row r="175" spans="1:39">
      <c r="A175" s="27"/>
      <c r="B175" s="28">
        <v>41243</v>
      </c>
      <c r="C175" s="29">
        <v>5.0590277777777777E-3</v>
      </c>
      <c r="D175" s="29">
        <v>5.5781059342081551E-3</v>
      </c>
      <c r="E175" s="29">
        <v>1.068905079657001E-2</v>
      </c>
      <c r="F175" s="29">
        <v>1.2068749608665552E-2</v>
      </c>
      <c r="G175" s="29">
        <v>2.5132234433258294E-3</v>
      </c>
      <c r="H175" s="29">
        <v>2.2799999999999997E-2</v>
      </c>
      <c r="J175" s="24">
        <v>167</v>
      </c>
      <c r="K175" s="25">
        <f t="shared" si="52"/>
        <v>6.3695373441873954E-3</v>
      </c>
      <c r="L175" s="25">
        <f t="shared" si="53"/>
        <v>33.127384959204591</v>
      </c>
      <c r="N175" s="26">
        <v>167</v>
      </c>
      <c r="O175" s="30">
        <f t="shared" ca="1" si="58"/>
        <v>26.950856147688413</v>
      </c>
      <c r="P175" s="30">
        <f t="shared" ca="1" si="58"/>
        <v>12.1778724926777</v>
      </c>
      <c r="Q175" s="30">
        <f t="shared" ca="1" si="58"/>
        <v>20.800406945601125</v>
      </c>
      <c r="R175" s="30">
        <f t="shared" ca="1" si="58"/>
        <v>0.86222726077237788</v>
      </c>
      <c r="S175" s="30">
        <f t="shared" ca="1" si="58"/>
        <v>11.471020349403604</v>
      </c>
      <c r="T175" s="30">
        <f t="shared" ca="1" si="58"/>
        <v>28.571257722321548</v>
      </c>
      <c r="U175" s="30">
        <f t="shared" ca="1" si="58"/>
        <v>28.730592359196791</v>
      </c>
      <c r="V175" s="30">
        <f t="shared" ca="1" si="58"/>
        <v>23.021271645919573</v>
      </c>
      <c r="W175" s="30">
        <f t="shared" ca="1" si="58"/>
        <v>9.7968736858547754</v>
      </c>
      <c r="X175" s="30">
        <f t="shared" ca="1" si="58"/>
        <v>23.082816461670365</v>
      </c>
      <c r="Y175" s="30">
        <f t="shared" ca="1" si="58"/>
        <v>3.0241714218993452</v>
      </c>
      <c r="Z175" s="30">
        <f t="shared" ca="1" si="58"/>
        <v>16.463634579390877</v>
      </c>
      <c r="AA175" s="26">
        <v>167</v>
      </c>
      <c r="AB175" s="31">
        <f t="shared" ca="1" si="54"/>
        <v>55</v>
      </c>
      <c r="AC175" s="31">
        <f t="shared" ca="1" si="41"/>
        <v>15</v>
      </c>
      <c r="AD175" s="31">
        <f t="shared" ca="1" si="42"/>
        <v>33</v>
      </c>
      <c r="AE175" s="31">
        <f t="shared" ca="1" si="43"/>
        <v>1</v>
      </c>
      <c r="AF175" s="31">
        <f t="shared" ca="1" si="44"/>
        <v>14</v>
      </c>
      <c r="AG175" s="31">
        <f t="shared" ca="1" si="45"/>
        <v>64</v>
      </c>
      <c r="AH175" s="31">
        <f t="shared" ca="1" si="46"/>
        <v>66</v>
      </c>
      <c r="AI175" s="31">
        <f t="shared" ca="1" si="47"/>
        <v>39</v>
      </c>
      <c r="AJ175" s="31">
        <f t="shared" ca="1" si="48"/>
        <v>12</v>
      </c>
      <c r="AK175" s="31">
        <f t="shared" ca="1" si="49"/>
        <v>39</v>
      </c>
      <c r="AL175" s="31">
        <f t="shared" ca="1" si="50"/>
        <v>4</v>
      </c>
      <c r="AM175" s="31">
        <f t="shared" ca="1" si="51"/>
        <v>23</v>
      </c>
    </row>
    <row r="176" spans="1:39">
      <c r="A176" s="27"/>
      <c r="B176" s="28">
        <v>41213</v>
      </c>
      <c r="C176" s="29">
        <v>5.2743055555555555E-3</v>
      </c>
      <c r="D176" s="29">
        <v>4.0672428594050736E-3</v>
      </c>
      <c r="E176" s="29">
        <v>-3.2120837022006077E-3</v>
      </c>
      <c r="F176" s="29">
        <v>-2.2334327705498813E-3</v>
      </c>
      <c r="G176" s="29">
        <v>3.3162974105108267E-2</v>
      </c>
      <c r="H176" s="29">
        <v>1.7399999999999999E-2</v>
      </c>
      <c r="J176" s="24">
        <v>168</v>
      </c>
      <c r="K176" s="25">
        <f t="shared" si="52"/>
        <v>6.1784512238617735E-3</v>
      </c>
      <c r="L176" s="25">
        <f t="shared" si="53"/>
        <v>33.133563410428451</v>
      </c>
      <c r="N176" s="26">
        <v>168</v>
      </c>
      <c r="O176" s="30">
        <f t="shared" ca="1" si="58"/>
        <v>26.699214831468367</v>
      </c>
      <c r="P176" s="30">
        <f t="shared" ca="1" si="58"/>
        <v>14.855577730416249</v>
      </c>
      <c r="Q176" s="30">
        <f t="shared" ca="1" si="58"/>
        <v>11.946622570198473</v>
      </c>
      <c r="R176" s="30">
        <f t="shared" ca="1" si="58"/>
        <v>8.7848724865919596</v>
      </c>
      <c r="S176" s="30">
        <f t="shared" ca="1" si="58"/>
        <v>13.586939202856755</v>
      </c>
      <c r="T176" s="30">
        <f t="shared" ca="1" si="58"/>
        <v>2.6536187034154888</v>
      </c>
      <c r="U176" s="30">
        <f t="shared" ca="1" si="58"/>
        <v>24.006781068075579</v>
      </c>
      <c r="V176" s="30">
        <f t="shared" ca="1" si="58"/>
        <v>13.079801994817149</v>
      </c>
      <c r="W176" s="30">
        <f t="shared" ca="1" si="58"/>
        <v>13.203148744209136</v>
      </c>
      <c r="X176" s="30">
        <f t="shared" ca="1" si="58"/>
        <v>11.824867136874724</v>
      </c>
      <c r="Y176" s="30">
        <f t="shared" ca="1" si="58"/>
        <v>18.018460328890896</v>
      </c>
      <c r="Z176" s="30">
        <f t="shared" ca="1" si="58"/>
        <v>23.081782952831087</v>
      </c>
      <c r="AA176" s="26">
        <v>168</v>
      </c>
      <c r="AB176" s="31">
        <f t="shared" ca="1" si="54"/>
        <v>53</v>
      </c>
      <c r="AC176" s="31">
        <f t="shared" ca="1" si="41"/>
        <v>20</v>
      </c>
      <c r="AD176" s="31">
        <f t="shared" ca="1" si="42"/>
        <v>15</v>
      </c>
      <c r="AE176" s="31">
        <f t="shared" ca="1" si="43"/>
        <v>11</v>
      </c>
      <c r="AF176" s="31">
        <f t="shared" ca="1" si="44"/>
        <v>18</v>
      </c>
      <c r="AG176" s="31">
        <f t="shared" ca="1" si="45"/>
        <v>3</v>
      </c>
      <c r="AH176" s="31">
        <f t="shared" ca="1" si="46"/>
        <v>42</v>
      </c>
      <c r="AI176" s="31">
        <f t="shared" ca="1" si="47"/>
        <v>17</v>
      </c>
      <c r="AJ176" s="31">
        <f t="shared" ca="1" si="48"/>
        <v>17</v>
      </c>
      <c r="AK176" s="31">
        <f t="shared" ca="1" si="49"/>
        <v>15</v>
      </c>
      <c r="AL176" s="31">
        <f t="shared" ca="1" si="50"/>
        <v>26</v>
      </c>
      <c r="AM176" s="31">
        <f t="shared" ca="1" si="51"/>
        <v>39</v>
      </c>
    </row>
    <row r="177" spans="1:39">
      <c r="A177" s="27"/>
      <c r="B177" s="28">
        <v>41182</v>
      </c>
      <c r="C177" s="29">
        <v>5.0520833333333329E-3</v>
      </c>
      <c r="D177" s="29">
        <v>5.4469425892251788E-3</v>
      </c>
      <c r="E177" s="29">
        <v>8.3022623862487599E-3</v>
      </c>
      <c r="F177" s="29">
        <v>7.3315397806830163E-3</v>
      </c>
      <c r="G177" s="29">
        <v>2.3227378440675572E-2</v>
      </c>
      <c r="H177" s="29">
        <v>5.6999999999999993E-3</v>
      </c>
      <c r="J177" s="24">
        <v>169</v>
      </c>
      <c r="K177" s="25">
        <f t="shared" si="52"/>
        <v>5.9930976871459202E-3</v>
      </c>
      <c r="L177" s="25">
        <f t="shared" si="53"/>
        <v>33.139556508115597</v>
      </c>
      <c r="N177" s="26">
        <v>169</v>
      </c>
      <c r="O177" s="30">
        <f t="shared" ca="1" si="58"/>
        <v>14.728571788059936</v>
      </c>
      <c r="P177" s="30">
        <f t="shared" ca="1" si="58"/>
        <v>22.167407682761777</v>
      </c>
      <c r="Q177" s="30">
        <f t="shared" ca="1" si="58"/>
        <v>10.892418427092348</v>
      </c>
      <c r="R177" s="30">
        <f t="shared" ca="1" si="58"/>
        <v>0.68444280669863611</v>
      </c>
      <c r="S177" s="30">
        <f t="shared" ca="1" si="58"/>
        <v>26.872742714143921</v>
      </c>
      <c r="T177" s="30">
        <f t="shared" ca="1" si="58"/>
        <v>8.6444095749900765</v>
      </c>
      <c r="U177" s="30">
        <f t="shared" ca="1" si="58"/>
        <v>16.94122429904526</v>
      </c>
      <c r="V177" s="30">
        <f t="shared" ca="1" si="58"/>
        <v>17.548603819320817</v>
      </c>
      <c r="W177" s="30">
        <f t="shared" ca="1" si="58"/>
        <v>16.653050558359059</v>
      </c>
      <c r="X177" s="30">
        <f t="shared" ca="1" si="58"/>
        <v>7.4811167792335596</v>
      </c>
      <c r="Y177" s="30">
        <f t="shared" ca="1" si="58"/>
        <v>27.808642284972468</v>
      </c>
      <c r="Z177" s="30">
        <f t="shared" ca="1" si="58"/>
        <v>23.460608441626299</v>
      </c>
      <c r="AA177" s="26">
        <v>169</v>
      </c>
      <c r="AB177" s="31">
        <f t="shared" ca="1" si="54"/>
        <v>20</v>
      </c>
      <c r="AC177" s="31">
        <f t="shared" ca="1" si="41"/>
        <v>36</v>
      </c>
      <c r="AD177" s="31">
        <f t="shared" ca="1" si="42"/>
        <v>13</v>
      </c>
      <c r="AE177" s="31">
        <f t="shared" ca="1" si="43"/>
        <v>1</v>
      </c>
      <c r="AF177" s="31">
        <f t="shared" ca="1" si="44"/>
        <v>54</v>
      </c>
      <c r="AG177" s="31">
        <f t="shared" ca="1" si="45"/>
        <v>10</v>
      </c>
      <c r="AH177" s="31">
        <f t="shared" ca="1" si="46"/>
        <v>24</v>
      </c>
      <c r="AI177" s="31">
        <f t="shared" ca="1" si="47"/>
        <v>25</v>
      </c>
      <c r="AJ177" s="31">
        <f t="shared" ca="1" si="48"/>
        <v>23</v>
      </c>
      <c r="AK177" s="31">
        <f t="shared" ca="1" si="49"/>
        <v>9</v>
      </c>
      <c r="AL177" s="31">
        <f t="shared" ca="1" si="50"/>
        <v>60</v>
      </c>
      <c r="AM177" s="31">
        <f t="shared" ca="1" si="51"/>
        <v>40</v>
      </c>
    </row>
    <row r="178" spans="1:39">
      <c r="A178" s="27"/>
      <c r="B178" s="28">
        <v>41152</v>
      </c>
      <c r="C178" s="29">
        <v>5.557291666666667E-3</v>
      </c>
      <c r="D178" s="29">
        <v>1.7088844947497517E-2</v>
      </c>
      <c r="E178" s="29">
        <v>4.0975585688559191E-2</v>
      </c>
      <c r="F178" s="29">
        <v>3.8697236612030839E-2</v>
      </c>
      <c r="G178" s="29">
        <v>3.9966849333603838E-2</v>
      </c>
      <c r="H178" s="29">
        <v>9.0000000000000011E-3</v>
      </c>
      <c r="J178" s="24">
        <v>170</v>
      </c>
      <c r="K178" s="25">
        <f t="shared" si="52"/>
        <v>5.8133047565315423E-3</v>
      </c>
      <c r="L178" s="25">
        <f t="shared" si="53"/>
        <v>33.145369812872126</v>
      </c>
      <c r="N178" s="26">
        <v>170</v>
      </c>
      <c r="O178" s="30">
        <f t="shared" ca="1" si="58"/>
        <v>17.041286896890483</v>
      </c>
      <c r="P178" s="30">
        <f t="shared" ca="1" si="58"/>
        <v>2.9873306577641259</v>
      </c>
      <c r="Q178" s="30">
        <f t="shared" ca="1" si="58"/>
        <v>27.006214337151473</v>
      </c>
      <c r="R178" s="30">
        <f t="shared" ca="1" si="58"/>
        <v>23.048377313973322</v>
      </c>
      <c r="S178" s="30">
        <f t="shared" ca="1" si="58"/>
        <v>18.784283579279897</v>
      </c>
      <c r="T178" s="30">
        <f t="shared" ca="1" si="58"/>
        <v>12.621360600444554</v>
      </c>
      <c r="U178" s="30">
        <f t="shared" ca="1" si="58"/>
        <v>15.959157965264732</v>
      </c>
      <c r="V178" s="30">
        <f t="shared" ca="1" si="58"/>
        <v>19.118342748262073</v>
      </c>
      <c r="W178" s="30">
        <f t="shared" ca="1" si="58"/>
        <v>29.887013891594215</v>
      </c>
      <c r="X178" s="30">
        <f t="shared" ca="1" si="58"/>
        <v>19.662345127725885</v>
      </c>
      <c r="Y178" s="30">
        <f t="shared" ca="1" si="58"/>
        <v>10.200406962735741</v>
      </c>
      <c r="Z178" s="30">
        <f t="shared" ca="1" si="58"/>
        <v>14.18197754089252</v>
      </c>
      <c r="AA178" s="26">
        <v>170</v>
      </c>
      <c r="AB178" s="31">
        <f t="shared" ca="1" si="54"/>
        <v>24</v>
      </c>
      <c r="AC178" s="31">
        <f t="shared" ca="1" si="41"/>
        <v>4</v>
      </c>
      <c r="AD178" s="31">
        <f t="shared" ca="1" si="42"/>
        <v>55</v>
      </c>
      <c r="AE178" s="31">
        <f t="shared" ca="1" si="43"/>
        <v>39</v>
      </c>
      <c r="AF178" s="31">
        <f t="shared" ca="1" si="44"/>
        <v>28</v>
      </c>
      <c r="AG178" s="31">
        <f t="shared" ca="1" si="45"/>
        <v>16</v>
      </c>
      <c r="AH178" s="31">
        <f t="shared" ca="1" si="46"/>
        <v>22</v>
      </c>
      <c r="AI178" s="31">
        <f t="shared" ca="1" si="47"/>
        <v>28</v>
      </c>
      <c r="AJ178" s="31">
        <f t="shared" ca="1" si="48"/>
        <v>75</v>
      </c>
      <c r="AK178" s="31">
        <f t="shared" ca="1" si="49"/>
        <v>30</v>
      </c>
      <c r="AL178" s="31">
        <f t="shared" ca="1" si="50"/>
        <v>12</v>
      </c>
      <c r="AM178" s="31">
        <f t="shared" ca="1" si="51"/>
        <v>19</v>
      </c>
    </row>
    <row r="179" spans="1:39">
      <c r="A179" s="27"/>
      <c r="B179" s="28">
        <v>41121</v>
      </c>
      <c r="C179" s="29">
        <v>4.7638888888888887E-3</v>
      </c>
      <c r="D179" s="29">
        <v>8.5703724716541529E-3</v>
      </c>
      <c r="E179" s="29">
        <v>1.2657279184604686E-2</v>
      </c>
      <c r="F179" s="29">
        <v>1.3968516984258494E-2</v>
      </c>
      <c r="G179" s="29">
        <v>2.9447891604406751E-2</v>
      </c>
      <c r="H179" s="29">
        <v>1.4800000000000001E-2</v>
      </c>
      <c r="J179" s="24">
        <v>171</v>
      </c>
      <c r="K179" s="25">
        <f t="shared" si="52"/>
        <v>5.6389056138355957E-3</v>
      </c>
      <c r="L179" s="25">
        <f t="shared" si="53"/>
        <v>33.151008718485961</v>
      </c>
      <c r="N179" s="26">
        <v>171</v>
      </c>
      <c r="O179" s="30">
        <f t="shared" ref="O179:Z188" ca="1" si="59">RAND()*sumweights</f>
        <v>23.114505617848614</v>
      </c>
      <c r="P179" s="30">
        <f t="shared" ca="1" si="59"/>
        <v>21.963100347914999</v>
      </c>
      <c r="Q179" s="30">
        <f t="shared" ca="1" si="59"/>
        <v>25.404466231077873</v>
      </c>
      <c r="R179" s="30">
        <f t="shared" ca="1" si="59"/>
        <v>23.778427117201222</v>
      </c>
      <c r="S179" s="30">
        <f t="shared" ca="1" si="59"/>
        <v>14.150033816003297</v>
      </c>
      <c r="T179" s="30">
        <f t="shared" ca="1" si="59"/>
        <v>15.109252486156549</v>
      </c>
      <c r="U179" s="30">
        <f t="shared" ca="1" si="59"/>
        <v>27.863390821121591</v>
      </c>
      <c r="V179" s="30">
        <f t="shared" ca="1" si="59"/>
        <v>27.946338488685516</v>
      </c>
      <c r="W179" s="30">
        <f t="shared" ca="1" si="59"/>
        <v>20.920915348087611</v>
      </c>
      <c r="X179" s="30">
        <f t="shared" ca="1" si="59"/>
        <v>9.6676068889395594</v>
      </c>
      <c r="Y179" s="30">
        <f t="shared" ca="1" si="59"/>
        <v>18.964869675123143</v>
      </c>
      <c r="Z179" s="30">
        <f t="shared" ca="1" si="59"/>
        <v>24.989784952689583</v>
      </c>
      <c r="AA179" s="26">
        <v>171</v>
      </c>
      <c r="AB179" s="31">
        <f t="shared" ca="1" si="54"/>
        <v>39</v>
      </c>
      <c r="AC179" s="31">
        <f t="shared" ca="1" si="41"/>
        <v>36</v>
      </c>
      <c r="AD179" s="31">
        <f t="shared" ca="1" si="42"/>
        <v>48</v>
      </c>
      <c r="AE179" s="31">
        <f t="shared" ca="1" si="43"/>
        <v>42</v>
      </c>
      <c r="AF179" s="31">
        <f t="shared" ca="1" si="44"/>
        <v>19</v>
      </c>
      <c r="AG179" s="31">
        <f t="shared" ca="1" si="45"/>
        <v>20</v>
      </c>
      <c r="AH179" s="31">
        <f t="shared" ca="1" si="46"/>
        <v>60</v>
      </c>
      <c r="AI179" s="31">
        <f t="shared" ca="1" si="47"/>
        <v>60</v>
      </c>
      <c r="AJ179" s="31">
        <f t="shared" ca="1" si="48"/>
        <v>33</v>
      </c>
      <c r="AK179" s="31">
        <f t="shared" ca="1" si="49"/>
        <v>12</v>
      </c>
      <c r="AL179" s="31">
        <f t="shared" ca="1" si="50"/>
        <v>28</v>
      </c>
      <c r="AM179" s="31">
        <f t="shared" ca="1" si="51"/>
        <v>46</v>
      </c>
    </row>
    <row r="180" spans="1:39">
      <c r="A180" s="27"/>
      <c r="B180" s="28">
        <v>41090</v>
      </c>
      <c r="C180" s="29">
        <v>5.2743055555555555E-3</v>
      </c>
      <c r="D180" s="29">
        <v>5.4711403827205629E-3</v>
      </c>
      <c r="E180" s="29">
        <v>5.8126387202144247E-3</v>
      </c>
      <c r="F180" s="29">
        <v>6.1351738854988902E-3</v>
      </c>
      <c r="G180" s="29">
        <v>2.9506903738757861E-2</v>
      </c>
      <c r="H180" s="29">
        <v>1.43E-2</v>
      </c>
      <c r="J180" s="24">
        <v>172</v>
      </c>
      <c r="K180" s="25">
        <f t="shared" si="52"/>
        <v>5.4697384454205277E-3</v>
      </c>
      <c r="L180" s="25">
        <f t="shared" si="53"/>
        <v>33.156478456931382</v>
      </c>
      <c r="N180" s="26">
        <v>172</v>
      </c>
      <c r="O180" s="30">
        <f t="shared" ca="1" si="59"/>
        <v>8.2804591260347404</v>
      </c>
      <c r="P180" s="30">
        <f t="shared" ca="1" si="59"/>
        <v>2.2996769761140214</v>
      </c>
      <c r="Q180" s="30">
        <f t="shared" ca="1" si="59"/>
        <v>2.2468343852679649</v>
      </c>
      <c r="R180" s="30">
        <f t="shared" ca="1" si="59"/>
        <v>29.594404436225826</v>
      </c>
      <c r="S180" s="30">
        <f t="shared" ca="1" si="59"/>
        <v>8.9230185434684</v>
      </c>
      <c r="T180" s="30">
        <f t="shared" ca="1" si="59"/>
        <v>19.167540035260757</v>
      </c>
      <c r="U180" s="30">
        <f t="shared" ca="1" si="59"/>
        <v>16.553354758518857</v>
      </c>
      <c r="V180" s="30">
        <f t="shared" ca="1" si="59"/>
        <v>13.687456368371214</v>
      </c>
      <c r="W180" s="30">
        <f t="shared" ca="1" si="59"/>
        <v>3.2894002515925167</v>
      </c>
      <c r="X180" s="30">
        <f t="shared" ca="1" si="59"/>
        <v>25.860046153466062</v>
      </c>
      <c r="Y180" s="30">
        <f t="shared" ca="1" si="59"/>
        <v>18.083711028300126</v>
      </c>
      <c r="Z180" s="30">
        <f t="shared" ca="1" si="59"/>
        <v>3.4143477716414417</v>
      </c>
      <c r="AA180" s="26">
        <v>172</v>
      </c>
      <c r="AB180" s="31">
        <f t="shared" ca="1" si="54"/>
        <v>10</v>
      </c>
      <c r="AC180" s="31">
        <f t="shared" ca="1" si="41"/>
        <v>3</v>
      </c>
      <c r="AD180" s="31">
        <f t="shared" ca="1" si="42"/>
        <v>3</v>
      </c>
      <c r="AE180" s="31">
        <f t="shared" ca="1" si="43"/>
        <v>72</v>
      </c>
      <c r="AF180" s="31">
        <f t="shared" ca="1" si="44"/>
        <v>11</v>
      </c>
      <c r="AG180" s="31">
        <f t="shared" ca="1" si="45"/>
        <v>29</v>
      </c>
      <c r="AH180" s="31">
        <f t="shared" ca="1" si="46"/>
        <v>23</v>
      </c>
      <c r="AI180" s="31">
        <f t="shared" ca="1" si="47"/>
        <v>18</v>
      </c>
      <c r="AJ180" s="31">
        <f t="shared" ca="1" si="48"/>
        <v>4</v>
      </c>
      <c r="AK180" s="31">
        <f t="shared" ca="1" si="49"/>
        <v>50</v>
      </c>
      <c r="AL180" s="31">
        <f t="shared" ca="1" si="50"/>
        <v>26</v>
      </c>
      <c r="AM180" s="31">
        <f t="shared" ca="1" si="51"/>
        <v>4</v>
      </c>
    </row>
    <row r="181" spans="1:39">
      <c r="A181" s="27"/>
      <c r="B181" s="28">
        <v>41060</v>
      </c>
      <c r="C181" s="29">
        <v>4.7395833333333335E-3</v>
      </c>
      <c r="D181" s="29">
        <v>1.3641022945304337E-2</v>
      </c>
      <c r="E181" s="29">
        <v>2.1264402227373358E-2</v>
      </c>
      <c r="F181" s="29">
        <v>2.3775794091041025E-2</v>
      </c>
      <c r="G181" s="29">
        <v>3.8971615295402495E-2</v>
      </c>
      <c r="H181" s="29">
        <v>-8.9999999999999998E-4</v>
      </c>
      <c r="J181" s="24">
        <v>173</v>
      </c>
      <c r="K181" s="25">
        <f t="shared" si="52"/>
        <v>5.3056462920579115E-3</v>
      </c>
      <c r="L181" s="25">
        <f t="shared" si="53"/>
        <v>33.16178410322344</v>
      </c>
      <c r="N181" s="26">
        <v>173</v>
      </c>
      <c r="O181" s="30">
        <f t="shared" ca="1" si="59"/>
        <v>0.6186009943952655</v>
      </c>
      <c r="P181" s="30">
        <f t="shared" ca="1" si="59"/>
        <v>19.020223508911855</v>
      </c>
      <c r="Q181" s="30">
        <f t="shared" ca="1" si="59"/>
        <v>0.83226789407127655</v>
      </c>
      <c r="R181" s="30">
        <f t="shared" ca="1" si="59"/>
        <v>28.313883993845216</v>
      </c>
      <c r="S181" s="30">
        <f t="shared" ca="1" si="59"/>
        <v>8.8502424817944263</v>
      </c>
      <c r="T181" s="30">
        <f t="shared" ca="1" si="59"/>
        <v>29.37228167713252</v>
      </c>
      <c r="U181" s="30">
        <f t="shared" ca="1" si="59"/>
        <v>5.3311073311883321</v>
      </c>
      <c r="V181" s="30">
        <f t="shared" ca="1" si="59"/>
        <v>8.1137261566067451</v>
      </c>
      <c r="W181" s="30">
        <f t="shared" ca="1" si="59"/>
        <v>29.650001471009496</v>
      </c>
      <c r="X181" s="30">
        <f t="shared" ca="1" si="59"/>
        <v>13.931519713504521</v>
      </c>
      <c r="Y181" s="30">
        <f t="shared" ca="1" si="59"/>
        <v>28.047655906613329</v>
      </c>
      <c r="Z181" s="30">
        <f t="shared" ca="1" si="59"/>
        <v>15.831176754809238</v>
      </c>
      <c r="AA181" s="26">
        <v>173</v>
      </c>
      <c r="AB181" s="31">
        <f t="shared" ca="1" si="54"/>
        <v>1</v>
      </c>
      <c r="AC181" s="31">
        <f t="shared" ca="1" si="41"/>
        <v>28</v>
      </c>
      <c r="AD181" s="31">
        <f t="shared" ca="1" si="42"/>
        <v>1</v>
      </c>
      <c r="AE181" s="31">
        <f t="shared" ca="1" si="43"/>
        <v>63</v>
      </c>
      <c r="AF181" s="31">
        <f t="shared" ca="1" si="44"/>
        <v>11</v>
      </c>
      <c r="AG181" s="31">
        <f t="shared" ca="1" si="45"/>
        <v>70</v>
      </c>
      <c r="AH181" s="31">
        <f t="shared" ca="1" si="46"/>
        <v>6</v>
      </c>
      <c r="AI181" s="31">
        <f t="shared" ca="1" si="47"/>
        <v>10</v>
      </c>
      <c r="AJ181" s="31">
        <f t="shared" ca="1" si="48"/>
        <v>73</v>
      </c>
      <c r="AK181" s="31">
        <f t="shared" ca="1" si="49"/>
        <v>18</v>
      </c>
      <c r="AL181" s="31">
        <f t="shared" ca="1" si="50"/>
        <v>61</v>
      </c>
      <c r="AM181" s="31">
        <f t="shared" ca="1" si="51"/>
        <v>22</v>
      </c>
    </row>
    <row r="182" spans="1:39">
      <c r="A182" s="27"/>
      <c r="B182" s="28">
        <v>41029</v>
      </c>
      <c r="C182" s="29">
        <v>5.3333333333333332E-3</v>
      </c>
      <c r="D182" s="29">
        <v>1.4190005686664842E-2</v>
      </c>
      <c r="E182" s="29">
        <v>1.954337740258838E-2</v>
      </c>
      <c r="F182" s="29">
        <v>1.9790433753394066E-2</v>
      </c>
      <c r="G182" s="29">
        <v>2.5933420762369597E-2</v>
      </c>
      <c r="H182" s="29">
        <v>-1.26E-2</v>
      </c>
      <c r="J182" s="24">
        <v>174</v>
      </c>
      <c r="K182" s="25">
        <f t="shared" si="52"/>
        <v>5.1464769032961736E-3</v>
      </c>
      <c r="L182" s="25">
        <f t="shared" si="53"/>
        <v>33.166930580126738</v>
      </c>
      <c r="N182" s="26">
        <v>174</v>
      </c>
      <c r="O182" s="30">
        <f t="shared" ca="1" si="59"/>
        <v>8.0033903403203404</v>
      </c>
      <c r="P182" s="30">
        <f t="shared" ca="1" si="59"/>
        <v>18.370923673897625</v>
      </c>
      <c r="Q182" s="30">
        <f t="shared" ca="1" si="59"/>
        <v>20.807748963158918</v>
      </c>
      <c r="R182" s="30">
        <f t="shared" ca="1" si="59"/>
        <v>13.70581822986148</v>
      </c>
      <c r="S182" s="30">
        <f t="shared" ca="1" si="59"/>
        <v>18.81195978327904</v>
      </c>
      <c r="T182" s="30">
        <f t="shared" ca="1" si="59"/>
        <v>28.562489171411624</v>
      </c>
      <c r="U182" s="30">
        <f t="shared" ca="1" si="59"/>
        <v>12.41015774664573</v>
      </c>
      <c r="V182" s="30">
        <f t="shared" ca="1" si="59"/>
        <v>29.154095398907938</v>
      </c>
      <c r="W182" s="30">
        <f t="shared" ca="1" si="59"/>
        <v>27.679513524779374</v>
      </c>
      <c r="X182" s="30">
        <f t="shared" ca="1" si="59"/>
        <v>29.059286588785636</v>
      </c>
      <c r="Y182" s="30">
        <f t="shared" ca="1" si="59"/>
        <v>19.988571397847192</v>
      </c>
      <c r="Z182" s="30">
        <f t="shared" ca="1" si="59"/>
        <v>23.960066279605623</v>
      </c>
      <c r="AA182" s="26">
        <v>174</v>
      </c>
      <c r="AB182" s="31">
        <f t="shared" ca="1" si="54"/>
        <v>10</v>
      </c>
      <c r="AC182" s="31">
        <f t="shared" ca="1" si="41"/>
        <v>27</v>
      </c>
      <c r="AD182" s="31">
        <f t="shared" ca="1" si="42"/>
        <v>33</v>
      </c>
      <c r="AE182" s="31">
        <f t="shared" ca="1" si="43"/>
        <v>18</v>
      </c>
      <c r="AF182" s="31">
        <f t="shared" ca="1" si="44"/>
        <v>28</v>
      </c>
      <c r="AG182" s="31">
        <f t="shared" ca="1" si="45"/>
        <v>64</v>
      </c>
      <c r="AH182" s="31">
        <f t="shared" ca="1" si="46"/>
        <v>16</v>
      </c>
      <c r="AI182" s="31">
        <f t="shared" ca="1" si="47"/>
        <v>69</v>
      </c>
      <c r="AJ182" s="31">
        <f t="shared" ca="1" si="48"/>
        <v>59</v>
      </c>
      <c r="AK182" s="31">
        <f t="shared" ca="1" si="49"/>
        <v>68</v>
      </c>
      <c r="AL182" s="31">
        <f t="shared" ca="1" si="50"/>
        <v>31</v>
      </c>
      <c r="AM182" s="31">
        <f t="shared" ca="1" si="51"/>
        <v>42</v>
      </c>
    </row>
    <row r="183" spans="1:39">
      <c r="A183" s="27"/>
      <c r="B183" s="28">
        <v>40999</v>
      </c>
      <c r="C183" s="29">
        <v>5.0520833333333329E-3</v>
      </c>
      <c r="D183" s="29">
        <v>2.0656741933187117E-3</v>
      </c>
      <c r="E183" s="29">
        <v>6.9284064665127154E-3</v>
      </c>
      <c r="F183" s="29">
        <v>6.9052543026393298E-3</v>
      </c>
      <c r="G183" s="29">
        <v>1.4833682948756532E-2</v>
      </c>
      <c r="H183" s="29">
        <v>-4.8999999999999998E-3</v>
      </c>
      <c r="J183" s="24">
        <v>175</v>
      </c>
      <c r="K183" s="25">
        <f t="shared" si="52"/>
        <v>4.9920825961972887E-3</v>
      </c>
      <c r="L183" s="25">
        <f t="shared" si="53"/>
        <v>33.171922662722935</v>
      </c>
      <c r="N183" s="26">
        <v>175</v>
      </c>
      <c r="O183" s="30">
        <f t="shared" ca="1" si="59"/>
        <v>33.055091227093378</v>
      </c>
      <c r="P183" s="30">
        <f t="shared" ca="1" si="59"/>
        <v>7.7867686872925592</v>
      </c>
      <c r="Q183" s="30">
        <f t="shared" ca="1" si="59"/>
        <v>6.9399073740741599</v>
      </c>
      <c r="R183" s="30">
        <f t="shared" ca="1" si="59"/>
        <v>5.7174613116078454</v>
      </c>
      <c r="S183" s="30">
        <f t="shared" ca="1" si="59"/>
        <v>31.519069950627102</v>
      </c>
      <c r="T183" s="30">
        <f t="shared" ca="1" si="59"/>
        <v>0.21240896832856743</v>
      </c>
      <c r="U183" s="30">
        <f t="shared" ca="1" si="59"/>
        <v>2.4597452264666875</v>
      </c>
      <c r="V183" s="30">
        <f t="shared" ca="1" si="59"/>
        <v>6.8756810570506346</v>
      </c>
      <c r="W183" s="30">
        <f t="shared" ca="1" si="59"/>
        <v>8.3380557700332076</v>
      </c>
      <c r="X183" s="30">
        <f t="shared" ca="1" si="59"/>
        <v>21.156026622605825</v>
      </c>
      <c r="Y183" s="30">
        <f t="shared" ca="1" si="59"/>
        <v>32.308415660604538</v>
      </c>
      <c r="Z183" s="30">
        <f t="shared" ca="1" si="59"/>
        <v>22.624956681487689</v>
      </c>
      <c r="AA183" s="26">
        <v>175</v>
      </c>
      <c r="AB183" s="31">
        <f t="shared" ca="1" si="54"/>
        <v>158</v>
      </c>
      <c r="AC183" s="31">
        <f t="shared" ca="1" si="41"/>
        <v>9</v>
      </c>
      <c r="AD183" s="31">
        <f t="shared" ca="1" si="42"/>
        <v>8</v>
      </c>
      <c r="AE183" s="31">
        <f t="shared" ca="1" si="43"/>
        <v>7</v>
      </c>
      <c r="AF183" s="31">
        <f t="shared" ca="1" si="44"/>
        <v>96</v>
      </c>
      <c r="AG183" s="31">
        <f t="shared" ca="1" si="45"/>
        <v>1</v>
      </c>
      <c r="AH183" s="31">
        <f t="shared" ca="1" si="46"/>
        <v>3</v>
      </c>
      <c r="AI183" s="31">
        <f t="shared" ca="1" si="47"/>
        <v>8</v>
      </c>
      <c r="AJ183" s="31">
        <f t="shared" ca="1" si="48"/>
        <v>10</v>
      </c>
      <c r="AK183" s="31">
        <f t="shared" ca="1" si="49"/>
        <v>34</v>
      </c>
      <c r="AL183" s="31">
        <f t="shared" ca="1" si="50"/>
        <v>115</v>
      </c>
      <c r="AM183" s="31">
        <f t="shared" ca="1" si="51"/>
        <v>38</v>
      </c>
    </row>
    <row r="184" spans="1:39">
      <c r="A184" s="27"/>
      <c r="B184" s="28">
        <v>40968</v>
      </c>
      <c r="C184" s="29">
        <v>4.2187500000000003E-3</v>
      </c>
      <c r="D184" s="29">
        <v>-4.2732769473553534E-3</v>
      </c>
      <c r="E184" s="29">
        <v>-1.6744104497237178E-3</v>
      </c>
      <c r="F184" s="29">
        <v>-2.2208621141907026E-3</v>
      </c>
      <c r="G184" s="29">
        <v>-3.6419009700525473E-2</v>
      </c>
      <c r="H184" s="29">
        <v>-1.01E-2</v>
      </c>
      <c r="J184" s="24">
        <v>176</v>
      </c>
      <c r="K184" s="25">
        <f t="shared" si="52"/>
        <v>4.84232011831137E-3</v>
      </c>
      <c r="L184" s="25">
        <f t="shared" si="53"/>
        <v>33.176764982841249</v>
      </c>
      <c r="N184" s="26">
        <v>176</v>
      </c>
      <c r="O184" s="30">
        <f t="shared" ca="1" si="59"/>
        <v>16.794555052461217</v>
      </c>
      <c r="P184" s="30">
        <f t="shared" ca="1" si="59"/>
        <v>13.524373871525031</v>
      </c>
      <c r="Q184" s="30">
        <f t="shared" ca="1" si="59"/>
        <v>1.7041832670655246</v>
      </c>
      <c r="R184" s="30">
        <f t="shared" ca="1" si="59"/>
        <v>31.154315913881842</v>
      </c>
      <c r="S184" s="30">
        <f t="shared" ca="1" si="59"/>
        <v>22.723030406721538</v>
      </c>
      <c r="T184" s="30">
        <f t="shared" ca="1" si="59"/>
        <v>27.291415340311154</v>
      </c>
      <c r="U184" s="30">
        <f t="shared" ca="1" si="59"/>
        <v>10.01138814241677</v>
      </c>
      <c r="V184" s="30">
        <f t="shared" ca="1" si="59"/>
        <v>14.067592126885534</v>
      </c>
      <c r="W184" s="30">
        <f t="shared" ca="1" si="59"/>
        <v>9.1281586002668504</v>
      </c>
      <c r="X184" s="30">
        <f t="shared" ca="1" si="59"/>
        <v>0.2394340564966714</v>
      </c>
      <c r="Y184" s="30">
        <f t="shared" ca="1" si="59"/>
        <v>22.86382117016749</v>
      </c>
      <c r="Z184" s="30">
        <f t="shared" ca="1" si="59"/>
        <v>24.244151095110311</v>
      </c>
      <c r="AA184" s="26">
        <v>176</v>
      </c>
      <c r="AB184" s="31">
        <f t="shared" ca="1" si="54"/>
        <v>24</v>
      </c>
      <c r="AC184" s="31">
        <f t="shared" ca="1" si="41"/>
        <v>18</v>
      </c>
      <c r="AD184" s="31">
        <f t="shared" ca="1" si="42"/>
        <v>2</v>
      </c>
      <c r="AE184" s="31">
        <f t="shared" ca="1" si="43"/>
        <v>90</v>
      </c>
      <c r="AF184" s="31">
        <f t="shared" ca="1" si="44"/>
        <v>38</v>
      </c>
      <c r="AG184" s="31">
        <f t="shared" ca="1" si="45"/>
        <v>57</v>
      </c>
      <c r="AH184" s="31">
        <f t="shared" ca="1" si="46"/>
        <v>12</v>
      </c>
      <c r="AI184" s="31">
        <f t="shared" ca="1" si="47"/>
        <v>18</v>
      </c>
      <c r="AJ184" s="31">
        <f t="shared" ca="1" si="48"/>
        <v>11</v>
      </c>
      <c r="AK184" s="31">
        <f t="shared" ca="1" si="49"/>
        <v>1</v>
      </c>
      <c r="AL184" s="31">
        <f t="shared" ca="1" si="50"/>
        <v>39</v>
      </c>
      <c r="AM184" s="31">
        <f t="shared" ca="1" si="51"/>
        <v>43</v>
      </c>
    </row>
    <row r="185" spans="1:39">
      <c r="A185" s="27"/>
      <c r="B185" s="28">
        <v>40939</v>
      </c>
      <c r="C185" s="29">
        <v>4.3593750000000004E-3</v>
      </c>
      <c r="D185" s="29">
        <v>2.3104128530042622E-3</v>
      </c>
      <c r="E185" s="29">
        <v>-1.1296070893791477E-3</v>
      </c>
      <c r="F185" s="29">
        <v>-8.9104759242430998E-4</v>
      </c>
      <c r="G185" s="29">
        <v>2.2466329162288634E-2</v>
      </c>
      <c r="H185" s="29">
        <v>-9.4999999999999998E-3</v>
      </c>
      <c r="J185" s="24">
        <v>177</v>
      </c>
      <c r="K185" s="25">
        <f t="shared" si="52"/>
        <v>4.6970505147620285E-3</v>
      </c>
      <c r="L185" s="25">
        <f t="shared" si="53"/>
        <v>33.181462033356013</v>
      </c>
      <c r="N185" s="26">
        <v>177</v>
      </c>
      <c r="O185" s="30">
        <f t="shared" ca="1" si="59"/>
        <v>15.600490005405172</v>
      </c>
      <c r="P185" s="30">
        <f t="shared" ca="1" si="59"/>
        <v>11.718113930079866</v>
      </c>
      <c r="Q185" s="30">
        <f t="shared" ca="1" si="59"/>
        <v>28.034817847526678</v>
      </c>
      <c r="R185" s="30">
        <f t="shared" ca="1" si="59"/>
        <v>13.543628665823652</v>
      </c>
      <c r="S185" s="30">
        <f t="shared" ca="1" si="59"/>
        <v>0.71312094021085126</v>
      </c>
      <c r="T185" s="30">
        <f t="shared" ca="1" si="59"/>
        <v>12.61808258035636</v>
      </c>
      <c r="U185" s="30">
        <f t="shared" ca="1" si="59"/>
        <v>25.164183744922447</v>
      </c>
      <c r="V185" s="30">
        <f t="shared" ca="1" si="59"/>
        <v>8.0781060614938252</v>
      </c>
      <c r="W185" s="30">
        <f t="shared" ca="1" si="59"/>
        <v>1.226020422429569</v>
      </c>
      <c r="X185" s="30">
        <f t="shared" ca="1" si="59"/>
        <v>14.578373778588572</v>
      </c>
      <c r="Y185" s="30">
        <f t="shared" ca="1" si="59"/>
        <v>25.321457891678929</v>
      </c>
      <c r="Z185" s="30">
        <f t="shared" ca="1" si="59"/>
        <v>0.97865656490106201</v>
      </c>
      <c r="AA185" s="26">
        <v>177</v>
      </c>
      <c r="AB185" s="31">
        <f t="shared" ca="1" si="54"/>
        <v>21</v>
      </c>
      <c r="AC185" s="31">
        <f t="shared" ca="1" si="41"/>
        <v>15</v>
      </c>
      <c r="AD185" s="31">
        <f t="shared" ca="1" si="42"/>
        <v>61</v>
      </c>
      <c r="AE185" s="31">
        <f t="shared" ca="1" si="43"/>
        <v>18</v>
      </c>
      <c r="AF185" s="31">
        <f t="shared" ca="1" si="44"/>
        <v>1</v>
      </c>
      <c r="AG185" s="31">
        <f t="shared" ca="1" si="45"/>
        <v>16</v>
      </c>
      <c r="AH185" s="31">
        <f t="shared" ca="1" si="46"/>
        <v>47</v>
      </c>
      <c r="AI185" s="31">
        <f t="shared" ca="1" si="47"/>
        <v>10</v>
      </c>
      <c r="AJ185" s="31">
        <f t="shared" ca="1" si="48"/>
        <v>2</v>
      </c>
      <c r="AK185" s="31">
        <f t="shared" ca="1" si="49"/>
        <v>19</v>
      </c>
      <c r="AL185" s="31">
        <f t="shared" ca="1" si="50"/>
        <v>47</v>
      </c>
      <c r="AM185" s="31">
        <f t="shared" ca="1" si="51"/>
        <v>1</v>
      </c>
    </row>
    <row r="186" spans="1:39">
      <c r="A186" s="27"/>
      <c r="B186" s="28">
        <v>40908</v>
      </c>
      <c r="C186" s="29">
        <v>4.0625000000000001E-3</v>
      </c>
      <c r="D186" s="29">
        <v>-2.4112192613867656E-3</v>
      </c>
      <c r="E186" s="29">
        <v>-1.3834077425929014E-2</v>
      </c>
      <c r="F186" s="29">
        <v>-1.4718286825842086E-2</v>
      </c>
      <c r="G186" s="29">
        <v>-2.4453262129211062E-2</v>
      </c>
      <c r="H186" s="29">
        <v>7.8000000000000005E-3</v>
      </c>
      <c r="J186" s="24">
        <v>178</v>
      </c>
      <c r="K186" s="25">
        <f t="shared" si="52"/>
        <v>4.5561389993191677E-3</v>
      </c>
      <c r="L186" s="25">
        <f t="shared" si="53"/>
        <v>33.186018172355332</v>
      </c>
      <c r="N186" s="26">
        <v>178</v>
      </c>
      <c r="O186" s="30">
        <f t="shared" ca="1" si="59"/>
        <v>1.367300580648535</v>
      </c>
      <c r="P186" s="30">
        <f t="shared" ca="1" si="59"/>
        <v>4.9627995587138463</v>
      </c>
      <c r="Q186" s="30">
        <f t="shared" ca="1" si="59"/>
        <v>9.7218060853395905</v>
      </c>
      <c r="R186" s="30">
        <f t="shared" ca="1" si="59"/>
        <v>29.795857035752757</v>
      </c>
      <c r="S186" s="30">
        <f t="shared" ca="1" si="59"/>
        <v>11.693567216955266</v>
      </c>
      <c r="T186" s="30">
        <f t="shared" ca="1" si="59"/>
        <v>14.737405195479163</v>
      </c>
      <c r="U186" s="30">
        <f t="shared" ca="1" si="59"/>
        <v>1.8887388667187011</v>
      </c>
      <c r="V186" s="30">
        <f t="shared" ca="1" si="59"/>
        <v>14.4911116322761</v>
      </c>
      <c r="W186" s="30">
        <f t="shared" ca="1" si="59"/>
        <v>19.157597886750324</v>
      </c>
      <c r="X186" s="30">
        <f t="shared" ca="1" si="59"/>
        <v>3.8501059783611127</v>
      </c>
      <c r="Y186" s="30">
        <f t="shared" ca="1" si="59"/>
        <v>17.59025949023437</v>
      </c>
      <c r="Z186" s="30">
        <f t="shared" ca="1" si="59"/>
        <v>29.005582605695423</v>
      </c>
      <c r="AA186" s="26">
        <v>178</v>
      </c>
      <c r="AB186" s="31">
        <f t="shared" ca="1" si="54"/>
        <v>2</v>
      </c>
      <c r="AC186" s="31">
        <f t="shared" ca="1" si="41"/>
        <v>6</v>
      </c>
      <c r="AD186" s="31">
        <f t="shared" ca="1" si="42"/>
        <v>12</v>
      </c>
      <c r="AE186" s="31">
        <f t="shared" ca="1" si="43"/>
        <v>74</v>
      </c>
      <c r="AF186" s="31">
        <f t="shared" ca="1" si="44"/>
        <v>15</v>
      </c>
      <c r="AG186" s="31">
        <f t="shared" ca="1" si="45"/>
        <v>20</v>
      </c>
      <c r="AH186" s="31">
        <f t="shared" ca="1" si="46"/>
        <v>2</v>
      </c>
      <c r="AI186" s="31">
        <f t="shared" ca="1" si="47"/>
        <v>19</v>
      </c>
      <c r="AJ186" s="31">
        <f t="shared" ca="1" si="48"/>
        <v>29</v>
      </c>
      <c r="AK186" s="31">
        <f t="shared" ca="1" si="49"/>
        <v>5</v>
      </c>
      <c r="AL186" s="31">
        <f t="shared" ca="1" si="50"/>
        <v>25</v>
      </c>
      <c r="AM186" s="31">
        <f t="shared" ca="1" si="51"/>
        <v>68</v>
      </c>
    </row>
    <row r="187" spans="1:39">
      <c r="A187" s="27"/>
      <c r="B187" s="28">
        <v>40877</v>
      </c>
      <c r="C187" s="29">
        <v>4.1250000000000002E-3</v>
      </c>
      <c r="D187" s="29">
        <v>3.8711055343461087E-3</v>
      </c>
      <c r="E187" s="29">
        <v>1.1411873535693839E-3</v>
      </c>
      <c r="F187" s="29">
        <v>1.2409727847773055E-3</v>
      </c>
      <c r="G187" s="29">
        <v>4.0999537904201411E-2</v>
      </c>
      <c r="H187" s="29">
        <v>1.29E-2</v>
      </c>
      <c r="J187" s="24">
        <v>179</v>
      </c>
      <c r="K187" s="25">
        <f t="shared" si="52"/>
        <v>4.4194548293395924E-3</v>
      </c>
      <c r="L187" s="25">
        <f t="shared" si="53"/>
        <v>33.190437627184671</v>
      </c>
      <c r="N187" s="26">
        <v>179</v>
      </c>
      <c r="O187" s="30">
        <f t="shared" ca="1" si="59"/>
        <v>12.788015373876272</v>
      </c>
      <c r="P187" s="30">
        <f t="shared" ca="1" si="59"/>
        <v>31.39632205182053</v>
      </c>
      <c r="Q187" s="30">
        <f t="shared" ca="1" si="59"/>
        <v>5.2291401606572814</v>
      </c>
      <c r="R187" s="30">
        <f t="shared" ca="1" si="59"/>
        <v>19.758003995801651</v>
      </c>
      <c r="S187" s="30">
        <f t="shared" ca="1" si="59"/>
        <v>27.972857959889993</v>
      </c>
      <c r="T187" s="30">
        <f t="shared" ca="1" si="59"/>
        <v>1.2317126789232862</v>
      </c>
      <c r="U187" s="30">
        <f t="shared" ca="1" si="59"/>
        <v>27.837526941107022</v>
      </c>
      <c r="V187" s="30">
        <f t="shared" ca="1" si="59"/>
        <v>14.259325256989433</v>
      </c>
      <c r="W187" s="30">
        <f t="shared" ca="1" si="59"/>
        <v>17.355385079910469</v>
      </c>
      <c r="X187" s="30">
        <f t="shared" ca="1" si="59"/>
        <v>7.0852705914229244</v>
      </c>
      <c r="Y187" s="30">
        <f t="shared" ca="1" si="59"/>
        <v>14.722214166286715</v>
      </c>
      <c r="Z187" s="30">
        <f t="shared" ca="1" si="59"/>
        <v>21.384115288766374</v>
      </c>
      <c r="AA187" s="26">
        <v>179</v>
      </c>
      <c r="AB187" s="31">
        <f t="shared" ca="1" si="54"/>
        <v>16</v>
      </c>
      <c r="AC187" s="31">
        <f t="shared" ca="1" si="41"/>
        <v>94</v>
      </c>
      <c r="AD187" s="31">
        <f t="shared" ca="1" si="42"/>
        <v>6</v>
      </c>
      <c r="AE187" s="31">
        <f t="shared" ca="1" si="43"/>
        <v>30</v>
      </c>
      <c r="AF187" s="31">
        <f t="shared" ca="1" si="44"/>
        <v>60</v>
      </c>
      <c r="AG187" s="31">
        <f t="shared" ca="1" si="45"/>
        <v>2</v>
      </c>
      <c r="AH187" s="31">
        <f t="shared" ca="1" si="46"/>
        <v>60</v>
      </c>
      <c r="AI187" s="31">
        <f t="shared" ca="1" si="47"/>
        <v>19</v>
      </c>
      <c r="AJ187" s="31">
        <f t="shared" ca="1" si="48"/>
        <v>25</v>
      </c>
      <c r="AK187" s="31">
        <f t="shared" ca="1" si="49"/>
        <v>8</v>
      </c>
      <c r="AL187" s="31">
        <f t="shared" ca="1" si="50"/>
        <v>20</v>
      </c>
      <c r="AM187" s="31">
        <f t="shared" ca="1" si="51"/>
        <v>34</v>
      </c>
    </row>
    <row r="188" spans="1:39">
      <c r="A188" s="27"/>
      <c r="B188" s="28">
        <v>40847</v>
      </c>
      <c r="C188" s="29">
        <v>3.6753472222222222E-3</v>
      </c>
      <c r="D188" s="29">
        <v>8.2095176571919115E-3</v>
      </c>
      <c r="E188" s="29">
        <v>1.6763066753397338E-2</v>
      </c>
      <c r="F188" s="29">
        <v>1.9863242454604801E-2</v>
      </c>
      <c r="G188" s="29">
        <v>3.2836875815183575E-2</v>
      </c>
      <c r="H188" s="29">
        <v>1.7000000000000001E-3</v>
      </c>
      <c r="J188" s="24">
        <v>180</v>
      </c>
      <c r="K188" s="25">
        <f t="shared" si="52"/>
        <v>4.2868711844594046E-3</v>
      </c>
      <c r="L188" s="25">
        <f t="shared" si="53"/>
        <v>33.194724498369133</v>
      </c>
      <c r="N188" s="26">
        <v>180</v>
      </c>
      <c r="O188" s="30">
        <f t="shared" ca="1" si="59"/>
        <v>4.9628009793257322</v>
      </c>
      <c r="P188" s="30">
        <f t="shared" ca="1" si="59"/>
        <v>9.5736949451234707</v>
      </c>
      <c r="Q188" s="30">
        <f t="shared" ca="1" si="59"/>
        <v>5.0329722646980954</v>
      </c>
      <c r="R188" s="30">
        <f t="shared" ca="1" si="59"/>
        <v>5.2848201165466469</v>
      </c>
      <c r="S188" s="30">
        <f t="shared" ca="1" si="59"/>
        <v>31.449059164277479</v>
      </c>
      <c r="T188" s="30">
        <f t="shared" ca="1" si="59"/>
        <v>31.687340459018927</v>
      </c>
      <c r="U188" s="30">
        <f t="shared" ca="1" si="59"/>
        <v>10.661811296861131</v>
      </c>
      <c r="V188" s="30">
        <f t="shared" ca="1" si="59"/>
        <v>24.92599306224869</v>
      </c>
      <c r="W188" s="30">
        <f t="shared" ca="1" si="59"/>
        <v>18.032934566319835</v>
      </c>
      <c r="X188" s="30">
        <f t="shared" ca="1" si="59"/>
        <v>6.1199724678019338</v>
      </c>
      <c r="Y188" s="30">
        <f t="shared" ca="1" si="59"/>
        <v>24.33806528246707</v>
      </c>
      <c r="Z188" s="30">
        <f t="shared" ca="1" si="59"/>
        <v>26.540831337338812</v>
      </c>
      <c r="AA188" s="26">
        <v>180</v>
      </c>
      <c r="AB188" s="31">
        <f t="shared" ca="1" si="54"/>
        <v>6</v>
      </c>
      <c r="AC188" s="31">
        <f t="shared" ca="1" si="41"/>
        <v>12</v>
      </c>
      <c r="AD188" s="31">
        <f t="shared" ca="1" si="42"/>
        <v>6</v>
      </c>
      <c r="AE188" s="31">
        <f t="shared" ca="1" si="43"/>
        <v>6</v>
      </c>
      <c r="AF188" s="31">
        <f t="shared" ca="1" si="44"/>
        <v>95</v>
      </c>
      <c r="AG188" s="31">
        <f t="shared" ca="1" si="45"/>
        <v>99</v>
      </c>
      <c r="AH188" s="31">
        <f t="shared" ca="1" si="46"/>
        <v>13</v>
      </c>
      <c r="AI188" s="31">
        <f t="shared" ca="1" si="47"/>
        <v>46</v>
      </c>
      <c r="AJ188" s="31">
        <f t="shared" ca="1" si="48"/>
        <v>26</v>
      </c>
      <c r="AK188" s="31">
        <f t="shared" ca="1" si="49"/>
        <v>7</v>
      </c>
      <c r="AL188" s="31">
        <f t="shared" ca="1" si="50"/>
        <v>44</v>
      </c>
      <c r="AM188" s="31">
        <f t="shared" ca="1" si="51"/>
        <v>53</v>
      </c>
    </row>
    <row r="189" spans="1:39">
      <c r="A189" s="27"/>
      <c r="B189" s="28">
        <v>40816</v>
      </c>
      <c r="C189" s="29">
        <v>3.6458333333333334E-3</v>
      </c>
      <c r="D189" s="29">
        <v>2.7440148986515034E-3</v>
      </c>
      <c r="E189" s="29">
        <v>-2.0176854516106291E-3</v>
      </c>
      <c r="F189" s="29">
        <v>-2.2099447513812542E-3</v>
      </c>
      <c r="G189" s="29">
        <v>-2.4511772545535271E-2</v>
      </c>
      <c r="H189" s="29">
        <v>7.7000000000000002E-3</v>
      </c>
      <c r="J189" s="24">
        <v>181</v>
      </c>
      <c r="K189" s="25">
        <f t="shared" si="52"/>
        <v>4.1582650489256226E-3</v>
      </c>
      <c r="L189" s="25">
        <f t="shared" si="53"/>
        <v>33.198882763418062</v>
      </c>
      <c r="N189" s="26">
        <v>181</v>
      </c>
      <c r="O189" s="30">
        <f t="shared" ref="O189:Z198" ca="1" si="60">RAND()*sumweights</f>
        <v>5.0172790098502942</v>
      </c>
      <c r="P189" s="30">
        <f t="shared" ca="1" si="60"/>
        <v>15.098504979941465</v>
      </c>
      <c r="Q189" s="30">
        <f t="shared" ca="1" si="60"/>
        <v>3.4353012674375121</v>
      </c>
      <c r="R189" s="30">
        <f t="shared" ca="1" si="60"/>
        <v>28.000521205133424</v>
      </c>
      <c r="S189" s="30">
        <f t="shared" ca="1" si="60"/>
        <v>31.601505212259799</v>
      </c>
      <c r="T189" s="30">
        <f t="shared" ca="1" si="60"/>
        <v>5.3415377630235045E-2</v>
      </c>
      <c r="U189" s="30">
        <f t="shared" ca="1" si="60"/>
        <v>18.884617951483925</v>
      </c>
      <c r="V189" s="30">
        <f t="shared" ca="1" si="60"/>
        <v>24.982005755581884</v>
      </c>
      <c r="W189" s="30">
        <f t="shared" ca="1" si="60"/>
        <v>23.804982824564735</v>
      </c>
      <c r="X189" s="30">
        <f t="shared" ca="1" si="60"/>
        <v>22.938042258767886</v>
      </c>
      <c r="Y189" s="30">
        <f t="shared" ca="1" si="60"/>
        <v>26.885633741783728</v>
      </c>
      <c r="Z189" s="30">
        <f t="shared" ca="1" si="60"/>
        <v>29.052242846520002</v>
      </c>
      <c r="AA189" s="26">
        <v>181</v>
      </c>
      <c r="AB189" s="31">
        <f t="shared" ca="1" si="54"/>
        <v>6</v>
      </c>
      <c r="AC189" s="31">
        <f t="shared" ca="1" si="41"/>
        <v>20</v>
      </c>
      <c r="AD189" s="31">
        <f t="shared" ca="1" si="42"/>
        <v>4</v>
      </c>
      <c r="AE189" s="31">
        <f t="shared" ca="1" si="43"/>
        <v>61</v>
      </c>
      <c r="AF189" s="31">
        <f t="shared" ca="1" si="44"/>
        <v>98</v>
      </c>
      <c r="AG189" s="31">
        <f t="shared" ca="1" si="45"/>
        <v>1</v>
      </c>
      <c r="AH189" s="31">
        <f t="shared" ca="1" si="46"/>
        <v>28</v>
      </c>
      <c r="AI189" s="31">
        <f t="shared" ca="1" si="47"/>
        <v>46</v>
      </c>
      <c r="AJ189" s="31">
        <f t="shared" ca="1" si="48"/>
        <v>42</v>
      </c>
      <c r="AK189" s="31">
        <f t="shared" ca="1" si="49"/>
        <v>39</v>
      </c>
      <c r="AL189" s="31">
        <f t="shared" ca="1" si="50"/>
        <v>54</v>
      </c>
      <c r="AM189" s="31">
        <f t="shared" ca="1" si="51"/>
        <v>68</v>
      </c>
    </row>
    <row r="190" spans="1:39">
      <c r="A190" s="27"/>
      <c r="B190" s="28">
        <v>40786</v>
      </c>
      <c r="C190" s="29">
        <v>3.5555555555555557E-3</v>
      </c>
      <c r="D190" s="29">
        <v>1.495697616795022E-3</v>
      </c>
      <c r="E190" s="29">
        <v>-6.2246302481960836E-4</v>
      </c>
      <c r="F190" s="29">
        <v>-1.4029426722561578E-4</v>
      </c>
      <c r="G190" s="29">
        <v>1.6410675066466318E-2</v>
      </c>
      <c r="H190" s="29">
        <v>4.1999999999999997E-3</v>
      </c>
      <c r="J190" s="24">
        <v>182</v>
      </c>
      <c r="K190" s="25">
        <f t="shared" si="52"/>
        <v>4.0335170974578538E-3</v>
      </c>
      <c r="L190" s="25">
        <f t="shared" si="53"/>
        <v>33.202916280515517</v>
      </c>
      <c r="N190" s="26">
        <v>182</v>
      </c>
      <c r="O190" s="30">
        <f t="shared" ca="1" si="60"/>
        <v>19.397464537611167</v>
      </c>
      <c r="P190" s="30">
        <f t="shared" ca="1" si="60"/>
        <v>27.742735402582365</v>
      </c>
      <c r="Q190" s="30">
        <f t="shared" ca="1" si="60"/>
        <v>31.903410597749897</v>
      </c>
      <c r="R190" s="30">
        <f t="shared" ca="1" si="60"/>
        <v>29.49824943327766</v>
      </c>
      <c r="S190" s="30">
        <f t="shared" ca="1" si="60"/>
        <v>8.8086504596730499</v>
      </c>
      <c r="T190" s="30">
        <f t="shared" ca="1" si="60"/>
        <v>22.490437881780892</v>
      </c>
      <c r="U190" s="30">
        <f t="shared" ca="1" si="60"/>
        <v>30.760112886703904</v>
      </c>
      <c r="V190" s="30">
        <f t="shared" ca="1" si="60"/>
        <v>1.9559089501928628</v>
      </c>
      <c r="W190" s="30">
        <f t="shared" ca="1" si="60"/>
        <v>17.05235531889457</v>
      </c>
      <c r="X190" s="30">
        <f t="shared" ca="1" si="60"/>
        <v>20.69090526972094</v>
      </c>
      <c r="Y190" s="30">
        <f t="shared" ca="1" si="60"/>
        <v>0.95756291941851579</v>
      </c>
      <c r="Z190" s="30">
        <f t="shared" ca="1" si="60"/>
        <v>11.952329845064755</v>
      </c>
      <c r="AA190" s="26">
        <v>182</v>
      </c>
      <c r="AB190" s="31">
        <f t="shared" ca="1" si="54"/>
        <v>29</v>
      </c>
      <c r="AC190" s="31">
        <f t="shared" ca="1" si="41"/>
        <v>59</v>
      </c>
      <c r="AD190" s="31">
        <f t="shared" ca="1" si="42"/>
        <v>104</v>
      </c>
      <c r="AE190" s="31">
        <f t="shared" ca="1" si="43"/>
        <v>71</v>
      </c>
      <c r="AF190" s="31">
        <f t="shared" ca="1" si="44"/>
        <v>11</v>
      </c>
      <c r="AG190" s="31">
        <f t="shared" ca="1" si="45"/>
        <v>37</v>
      </c>
      <c r="AH190" s="31">
        <f t="shared" ca="1" si="46"/>
        <v>85</v>
      </c>
      <c r="AI190" s="31">
        <f t="shared" ca="1" si="47"/>
        <v>2</v>
      </c>
      <c r="AJ190" s="31">
        <f t="shared" ca="1" si="48"/>
        <v>24</v>
      </c>
      <c r="AK190" s="31">
        <f t="shared" ca="1" si="49"/>
        <v>32</v>
      </c>
      <c r="AL190" s="31">
        <f t="shared" ca="1" si="50"/>
        <v>1</v>
      </c>
      <c r="AM190" s="31">
        <f t="shared" ca="1" si="51"/>
        <v>15</v>
      </c>
    </row>
    <row r="191" spans="1:39">
      <c r="A191" s="27"/>
      <c r="B191" s="28">
        <v>40755</v>
      </c>
      <c r="C191" s="29">
        <v>2.9704861111111112E-3</v>
      </c>
      <c r="D191" s="29">
        <v>-3.8773257222866064E-3</v>
      </c>
      <c r="E191" s="29">
        <v>-9.5860793456459259E-3</v>
      </c>
      <c r="F191" s="29">
        <v>-7.9851083817543689E-3</v>
      </c>
      <c r="G191" s="29">
        <v>1.2823467860840765E-2</v>
      </c>
      <c r="H191" s="29">
        <v>-1.11E-2</v>
      </c>
      <c r="J191" s="24">
        <v>183</v>
      </c>
      <c r="K191" s="25">
        <f t="shared" si="52"/>
        <v>3.9125115845341178E-3</v>
      </c>
      <c r="L191" s="25">
        <f t="shared" si="53"/>
        <v>33.206828792100048</v>
      </c>
      <c r="N191" s="26">
        <v>183</v>
      </c>
      <c r="O191" s="30">
        <f t="shared" ca="1" si="60"/>
        <v>22.435129878695697</v>
      </c>
      <c r="P191" s="30">
        <f t="shared" ca="1" si="60"/>
        <v>0.55504296003539577</v>
      </c>
      <c r="Q191" s="30">
        <f t="shared" ca="1" si="60"/>
        <v>17.543059939911931</v>
      </c>
      <c r="R191" s="30">
        <f t="shared" ca="1" si="60"/>
        <v>25.010101139349445</v>
      </c>
      <c r="S191" s="30">
        <f t="shared" ca="1" si="60"/>
        <v>10.079664808210989</v>
      </c>
      <c r="T191" s="30">
        <f t="shared" ca="1" si="60"/>
        <v>2.7537719294412386</v>
      </c>
      <c r="U191" s="30">
        <f t="shared" ca="1" si="60"/>
        <v>16.63872088181531</v>
      </c>
      <c r="V191" s="30">
        <f t="shared" ca="1" si="60"/>
        <v>11.42994959729214</v>
      </c>
      <c r="W191" s="30">
        <f t="shared" ca="1" si="60"/>
        <v>8.6926113483357952</v>
      </c>
      <c r="X191" s="30">
        <f t="shared" ca="1" si="60"/>
        <v>21.513954441800738</v>
      </c>
      <c r="Y191" s="30">
        <f t="shared" ca="1" si="60"/>
        <v>7.2074033875549617</v>
      </c>
      <c r="Z191" s="30">
        <f t="shared" ca="1" si="60"/>
        <v>21.374296784678595</v>
      </c>
      <c r="AA191" s="26">
        <v>183</v>
      </c>
      <c r="AB191" s="31">
        <f t="shared" ca="1" si="54"/>
        <v>37</v>
      </c>
      <c r="AC191" s="31">
        <f t="shared" ca="1" si="41"/>
        <v>1</v>
      </c>
      <c r="AD191" s="31">
        <f t="shared" ca="1" si="42"/>
        <v>25</v>
      </c>
      <c r="AE191" s="31">
        <f t="shared" ca="1" si="43"/>
        <v>46</v>
      </c>
      <c r="AF191" s="31">
        <f t="shared" ca="1" si="44"/>
        <v>12</v>
      </c>
      <c r="AG191" s="31">
        <f t="shared" ca="1" si="45"/>
        <v>3</v>
      </c>
      <c r="AH191" s="31">
        <f t="shared" ca="1" si="46"/>
        <v>23</v>
      </c>
      <c r="AI191" s="31">
        <f t="shared" ca="1" si="47"/>
        <v>14</v>
      </c>
      <c r="AJ191" s="31">
        <f t="shared" ca="1" si="48"/>
        <v>10</v>
      </c>
      <c r="AK191" s="31">
        <f t="shared" ca="1" si="49"/>
        <v>35</v>
      </c>
      <c r="AL191" s="31">
        <f t="shared" ca="1" si="50"/>
        <v>8</v>
      </c>
      <c r="AM191" s="31">
        <f t="shared" ca="1" si="51"/>
        <v>34</v>
      </c>
    </row>
    <row r="192" spans="1:39">
      <c r="A192" s="27"/>
      <c r="B192" s="28">
        <v>40724</v>
      </c>
      <c r="C192" s="29">
        <v>3.0677083333333333E-3</v>
      </c>
      <c r="D192" s="29">
        <v>-4.6988199351455373E-3</v>
      </c>
      <c r="E192" s="29">
        <v>-2.1429360433005584E-2</v>
      </c>
      <c r="F192" s="29">
        <v>-2.4654280139136286E-2</v>
      </c>
      <c r="G192" s="29">
        <v>-4.3597230799915287E-2</v>
      </c>
      <c r="H192" s="29">
        <v>-2.3099999999999999E-2</v>
      </c>
      <c r="J192" s="24">
        <v>184</v>
      </c>
      <c r="K192" s="25">
        <f t="shared" si="52"/>
        <v>3.7951362369980941E-3</v>
      </c>
      <c r="L192" s="25">
        <f t="shared" si="53"/>
        <v>33.210623928337043</v>
      </c>
      <c r="N192" s="26">
        <v>184</v>
      </c>
      <c r="O192" s="30">
        <f t="shared" ca="1" si="60"/>
        <v>14.497467456376091</v>
      </c>
      <c r="P192" s="30">
        <f t="shared" ca="1" si="60"/>
        <v>21.94904367187371</v>
      </c>
      <c r="Q192" s="30">
        <f t="shared" ca="1" si="60"/>
        <v>6.8930426434504897</v>
      </c>
      <c r="R192" s="30">
        <f t="shared" ca="1" si="60"/>
        <v>8.811152915402122</v>
      </c>
      <c r="S192" s="30">
        <f t="shared" ca="1" si="60"/>
        <v>30.983603518121615</v>
      </c>
      <c r="T192" s="30">
        <f t="shared" ca="1" si="60"/>
        <v>3.0972954226021798</v>
      </c>
      <c r="U192" s="30">
        <f t="shared" ca="1" si="60"/>
        <v>5.4449482978798311</v>
      </c>
      <c r="V192" s="30">
        <f t="shared" ca="1" si="60"/>
        <v>2.9082766054046867</v>
      </c>
      <c r="W192" s="30">
        <f t="shared" ca="1" si="60"/>
        <v>5.9178066700194734</v>
      </c>
      <c r="X192" s="30">
        <f t="shared" ca="1" si="60"/>
        <v>23.438417986219086</v>
      </c>
      <c r="Y192" s="30">
        <f t="shared" ca="1" si="60"/>
        <v>25.634543769370101</v>
      </c>
      <c r="Z192" s="30">
        <f t="shared" ca="1" si="60"/>
        <v>5.4202512423790745</v>
      </c>
      <c r="AA192" s="26">
        <v>184</v>
      </c>
      <c r="AB192" s="31">
        <f t="shared" ca="1" si="54"/>
        <v>19</v>
      </c>
      <c r="AC192" s="31">
        <f t="shared" ca="1" si="41"/>
        <v>36</v>
      </c>
      <c r="AD192" s="31">
        <f t="shared" ca="1" si="42"/>
        <v>8</v>
      </c>
      <c r="AE192" s="31">
        <f t="shared" ca="1" si="43"/>
        <v>11</v>
      </c>
      <c r="AF192" s="31">
        <f t="shared" ca="1" si="44"/>
        <v>88</v>
      </c>
      <c r="AG192" s="31">
        <f t="shared" ca="1" si="45"/>
        <v>4</v>
      </c>
      <c r="AH192" s="31">
        <f t="shared" ca="1" si="46"/>
        <v>6</v>
      </c>
      <c r="AI192" s="31">
        <f t="shared" ca="1" si="47"/>
        <v>3</v>
      </c>
      <c r="AJ192" s="31">
        <f t="shared" ca="1" si="48"/>
        <v>7</v>
      </c>
      <c r="AK192" s="31">
        <f t="shared" ca="1" si="49"/>
        <v>40</v>
      </c>
      <c r="AL192" s="31">
        <f t="shared" ca="1" si="50"/>
        <v>49</v>
      </c>
      <c r="AM192" s="31">
        <f t="shared" ca="1" si="51"/>
        <v>6</v>
      </c>
    </row>
    <row r="193" spans="1:39">
      <c r="A193" s="27"/>
      <c r="B193" s="28">
        <v>40694</v>
      </c>
      <c r="C193" s="29">
        <v>2.4305555555555556E-3</v>
      </c>
      <c r="D193" s="29">
        <v>-5.4815209665955988E-3</v>
      </c>
      <c r="E193" s="29">
        <v>-2.0694647849820336E-2</v>
      </c>
      <c r="F193" s="29">
        <v>-1.7373326441802672E-2</v>
      </c>
      <c r="G193" s="29">
        <v>-2.7141249900003328E-2</v>
      </c>
      <c r="H193" s="29">
        <v>-2.2700000000000001E-2</v>
      </c>
      <c r="J193" s="24">
        <v>185</v>
      </c>
      <c r="K193" s="25">
        <f t="shared" si="52"/>
        <v>3.6812821498881511E-3</v>
      </c>
      <c r="L193" s="25">
        <f t="shared" si="53"/>
        <v>33.214305210486934</v>
      </c>
      <c r="N193" s="26">
        <v>185</v>
      </c>
      <c r="O193" s="30">
        <f t="shared" ca="1" si="60"/>
        <v>8.3468211070455798</v>
      </c>
      <c r="P193" s="30">
        <f t="shared" ca="1" si="60"/>
        <v>12.290450058490016</v>
      </c>
      <c r="Q193" s="30">
        <f t="shared" ca="1" si="60"/>
        <v>13.75433241095425</v>
      </c>
      <c r="R193" s="30">
        <f t="shared" ca="1" si="60"/>
        <v>0.80509603490572401</v>
      </c>
      <c r="S193" s="30">
        <f t="shared" ca="1" si="60"/>
        <v>12.354127551201479</v>
      </c>
      <c r="T193" s="30">
        <f t="shared" ca="1" si="60"/>
        <v>26.51553628596643</v>
      </c>
      <c r="U193" s="30">
        <f t="shared" ca="1" si="60"/>
        <v>9.1932648098786451</v>
      </c>
      <c r="V193" s="30">
        <f t="shared" ca="1" si="60"/>
        <v>9.4240112160537279</v>
      </c>
      <c r="W193" s="30">
        <f t="shared" ca="1" si="60"/>
        <v>28.726677690161864</v>
      </c>
      <c r="X193" s="30">
        <f t="shared" ca="1" si="60"/>
        <v>16.246072569127001</v>
      </c>
      <c r="Y193" s="30">
        <f t="shared" ca="1" si="60"/>
        <v>25.622172980982175</v>
      </c>
      <c r="Z193" s="30">
        <f t="shared" ca="1" si="60"/>
        <v>5.8798539682113784</v>
      </c>
      <c r="AA193" s="26">
        <v>185</v>
      </c>
      <c r="AB193" s="31">
        <f t="shared" ca="1" si="54"/>
        <v>10</v>
      </c>
      <c r="AC193" s="31">
        <f t="shared" ca="1" si="41"/>
        <v>16</v>
      </c>
      <c r="AD193" s="31">
        <f t="shared" ca="1" si="42"/>
        <v>18</v>
      </c>
      <c r="AE193" s="31">
        <f t="shared" ca="1" si="43"/>
        <v>1</v>
      </c>
      <c r="AF193" s="31">
        <f t="shared" ca="1" si="44"/>
        <v>16</v>
      </c>
      <c r="AG193" s="31">
        <f t="shared" ca="1" si="45"/>
        <v>53</v>
      </c>
      <c r="AH193" s="31">
        <f t="shared" ca="1" si="46"/>
        <v>11</v>
      </c>
      <c r="AI193" s="31">
        <f t="shared" ca="1" si="47"/>
        <v>11</v>
      </c>
      <c r="AJ193" s="31">
        <f t="shared" ca="1" si="48"/>
        <v>65</v>
      </c>
      <c r="AK193" s="31">
        <f t="shared" ca="1" si="49"/>
        <v>22</v>
      </c>
      <c r="AL193" s="31">
        <f t="shared" ca="1" si="50"/>
        <v>49</v>
      </c>
      <c r="AM193" s="31">
        <f t="shared" ca="1" si="51"/>
        <v>7</v>
      </c>
    </row>
    <row r="194" spans="1:39">
      <c r="A194" s="27"/>
      <c r="B194" s="28">
        <v>40663</v>
      </c>
      <c r="C194" s="29">
        <v>2.7986111111111111E-3</v>
      </c>
      <c r="D194" s="29">
        <v>5.6015652220524625E-3</v>
      </c>
      <c r="E194" s="29">
        <v>1.5651938744464466E-2</v>
      </c>
      <c r="F194" s="29">
        <v>1.3501639122647013E-2</v>
      </c>
      <c r="G194" s="29">
        <v>3.3996712436774157E-2</v>
      </c>
      <c r="H194" s="29">
        <v>1.26E-2</v>
      </c>
      <c r="J194" s="24">
        <v>186</v>
      </c>
      <c r="K194" s="25">
        <f t="shared" si="52"/>
        <v>3.5708436853915063E-3</v>
      </c>
      <c r="L194" s="25">
        <f t="shared" si="53"/>
        <v>33.217876054172322</v>
      </c>
      <c r="N194" s="26">
        <v>186</v>
      </c>
      <c r="O194" s="30">
        <f t="shared" ca="1" si="60"/>
        <v>6.3154040013744366</v>
      </c>
      <c r="P194" s="30">
        <f t="shared" ca="1" si="60"/>
        <v>15.998682800205451</v>
      </c>
      <c r="Q194" s="30">
        <f t="shared" ca="1" si="60"/>
        <v>7.3922570018743805</v>
      </c>
      <c r="R194" s="30">
        <f t="shared" ca="1" si="60"/>
        <v>2.701647891527009</v>
      </c>
      <c r="S194" s="30">
        <f t="shared" ca="1" si="60"/>
        <v>4.9337133919371601</v>
      </c>
      <c r="T194" s="30">
        <f t="shared" ca="1" si="60"/>
        <v>25.982868040241403</v>
      </c>
      <c r="U194" s="30">
        <f t="shared" ca="1" si="60"/>
        <v>9.573762853054534</v>
      </c>
      <c r="V194" s="30">
        <f t="shared" ca="1" si="60"/>
        <v>25.919226230209301</v>
      </c>
      <c r="W194" s="30">
        <f t="shared" ca="1" si="60"/>
        <v>28.574589005393356</v>
      </c>
      <c r="X194" s="30">
        <f t="shared" ca="1" si="60"/>
        <v>16.684191721489658</v>
      </c>
      <c r="Y194" s="30">
        <f t="shared" ca="1" si="60"/>
        <v>2.9808084171701319</v>
      </c>
      <c r="Z194" s="30">
        <f t="shared" ca="1" si="60"/>
        <v>7.7159527860916164</v>
      </c>
      <c r="AA194" s="26">
        <v>186</v>
      </c>
      <c r="AB194" s="31">
        <f t="shared" ca="1" si="54"/>
        <v>7</v>
      </c>
      <c r="AC194" s="31">
        <f t="shared" ca="1" si="41"/>
        <v>22</v>
      </c>
      <c r="AD194" s="31">
        <f t="shared" ca="1" si="42"/>
        <v>9</v>
      </c>
      <c r="AE194" s="31">
        <f t="shared" ca="1" si="43"/>
        <v>3</v>
      </c>
      <c r="AF194" s="31">
        <f t="shared" ca="1" si="44"/>
        <v>6</v>
      </c>
      <c r="AG194" s="31">
        <f t="shared" ca="1" si="45"/>
        <v>50</v>
      </c>
      <c r="AH194" s="31">
        <f t="shared" ca="1" si="46"/>
        <v>12</v>
      </c>
      <c r="AI194" s="31">
        <f t="shared" ca="1" si="47"/>
        <v>50</v>
      </c>
      <c r="AJ194" s="31">
        <f t="shared" ca="1" si="48"/>
        <v>64</v>
      </c>
      <c r="AK194" s="31">
        <f t="shared" ca="1" si="49"/>
        <v>23</v>
      </c>
      <c r="AL194" s="31">
        <f t="shared" ca="1" si="50"/>
        <v>4</v>
      </c>
      <c r="AM194" s="31">
        <f t="shared" ca="1" si="51"/>
        <v>9</v>
      </c>
    </row>
    <row r="195" spans="1:39">
      <c r="A195" s="27"/>
      <c r="B195" s="28">
        <v>40633</v>
      </c>
      <c r="C195" s="29">
        <v>3.0677083333333333E-3</v>
      </c>
      <c r="D195" s="29">
        <v>4.3247705269582326E-3</v>
      </c>
      <c r="E195" s="29">
        <v>4.4823253760737369E-3</v>
      </c>
      <c r="F195" s="29">
        <v>5.4197319016631162E-3</v>
      </c>
      <c r="G195" s="29">
        <v>1.2090899051323989E-2</v>
      </c>
      <c r="H195" s="29">
        <v>4.7599999999999996E-2</v>
      </c>
      <c r="J195" s="24">
        <v>187</v>
      </c>
      <c r="K195" s="25">
        <f t="shared" si="52"/>
        <v>3.4637183748297612E-3</v>
      </c>
      <c r="L195" s="25">
        <f t="shared" si="53"/>
        <v>33.221339772547154</v>
      </c>
      <c r="N195" s="26">
        <v>187</v>
      </c>
      <c r="O195" s="30">
        <f t="shared" ca="1" si="60"/>
        <v>16.365242729823805</v>
      </c>
      <c r="P195" s="30">
        <f t="shared" ca="1" si="60"/>
        <v>23.149514347215046</v>
      </c>
      <c r="Q195" s="30">
        <f t="shared" ca="1" si="60"/>
        <v>11.528565674682346</v>
      </c>
      <c r="R195" s="30">
        <f t="shared" ca="1" si="60"/>
        <v>22.581329303452083</v>
      </c>
      <c r="S195" s="30">
        <f t="shared" ca="1" si="60"/>
        <v>22.07097230965627</v>
      </c>
      <c r="T195" s="30">
        <f t="shared" ca="1" si="60"/>
        <v>10.96080503807595</v>
      </c>
      <c r="U195" s="30">
        <f t="shared" ca="1" si="60"/>
        <v>25.777896441595015</v>
      </c>
      <c r="V195" s="30">
        <f t="shared" ca="1" si="60"/>
        <v>4.7346981466933569</v>
      </c>
      <c r="W195" s="30">
        <f t="shared" ca="1" si="60"/>
        <v>23.236744434261254</v>
      </c>
      <c r="X195" s="30">
        <f t="shared" ca="1" si="60"/>
        <v>29.652686236962442</v>
      </c>
      <c r="Y195" s="30">
        <f t="shared" ca="1" si="60"/>
        <v>23.799371432496056</v>
      </c>
      <c r="Z195" s="30">
        <f t="shared" ca="1" si="60"/>
        <v>10.384063439527905</v>
      </c>
      <c r="AA195" s="26">
        <v>187</v>
      </c>
      <c r="AB195" s="31">
        <f t="shared" ca="1" si="54"/>
        <v>23</v>
      </c>
      <c r="AC195" s="31">
        <f t="shared" ca="1" si="41"/>
        <v>39</v>
      </c>
      <c r="AD195" s="31">
        <f t="shared" ca="1" si="42"/>
        <v>14</v>
      </c>
      <c r="AE195" s="31">
        <f t="shared" ca="1" si="43"/>
        <v>38</v>
      </c>
      <c r="AF195" s="31">
        <f t="shared" ca="1" si="44"/>
        <v>36</v>
      </c>
      <c r="AG195" s="31">
        <f t="shared" ca="1" si="45"/>
        <v>14</v>
      </c>
      <c r="AH195" s="31">
        <f t="shared" ca="1" si="46"/>
        <v>49</v>
      </c>
      <c r="AI195" s="31">
        <f t="shared" ca="1" si="47"/>
        <v>6</v>
      </c>
      <c r="AJ195" s="31">
        <f t="shared" ca="1" si="48"/>
        <v>40</v>
      </c>
      <c r="AK195" s="31">
        <f t="shared" ca="1" si="49"/>
        <v>73</v>
      </c>
      <c r="AL195" s="31">
        <f t="shared" ca="1" si="50"/>
        <v>42</v>
      </c>
      <c r="AM195" s="31">
        <f t="shared" ca="1" si="51"/>
        <v>13</v>
      </c>
    </row>
    <row r="196" spans="1:39">
      <c r="A196" s="27"/>
      <c r="B196" s="28">
        <v>40602</v>
      </c>
      <c r="C196" s="29">
        <v>2.8333333333333335E-3</v>
      </c>
      <c r="D196" s="29">
        <v>1.6176721697476193E-3</v>
      </c>
      <c r="E196" s="29">
        <v>-7.8164482328761942E-3</v>
      </c>
      <c r="F196" s="29">
        <v>-8.5068391617815209E-3</v>
      </c>
      <c r="G196" s="29">
        <v>-9.5321770518527194E-3</v>
      </c>
      <c r="H196" s="29">
        <v>4.0000000000000001E-3</v>
      </c>
      <c r="J196" s="24">
        <v>188</v>
      </c>
      <c r="K196" s="25">
        <f t="shared" si="52"/>
        <v>3.3598068235848682E-3</v>
      </c>
      <c r="L196" s="25">
        <f t="shared" si="53"/>
        <v>33.224699579370736</v>
      </c>
      <c r="N196" s="26">
        <v>188</v>
      </c>
      <c r="O196" s="30">
        <f t="shared" ca="1" si="60"/>
        <v>22.87316455395192</v>
      </c>
      <c r="P196" s="30">
        <f t="shared" ca="1" si="60"/>
        <v>8.6360127340478545</v>
      </c>
      <c r="Q196" s="30">
        <f t="shared" ca="1" si="60"/>
        <v>21.20809419178277</v>
      </c>
      <c r="R196" s="30">
        <f t="shared" ca="1" si="60"/>
        <v>6.4723538921089327E-2</v>
      </c>
      <c r="S196" s="30">
        <f t="shared" ca="1" si="60"/>
        <v>24.867586704116071</v>
      </c>
      <c r="T196" s="30">
        <f t="shared" ca="1" si="60"/>
        <v>4.5359691311002967E-2</v>
      </c>
      <c r="U196" s="30">
        <f t="shared" ca="1" si="60"/>
        <v>24.183286849054351</v>
      </c>
      <c r="V196" s="30">
        <f t="shared" ca="1" si="60"/>
        <v>24.851844280868061</v>
      </c>
      <c r="W196" s="30">
        <f t="shared" ca="1" si="60"/>
        <v>27.372867267193215</v>
      </c>
      <c r="X196" s="30">
        <f t="shared" ca="1" si="60"/>
        <v>4.3829162502953789</v>
      </c>
      <c r="Y196" s="30">
        <f t="shared" ca="1" si="60"/>
        <v>21.021897297589923</v>
      </c>
      <c r="Z196" s="30">
        <f t="shared" ca="1" si="60"/>
        <v>17.844503052065907</v>
      </c>
      <c r="AA196" s="26">
        <v>188</v>
      </c>
      <c r="AB196" s="31">
        <f t="shared" ca="1" si="54"/>
        <v>39</v>
      </c>
      <c r="AC196" s="31">
        <f t="shared" ca="1" si="41"/>
        <v>10</v>
      </c>
      <c r="AD196" s="31">
        <f t="shared" ca="1" si="42"/>
        <v>34</v>
      </c>
      <c r="AE196" s="31">
        <f t="shared" ca="1" si="43"/>
        <v>1</v>
      </c>
      <c r="AF196" s="31">
        <f t="shared" ca="1" si="44"/>
        <v>45</v>
      </c>
      <c r="AG196" s="31">
        <f t="shared" ca="1" si="45"/>
        <v>1</v>
      </c>
      <c r="AH196" s="31">
        <f t="shared" ca="1" si="46"/>
        <v>43</v>
      </c>
      <c r="AI196" s="31">
        <f t="shared" ca="1" si="47"/>
        <v>45</v>
      </c>
      <c r="AJ196" s="31">
        <f t="shared" ca="1" si="48"/>
        <v>57</v>
      </c>
      <c r="AK196" s="31">
        <f t="shared" ca="1" si="49"/>
        <v>5</v>
      </c>
      <c r="AL196" s="31">
        <f t="shared" ca="1" si="50"/>
        <v>33</v>
      </c>
      <c r="AM196" s="31">
        <f t="shared" ca="1" si="51"/>
        <v>26</v>
      </c>
    </row>
    <row r="197" spans="1:39">
      <c r="A197" s="27"/>
      <c r="B197" s="28">
        <v>40574</v>
      </c>
      <c r="C197" s="29">
        <v>2.5677083333333333E-3</v>
      </c>
      <c r="D197" s="29">
        <v>1.5391539153915001E-3</v>
      </c>
      <c r="E197" s="29">
        <v>2.6856747124301972E-3</v>
      </c>
      <c r="F197" s="29">
        <v>3.7367059499857636E-3</v>
      </c>
      <c r="G197" s="29">
        <v>2.06849981092323E-2</v>
      </c>
      <c r="H197" s="29">
        <v>2.2599999999999999E-2</v>
      </c>
      <c r="J197" s="24">
        <v>189</v>
      </c>
      <c r="K197" s="25">
        <f t="shared" si="52"/>
        <v>3.2590126188773222E-3</v>
      </c>
      <c r="L197" s="25">
        <f t="shared" si="53"/>
        <v>33.227958591989612</v>
      </c>
      <c r="N197" s="26">
        <v>189</v>
      </c>
      <c r="O197" s="30">
        <f t="shared" ca="1" si="60"/>
        <v>20.13369019355833</v>
      </c>
      <c r="P197" s="30">
        <f t="shared" ca="1" si="60"/>
        <v>14.605606289822893</v>
      </c>
      <c r="Q197" s="30">
        <f t="shared" ca="1" si="60"/>
        <v>13.741644161864182</v>
      </c>
      <c r="R197" s="30">
        <f t="shared" ca="1" si="60"/>
        <v>10.10251064290544</v>
      </c>
      <c r="S197" s="30">
        <f t="shared" ca="1" si="60"/>
        <v>27.691873235222044</v>
      </c>
      <c r="T197" s="30">
        <f t="shared" ca="1" si="60"/>
        <v>9.5656298903988404</v>
      </c>
      <c r="U197" s="30">
        <f t="shared" ca="1" si="60"/>
        <v>26.678601222459353</v>
      </c>
      <c r="V197" s="30">
        <f t="shared" ca="1" si="60"/>
        <v>10.25061588468748</v>
      </c>
      <c r="W197" s="30">
        <f t="shared" ca="1" si="60"/>
        <v>6.674438161054379</v>
      </c>
      <c r="X197" s="30">
        <f t="shared" ca="1" si="60"/>
        <v>15.901310672503415</v>
      </c>
      <c r="Y197" s="30">
        <f t="shared" ca="1" si="60"/>
        <v>29.544159539943688</v>
      </c>
      <c r="Z197" s="30">
        <f t="shared" ca="1" si="60"/>
        <v>29.290687122884325</v>
      </c>
      <c r="AA197" s="26">
        <v>189</v>
      </c>
      <c r="AB197" s="31">
        <f t="shared" ca="1" si="54"/>
        <v>31</v>
      </c>
      <c r="AC197" s="31">
        <f t="shared" ca="1" si="41"/>
        <v>19</v>
      </c>
      <c r="AD197" s="31">
        <f t="shared" ca="1" si="42"/>
        <v>18</v>
      </c>
      <c r="AE197" s="31">
        <f t="shared" ca="1" si="43"/>
        <v>12</v>
      </c>
      <c r="AF197" s="31">
        <f t="shared" ca="1" si="44"/>
        <v>59</v>
      </c>
      <c r="AG197" s="31">
        <f t="shared" ca="1" si="45"/>
        <v>12</v>
      </c>
      <c r="AH197" s="31">
        <f t="shared" ca="1" si="46"/>
        <v>53</v>
      </c>
      <c r="AI197" s="31">
        <f t="shared" ca="1" si="47"/>
        <v>13</v>
      </c>
      <c r="AJ197" s="31">
        <f t="shared" ca="1" si="48"/>
        <v>8</v>
      </c>
      <c r="AK197" s="31">
        <f t="shared" ca="1" si="49"/>
        <v>22</v>
      </c>
      <c r="AL197" s="31">
        <f t="shared" ca="1" si="50"/>
        <v>72</v>
      </c>
      <c r="AM197" s="31">
        <f t="shared" ca="1" si="51"/>
        <v>70</v>
      </c>
    </row>
    <row r="198" spans="1:39">
      <c r="A198" s="27"/>
      <c r="B198" s="28">
        <v>40543</v>
      </c>
      <c r="C198" s="29">
        <v>2.6562500000000002E-3</v>
      </c>
      <c r="D198" s="29">
        <v>3.350522446694093E-3</v>
      </c>
      <c r="E198" s="29">
        <v>4.4366023938990917E-3</v>
      </c>
      <c r="F198" s="29">
        <v>2.7466472253776519E-3</v>
      </c>
      <c r="G198" s="29">
        <v>-7.6676893826356229E-3</v>
      </c>
      <c r="H198" s="29">
        <v>3.3E-3</v>
      </c>
      <c r="J198" s="24">
        <v>190</v>
      </c>
      <c r="K198" s="25">
        <f t="shared" si="52"/>
        <v>3.1612422403110023E-3</v>
      </c>
      <c r="L198" s="25">
        <f t="shared" si="53"/>
        <v>33.231119834229922</v>
      </c>
      <c r="N198" s="26">
        <v>190</v>
      </c>
      <c r="O198" s="30">
        <f t="shared" ca="1" si="60"/>
        <v>32.927175059373234</v>
      </c>
      <c r="P198" s="30">
        <f t="shared" ca="1" si="60"/>
        <v>17.546129062422981</v>
      </c>
      <c r="Q198" s="30">
        <f t="shared" ca="1" si="60"/>
        <v>31.807947973542507</v>
      </c>
      <c r="R198" s="30">
        <f t="shared" ca="1" si="60"/>
        <v>21.640398887748656</v>
      </c>
      <c r="S198" s="30">
        <f t="shared" ca="1" si="60"/>
        <v>2.5217048404583848</v>
      </c>
      <c r="T198" s="30">
        <f t="shared" ca="1" si="60"/>
        <v>28.29541873144224</v>
      </c>
      <c r="U198" s="30">
        <f t="shared" ca="1" si="60"/>
        <v>14.463732925329159</v>
      </c>
      <c r="V198" s="30">
        <f t="shared" ca="1" si="60"/>
        <v>26.318473606070352</v>
      </c>
      <c r="W198" s="30">
        <f t="shared" ca="1" si="60"/>
        <v>11.988184552284295</v>
      </c>
      <c r="X198" s="30">
        <f t="shared" ca="1" si="60"/>
        <v>1.1754814614783149</v>
      </c>
      <c r="Y198" s="30">
        <f t="shared" ca="1" si="60"/>
        <v>32.832185457450855</v>
      </c>
      <c r="Z198" s="30">
        <f t="shared" ca="1" si="60"/>
        <v>29.168083850642098</v>
      </c>
      <c r="AA198" s="26">
        <v>190</v>
      </c>
      <c r="AB198" s="31">
        <f t="shared" ca="1" si="54"/>
        <v>145</v>
      </c>
      <c r="AC198" s="31">
        <f t="shared" ca="1" si="41"/>
        <v>25</v>
      </c>
      <c r="AD198" s="31">
        <f t="shared" ca="1" si="42"/>
        <v>102</v>
      </c>
      <c r="AE198" s="31">
        <f t="shared" ca="1" si="43"/>
        <v>35</v>
      </c>
      <c r="AF198" s="31">
        <f t="shared" ca="1" si="44"/>
        <v>3</v>
      </c>
      <c r="AG198" s="31">
        <f t="shared" ca="1" si="45"/>
        <v>63</v>
      </c>
      <c r="AH198" s="31">
        <f t="shared" ca="1" si="46"/>
        <v>19</v>
      </c>
      <c r="AI198" s="31">
        <f t="shared" ca="1" si="47"/>
        <v>52</v>
      </c>
      <c r="AJ198" s="31">
        <f t="shared" ca="1" si="48"/>
        <v>15</v>
      </c>
      <c r="AK198" s="31">
        <f t="shared" ca="1" si="49"/>
        <v>2</v>
      </c>
      <c r="AL198" s="31">
        <f t="shared" ca="1" si="50"/>
        <v>138</v>
      </c>
      <c r="AM198" s="31">
        <f t="shared" ca="1" si="51"/>
        <v>69</v>
      </c>
    </row>
    <row r="199" spans="1:39">
      <c r="A199" s="27"/>
      <c r="B199" s="28">
        <v>40512</v>
      </c>
      <c r="C199" s="29">
        <v>2.8333333333333335E-3</v>
      </c>
      <c r="D199" s="29">
        <v>8.4608378870674184E-3</v>
      </c>
      <c r="E199" s="29">
        <v>2.2446766989028033E-2</v>
      </c>
      <c r="F199" s="29">
        <v>1.7527818511170468E-2</v>
      </c>
      <c r="G199" s="29">
        <v>3.7942073283824485E-2</v>
      </c>
      <c r="H199" s="29">
        <v>1.7899999999999999E-2</v>
      </c>
      <c r="J199" s="24">
        <v>191</v>
      </c>
      <c r="K199" s="25">
        <f t="shared" si="52"/>
        <v>3.0664049731016722E-3</v>
      </c>
      <c r="L199" s="25">
        <f t="shared" si="53"/>
        <v>33.234186239203027</v>
      </c>
      <c r="N199" s="26">
        <v>191</v>
      </c>
      <c r="O199" s="30">
        <f t="shared" ref="O199:Z208" ca="1" si="61">RAND()*sumweights</f>
        <v>21.425169307129071</v>
      </c>
      <c r="P199" s="30">
        <f t="shared" ca="1" si="61"/>
        <v>26.481978314844863</v>
      </c>
      <c r="Q199" s="30">
        <f t="shared" ca="1" si="61"/>
        <v>28.706067172632409</v>
      </c>
      <c r="R199" s="30">
        <f t="shared" ca="1" si="61"/>
        <v>10.009155792039644</v>
      </c>
      <c r="S199" s="30">
        <f t="shared" ca="1" si="61"/>
        <v>29.053214658124343</v>
      </c>
      <c r="T199" s="30">
        <f t="shared" ca="1" si="61"/>
        <v>12.989820647361011</v>
      </c>
      <c r="U199" s="30">
        <f t="shared" ca="1" si="61"/>
        <v>28.942738268508585</v>
      </c>
      <c r="V199" s="30">
        <f t="shared" ca="1" si="61"/>
        <v>6.9544783779967458</v>
      </c>
      <c r="W199" s="30">
        <f t="shared" ca="1" si="61"/>
        <v>8.9496088099616831</v>
      </c>
      <c r="X199" s="30">
        <f t="shared" ca="1" si="61"/>
        <v>8.5564361352276777</v>
      </c>
      <c r="Y199" s="30">
        <f t="shared" ca="1" si="61"/>
        <v>10.480086465853569</v>
      </c>
      <c r="Z199" s="30">
        <f t="shared" ca="1" si="61"/>
        <v>12.56741332999013</v>
      </c>
      <c r="AA199" s="26">
        <v>191</v>
      </c>
      <c r="AB199" s="31">
        <f t="shared" ca="1" si="54"/>
        <v>34</v>
      </c>
      <c r="AC199" s="31">
        <f t="shared" ca="1" si="41"/>
        <v>52</v>
      </c>
      <c r="AD199" s="31">
        <f t="shared" ca="1" si="42"/>
        <v>65</v>
      </c>
      <c r="AE199" s="31">
        <f t="shared" ca="1" si="43"/>
        <v>12</v>
      </c>
      <c r="AF199" s="31">
        <f t="shared" ca="1" si="44"/>
        <v>68</v>
      </c>
      <c r="AG199" s="31">
        <f t="shared" ca="1" si="45"/>
        <v>17</v>
      </c>
      <c r="AH199" s="31">
        <f t="shared" ca="1" si="46"/>
        <v>67</v>
      </c>
      <c r="AI199" s="31">
        <f t="shared" ca="1" si="47"/>
        <v>8</v>
      </c>
      <c r="AJ199" s="31">
        <f t="shared" ca="1" si="48"/>
        <v>11</v>
      </c>
      <c r="AK199" s="31">
        <f t="shared" ca="1" si="49"/>
        <v>10</v>
      </c>
      <c r="AL199" s="31">
        <f t="shared" ca="1" si="50"/>
        <v>13</v>
      </c>
      <c r="AM199" s="31">
        <f t="shared" ca="1" si="51"/>
        <v>16</v>
      </c>
    </row>
    <row r="200" spans="1:39">
      <c r="A200" s="27"/>
      <c r="B200" s="28">
        <v>40482</v>
      </c>
      <c r="C200" s="29">
        <v>2.6562500000000002E-3</v>
      </c>
      <c r="D200" s="29">
        <v>2.2820629849384932E-3</v>
      </c>
      <c r="E200" s="29">
        <v>5.9767908559462679E-3</v>
      </c>
      <c r="F200" s="29">
        <v>5.6558927115322177E-3</v>
      </c>
      <c r="G200" s="29">
        <v>-4.0214947694706682E-3</v>
      </c>
      <c r="H200" s="29">
        <v>2.4300000000000002E-2</v>
      </c>
      <c r="J200" s="24">
        <v>192</v>
      </c>
      <c r="K200" s="25">
        <f t="shared" si="52"/>
        <v>2.9744128239086219E-3</v>
      </c>
      <c r="L200" s="25">
        <f t="shared" si="53"/>
        <v>33.237160652026937</v>
      </c>
      <c r="N200" s="26">
        <v>192</v>
      </c>
      <c r="O200" s="30">
        <f t="shared" ca="1" si="61"/>
        <v>4.1817184887147381</v>
      </c>
      <c r="P200" s="30">
        <f t="shared" ca="1" si="61"/>
        <v>5.3886017894413447</v>
      </c>
      <c r="Q200" s="30">
        <f t="shared" ca="1" si="61"/>
        <v>11.434865969063042</v>
      </c>
      <c r="R200" s="30">
        <f t="shared" ca="1" si="61"/>
        <v>14.176194956704746</v>
      </c>
      <c r="S200" s="30">
        <f t="shared" ca="1" si="61"/>
        <v>5.9266759177084847</v>
      </c>
      <c r="T200" s="30">
        <f t="shared" ca="1" si="61"/>
        <v>1.1383485905914856</v>
      </c>
      <c r="U200" s="30">
        <f t="shared" ca="1" si="61"/>
        <v>6.5828653553483534</v>
      </c>
      <c r="V200" s="30">
        <f t="shared" ca="1" si="61"/>
        <v>14.37660711089311</v>
      </c>
      <c r="W200" s="30">
        <f t="shared" ca="1" si="61"/>
        <v>6.5286152784140157</v>
      </c>
      <c r="X200" s="30">
        <f t="shared" ca="1" si="61"/>
        <v>6.0657334097198969</v>
      </c>
      <c r="Y200" s="30">
        <f t="shared" ca="1" si="61"/>
        <v>0.40730608961414366</v>
      </c>
      <c r="Z200" s="30">
        <f t="shared" ca="1" si="61"/>
        <v>14.863155706665902</v>
      </c>
      <c r="AA200" s="26">
        <v>192</v>
      </c>
      <c r="AB200" s="31">
        <f t="shared" ca="1" si="54"/>
        <v>5</v>
      </c>
      <c r="AC200" s="31">
        <f t="shared" ca="1" si="41"/>
        <v>6</v>
      </c>
      <c r="AD200" s="31">
        <f t="shared" ca="1" si="42"/>
        <v>14</v>
      </c>
      <c r="AE200" s="31">
        <f t="shared" ca="1" si="43"/>
        <v>19</v>
      </c>
      <c r="AF200" s="31">
        <f t="shared" ca="1" si="44"/>
        <v>7</v>
      </c>
      <c r="AG200" s="31">
        <f t="shared" ca="1" si="45"/>
        <v>2</v>
      </c>
      <c r="AH200" s="31">
        <f t="shared" ca="1" si="46"/>
        <v>8</v>
      </c>
      <c r="AI200" s="31">
        <f t="shared" ca="1" si="47"/>
        <v>19</v>
      </c>
      <c r="AJ200" s="31">
        <f t="shared" ca="1" si="48"/>
        <v>8</v>
      </c>
      <c r="AK200" s="31">
        <f t="shared" ca="1" si="49"/>
        <v>7</v>
      </c>
      <c r="AL200" s="31">
        <f t="shared" ca="1" si="50"/>
        <v>1</v>
      </c>
      <c r="AM200" s="31">
        <f t="shared" ca="1" si="51"/>
        <v>20</v>
      </c>
    </row>
    <row r="201" spans="1:39">
      <c r="A201" s="27"/>
      <c r="B201" s="28">
        <v>40451</v>
      </c>
      <c r="C201" s="29">
        <v>2.7083333333333334E-3</v>
      </c>
      <c r="D201" s="29">
        <v>7.4489608239838301E-3</v>
      </c>
      <c r="E201" s="29">
        <v>2.2208348198358818E-2</v>
      </c>
      <c r="F201" s="29">
        <v>1.8123045943511107E-2</v>
      </c>
      <c r="G201" s="29">
        <v>2.9290795909293621E-3</v>
      </c>
      <c r="H201" s="29">
        <v>2.75E-2</v>
      </c>
      <c r="J201" s="24">
        <v>193</v>
      </c>
      <c r="K201" s="25">
        <f t="shared" si="52"/>
        <v>2.8851804391913632E-3</v>
      </c>
      <c r="L201" s="25">
        <f t="shared" si="53"/>
        <v>33.24004583246613</v>
      </c>
      <c r="N201" s="26">
        <v>193</v>
      </c>
      <c r="O201" s="30">
        <f t="shared" ca="1" si="61"/>
        <v>2.7043306243511318</v>
      </c>
      <c r="P201" s="30">
        <f t="shared" ca="1" si="61"/>
        <v>13.973245842564559</v>
      </c>
      <c r="Q201" s="30">
        <f t="shared" ca="1" si="61"/>
        <v>7.2480256658094646</v>
      </c>
      <c r="R201" s="30">
        <f t="shared" ca="1" si="61"/>
        <v>24.69641141275163</v>
      </c>
      <c r="S201" s="30">
        <f t="shared" ca="1" si="61"/>
        <v>24.595517031729685</v>
      </c>
      <c r="T201" s="30">
        <f t="shared" ca="1" si="61"/>
        <v>10.472252392158957</v>
      </c>
      <c r="U201" s="30">
        <f t="shared" ca="1" si="61"/>
        <v>11.775678225061386</v>
      </c>
      <c r="V201" s="30">
        <f t="shared" ca="1" si="61"/>
        <v>14.200414757391169</v>
      </c>
      <c r="W201" s="30">
        <f t="shared" ca="1" si="61"/>
        <v>31.372757357379431</v>
      </c>
      <c r="X201" s="30">
        <f t="shared" ca="1" si="61"/>
        <v>24.109240989482657</v>
      </c>
      <c r="Y201" s="30">
        <f t="shared" ca="1" si="61"/>
        <v>28.504502626665023</v>
      </c>
      <c r="Z201" s="30">
        <f t="shared" ca="1" si="61"/>
        <v>4.4148875425244958</v>
      </c>
      <c r="AA201" s="26">
        <v>193</v>
      </c>
      <c r="AB201" s="31">
        <f t="shared" ca="1" si="54"/>
        <v>3</v>
      </c>
      <c r="AC201" s="31">
        <f t="shared" ref="AC201:AC264" ca="1" si="62">MATCH(P201,cum_wt,1)</f>
        <v>18</v>
      </c>
      <c r="AD201" s="31">
        <f t="shared" ref="AD201:AD264" ca="1" si="63">MATCH(Q201,cum_wt,1)</f>
        <v>9</v>
      </c>
      <c r="AE201" s="31">
        <f t="shared" ref="AE201:AE264" ca="1" si="64">MATCH(R201,cum_wt,1)</f>
        <v>45</v>
      </c>
      <c r="AF201" s="31">
        <f t="shared" ref="AF201:AF264" ca="1" si="65">MATCH(S201,cum_wt,1)</f>
        <v>44</v>
      </c>
      <c r="AG201" s="31">
        <f t="shared" ref="AG201:AG264" ca="1" si="66">MATCH(T201,cum_wt,1)</f>
        <v>13</v>
      </c>
      <c r="AH201" s="31">
        <f t="shared" ref="AH201:AH264" ca="1" si="67">MATCH(U201,cum_wt,1)</f>
        <v>15</v>
      </c>
      <c r="AI201" s="31">
        <f t="shared" ref="AI201:AI264" ca="1" si="68">MATCH(V201,cum_wt,1)</f>
        <v>19</v>
      </c>
      <c r="AJ201" s="31">
        <f t="shared" ref="AJ201:AJ264" ca="1" si="69">MATCH(W201,cum_wt,1)</f>
        <v>94</v>
      </c>
      <c r="AK201" s="31">
        <f t="shared" ref="AK201:AK264" ca="1" si="70">MATCH(X201,cum_wt,1)</f>
        <v>43</v>
      </c>
      <c r="AL201" s="31">
        <f t="shared" ref="AL201:AL264" ca="1" si="71">MATCH(Y201,cum_wt,1)</f>
        <v>64</v>
      </c>
      <c r="AM201" s="31">
        <f t="shared" ref="AM201:AM264" ca="1" si="72">MATCH(Z201,cum_wt,1)</f>
        <v>5</v>
      </c>
    </row>
    <row r="202" spans="1:39">
      <c r="A202" s="27"/>
      <c r="B202" s="28">
        <v>40421</v>
      </c>
      <c r="C202" s="29">
        <v>2.6909722222222222E-3</v>
      </c>
      <c r="D202" s="29">
        <v>-2.7055532627138223E-3</v>
      </c>
      <c r="E202" s="29">
        <v>-1.8783772956708633E-3</v>
      </c>
      <c r="F202" s="29">
        <v>1.2734122141455639E-3</v>
      </c>
      <c r="G202" s="29">
        <v>2.6749198208857683E-2</v>
      </c>
      <c r="H202" s="29">
        <v>2.07E-2</v>
      </c>
      <c r="J202" s="24">
        <v>194</v>
      </c>
      <c r="K202" s="25">
        <f t="shared" ref="K202:K218" si="73">K201*lambda</f>
        <v>2.7986250260156223E-3</v>
      </c>
      <c r="L202" s="25">
        <f t="shared" ref="L202:L218" si="74">L201+K202</f>
        <v>33.242844457492147</v>
      </c>
      <c r="N202" s="26">
        <v>194</v>
      </c>
      <c r="O202" s="30">
        <f t="shared" ca="1" si="61"/>
        <v>7.7248091046848399</v>
      </c>
      <c r="P202" s="30">
        <f t="shared" ca="1" si="61"/>
        <v>15.799687348093467</v>
      </c>
      <c r="Q202" s="30">
        <f t="shared" ca="1" si="61"/>
        <v>22.517663437428695</v>
      </c>
      <c r="R202" s="30">
        <f t="shared" ca="1" si="61"/>
        <v>8.0490551931799832</v>
      </c>
      <c r="S202" s="30">
        <f t="shared" ca="1" si="61"/>
        <v>17.497027061030334</v>
      </c>
      <c r="T202" s="30">
        <f t="shared" ca="1" si="61"/>
        <v>25.768738592434755</v>
      </c>
      <c r="U202" s="30">
        <f t="shared" ca="1" si="61"/>
        <v>10.828760297926404</v>
      </c>
      <c r="V202" s="30">
        <f t="shared" ca="1" si="61"/>
        <v>19.780944531312706</v>
      </c>
      <c r="W202" s="30">
        <f t="shared" ca="1" si="61"/>
        <v>19.264685709051051</v>
      </c>
      <c r="X202" s="30">
        <f t="shared" ca="1" si="61"/>
        <v>4.3087966840154497</v>
      </c>
      <c r="Y202" s="30">
        <f t="shared" ca="1" si="61"/>
        <v>17.574182230034339</v>
      </c>
      <c r="Z202" s="30">
        <f t="shared" ca="1" si="61"/>
        <v>16.603967685009284</v>
      </c>
      <c r="AA202" s="26">
        <v>194</v>
      </c>
      <c r="AB202" s="31">
        <f t="shared" ref="AB202:AB265" ca="1" si="75">MATCH(O202,cum_wt,1)</f>
        <v>9</v>
      </c>
      <c r="AC202" s="31">
        <f t="shared" ca="1" si="62"/>
        <v>22</v>
      </c>
      <c r="AD202" s="31">
        <f t="shared" ca="1" si="63"/>
        <v>37</v>
      </c>
      <c r="AE202" s="31">
        <f t="shared" ca="1" si="64"/>
        <v>10</v>
      </c>
      <c r="AF202" s="31">
        <f t="shared" ca="1" si="65"/>
        <v>25</v>
      </c>
      <c r="AG202" s="31">
        <f t="shared" ca="1" si="66"/>
        <v>49</v>
      </c>
      <c r="AH202" s="31">
        <f t="shared" ca="1" si="67"/>
        <v>13</v>
      </c>
      <c r="AI202" s="31">
        <f t="shared" ca="1" si="68"/>
        <v>30</v>
      </c>
      <c r="AJ202" s="31">
        <f t="shared" ca="1" si="69"/>
        <v>29</v>
      </c>
      <c r="AK202" s="31">
        <f t="shared" ca="1" si="70"/>
        <v>5</v>
      </c>
      <c r="AL202" s="31">
        <f t="shared" ca="1" si="71"/>
        <v>25</v>
      </c>
      <c r="AM202" s="31">
        <f t="shared" ca="1" si="72"/>
        <v>23</v>
      </c>
    </row>
    <row r="203" spans="1:39">
      <c r="A203" s="27"/>
      <c r="B203" s="28">
        <v>40390</v>
      </c>
      <c r="C203" s="29">
        <v>2.6562500000000002E-3</v>
      </c>
      <c r="D203" s="29">
        <v>6.322104291647479E-3</v>
      </c>
      <c r="E203" s="29">
        <v>8.9369116907380697E-3</v>
      </c>
      <c r="F203" s="29">
        <v>6.9634906500444238E-3</v>
      </c>
      <c r="G203" s="29">
        <v>-2.417030028642031E-2</v>
      </c>
      <c r="H203" s="29">
        <v>2.3E-2</v>
      </c>
      <c r="J203" s="24">
        <v>195</v>
      </c>
      <c r="K203" s="25">
        <f t="shared" si="73"/>
        <v>2.7146662752351534E-3</v>
      </c>
      <c r="L203" s="25">
        <f t="shared" si="74"/>
        <v>33.245559123767386</v>
      </c>
      <c r="N203" s="26">
        <v>195</v>
      </c>
      <c r="O203" s="30">
        <f t="shared" ca="1" si="61"/>
        <v>20.41119823809851</v>
      </c>
      <c r="P203" s="30">
        <f t="shared" ca="1" si="61"/>
        <v>14.456959377075338</v>
      </c>
      <c r="Q203" s="30">
        <f t="shared" ca="1" si="61"/>
        <v>29.759106628332159</v>
      </c>
      <c r="R203" s="30">
        <f t="shared" ca="1" si="61"/>
        <v>24.981809042078421</v>
      </c>
      <c r="S203" s="30">
        <f t="shared" ca="1" si="61"/>
        <v>3.4259121072065231</v>
      </c>
      <c r="T203" s="30">
        <f t="shared" ca="1" si="61"/>
        <v>23.6569735582523</v>
      </c>
      <c r="U203" s="30">
        <f t="shared" ca="1" si="61"/>
        <v>27.557793716982239</v>
      </c>
      <c r="V203" s="30">
        <f t="shared" ca="1" si="61"/>
        <v>17.316363065984</v>
      </c>
      <c r="W203" s="30">
        <f t="shared" ca="1" si="61"/>
        <v>30.536275157569747</v>
      </c>
      <c r="X203" s="30">
        <f t="shared" ca="1" si="61"/>
        <v>5.0749572836153094</v>
      </c>
      <c r="Y203" s="30">
        <f t="shared" ca="1" si="61"/>
        <v>18.471891856548702</v>
      </c>
      <c r="Z203" s="30">
        <f t="shared" ca="1" si="61"/>
        <v>12.911346967590752</v>
      </c>
      <c r="AA203" s="26">
        <v>195</v>
      </c>
      <c r="AB203" s="31">
        <f t="shared" ca="1" si="75"/>
        <v>32</v>
      </c>
      <c r="AC203" s="31">
        <f t="shared" ca="1" si="62"/>
        <v>19</v>
      </c>
      <c r="AD203" s="31">
        <f t="shared" ca="1" si="63"/>
        <v>74</v>
      </c>
      <c r="AE203" s="31">
        <f t="shared" ca="1" si="64"/>
        <v>46</v>
      </c>
      <c r="AF203" s="31">
        <f t="shared" ca="1" si="65"/>
        <v>4</v>
      </c>
      <c r="AG203" s="31">
        <f t="shared" ca="1" si="66"/>
        <v>41</v>
      </c>
      <c r="AH203" s="31">
        <f t="shared" ca="1" si="67"/>
        <v>58</v>
      </c>
      <c r="AI203" s="31">
        <f t="shared" ca="1" si="68"/>
        <v>25</v>
      </c>
      <c r="AJ203" s="31">
        <f t="shared" ca="1" si="69"/>
        <v>82</v>
      </c>
      <c r="AK203" s="31">
        <f t="shared" ca="1" si="70"/>
        <v>6</v>
      </c>
      <c r="AL203" s="31">
        <f t="shared" ca="1" si="71"/>
        <v>27</v>
      </c>
      <c r="AM203" s="31">
        <f t="shared" ca="1" si="72"/>
        <v>17</v>
      </c>
    </row>
    <row r="204" spans="1:39">
      <c r="A204" s="27"/>
      <c r="B204" s="28">
        <v>40359</v>
      </c>
      <c r="C204" s="29">
        <v>2.921875E-3</v>
      </c>
      <c r="D204" s="29">
        <v>3.0828480702111971E-3</v>
      </c>
      <c r="E204" s="29">
        <v>2.9818476645195879E-3</v>
      </c>
      <c r="F204" s="29">
        <v>4.1668902122788953E-3</v>
      </c>
      <c r="G204" s="29">
        <v>2.109983756233591E-2</v>
      </c>
      <c r="H204" s="29">
        <v>1.5100000000000001E-2</v>
      </c>
      <c r="J204" s="24">
        <v>196</v>
      </c>
      <c r="K204" s="25">
        <f t="shared" si="73"/>
        <v>2.6332262869780986E-3</v>
      </c>
      <c r="L204" s="25">
        <f t="shared" si="74"/>
        <v>33.248192350054367</v>
      </c>
      <c r="N204" s="26">
        <v>196</v>
      </c>
      <c r="O204" s="30">
        <f t="shared" ca="1" si="61"/>
        <v>15.933948517730984</v>
      </c>
      <c r="P204" s="30">
        <f t="shared" ca="1" si="61"/>
        <v>15.456163116881289</v>
      </c>
      <c r="Q204" s="30">
        <f t="shared" ca="1" si="61"/>
        <v>3.4571500517660043</v>
      </c>
      <c r="R204" s="30">
        <f t="shared" ca="1" si="61"/>
        <v>12.591942331901164</v>
      </c>
      <c r="S204" s="30">
        <f t="shared" ca="1" si="61"/>
        <v>24.304942723959851</v>
      </c>
      <c r="T204" s="30">
        <f t="shared" ca="1" si="61"/>
        <v>21.115525547730151</v>
      </c>
      <c r="U204" s="30">
        <f t="shared" ca="1" si="61"/>
        <v>2.5185016101652793</v>
      </c>
      <c r="V204" s="30">
        <f t="shared" ca="1" si="61"/>
        <v>10.292416217529953</v>
      </c>
      <c r="W204" s="30">
        <f t="shared" ca="1" si="61"/>
        <v>16.986944315259873</v>
      </c>
      <c r="X204" s="30">
        <f t="shared" ca="1" si="61"/>
        <v>0.68743994787556306</v>
      </c>
      <c r="Y204" s="30">
        <f t="shared" ca="1" si="61"/>
        <v>31.574707335770402</v>
      </c>
      <c r="Z204" s="30">
        <f t="shared" ca="1" si="61"/>
        <v>2.2578156944385528</v>
      </c>
      <c r="AA204" s="26">
        <v>196</v>
      </c>
      <c r="AB204" s="31">
        <f t="shared" ca="1" si="75"/>
        <v>22</v>
      </c>
      <c r="AC204" s="31">
        <f t="shared" ca="1" si="62"/>
        <v>21</v>
      </c>
      <c r="AD204" s="31">
        <f t="shared" ca="1" si="63"/>
        <v>4</v>
      </c>
      <c r="AE204" s="31">
        <f t="shared" ca="1" si="64"/>
        <v>16</v>
      </c>
      <c r="AF204" s="31">
        <f t="shared" ca="1" si="65"/>
        <v>43</v>
      </c>
      <c r="AG204" s="31">
        <f t="shared" ca="1" si="66"/>
        <v>33</v>
      </c>
      <c r="AH204" s="31">
        <f t="shared" ca="1" si="67"/>
        <v>3</v>
      </c>
      <c r="AI204" s="31">
        <f t="shared" ca="1" si="68"/>
        <v>13</v>
      </c>
      <c r="AJ204" s="31">
        <f t="shared" ca="1" si="69"/>
        <v>24</v>
      </c>
      <c r="AK204" s="31">
        <f t="shared" ca="1" si="70"/>
        <v>1</v>
      </c>
      <c r="AL204" s="31">
        <f t="shared" ca="1" si="71"/>
        <v>97</v>
      </c>
      <c r="AM204" s="31">
        <f t="shared" ca="1" si="72"/>
        <v>3</v>
      </c>
    </row>
    <row r="205" spans="1:39">
      <c r="A205" s="27"/>
      <c r="B205" s="28">
        <v>40329</v>
      </c>
      <c r="C205" s="29">
        <v>2.4791666666666668E-3</v>
      </c>
      <c r="D205" s="29">
        <v>8.0726444676719744E-3</v>
      </c>
      <c r="E205" s="29">
        <v>1.9582449275761471E-2</v>
      </c>
      <c r="F205" s="29">
        <v>1.7505231553088807E-2</v>
      </c>
      <c r="G205" s="29">
        <v>1.3627438548763138E-2</v>
      </c>
      <c r="H205" s="29">
        <v>2.2000000000000002E-2</v>
      </c>
      <c r="J205" s="24">
        <v>197</v>
      </c>
      <c r="K205" s="25">
        <f t="shared" si="73"/>
        <v>2.5542294983687554E-3</v>
      </c>
      <c r="L205" s="25">
        <f t="shared" si="74"/>
        <v>33.250746579552739</v>
      </c>
      <c r="N205" s="26">
        <v>197</v>
      </c>
      <c r="O205" s="30">
        <f t="shared" ca="1" si="61"/>
        <v>11.147928133094801</v>
      </c>
      <c r="P205" s="30">
        <f t="shared" ca="1" si="61"/>
        <v>30.290480101320149</v>
      </c>
      <c r="Q205" s="30">
        <f t="shared" ca="1" si="61"/>
        <v>17.322809458504434</v>
      </c>
      <c r="R205" s="30">
        <f t="shared" ca="1" si="61"/>
        <v>2.5331082118314319</v>
      </c>
      <c r="S205" s="30">
        <f t="shared" ca="1" si="61"/>
        <v>12.949568461690061</v>
      </c>
      <c r="T205" s="30">
        <f t="shared" ca="1" si="61"/>
        <v>2.0680849024914179</v>
      </c>
      <c r="U205" s="30">
        <f t="shared" ca="1" si="61"/>
        <v>28.43817681344618</v>
      </c>
      <c r="V205" s="30">
        <f t="shared" ca="1" si="61"/>
        <v>21.067493625344401</v>
      </c>
      <c r="W205" s="30">
        <f t="shared" ca="1" si="61"/>
        <v>20.294765949120617</v>
      </c>
      <c r="X205" s="30">
        <f t="shared" ca="1" si="61"/>
        <v>6.9565711730474957</v>
      </c>
      <c r="Y205" s="30">
        <f t="shared" ca="1" si="61"/>
        <v>28.243794101951067</v>
      </c>
      <c r="Z205" s="30">
        <f t="shared" ca="1" si="61"/>
        <v>7.2670961271752219</v>
      </c>
      <c r="AA205" s="26">
        <v>197</v>
      </c>
      <c r="AB205" s="31">
        <f t="shared" ca="1" si="75"/>
        <v>14</v>
      </c>
      <c r="AC205" s="31">
        <f t="shared" ca="1" si="62"/>
        <v>79</v>
      </c>
      <c r="AD205" s="31">
        <f t="shared" ca="1" si="63"/>
        <v>25</v>
      </c>
      <c r="AE205" s="31">
        <f t="shared" ca="1" si="64"/>
        <v>3</v>
      </c>
      <c r="AF205" s="31">
        <f t="shared" ca="1" si="65"/>
        <v>17</v>
      </c>
      <c r="AG205" s="31">
        <f t="shared" ca="1" si="66"/>
        <v>3</v>
      </c>
      <c r="AH205" s="31">
        <f t="shared" ca="1" si="67"/>
        <v>63</v>
      </c>
      <c r="AI205" s="31">
        <f t="shared" ca="1" si="68"/>
        <v>33</v>
      </c>
      <c r="AJ205" s="31">
        <f t="shared" ca="1" si="69"/>
        <v>31</v>
      </c>
      <c r="AK205" s="31">
        <f t="shared" ca="1" si="70"/>
        <v>8</v>
      </c>
      <c r="AL205" s="31">
        <f t="shared" ca="1" si="71"/>
        <v>62</v>
      </c>
      <c r="AM205" s="31">
        <f t="shared" ca="1" si="72"/>
        <v>9</v>
      </c>
    </row>
    <row r="206" spans="1:39">
      <c r="A206" s="27"/>
      <c r="B206" s="28">
        <v>40298</v>
      </c>
      <c r="C206" s="29">
        <v>2.6684027777777778E-3</v>
      </c>
      <c r="D206" s="29">
        <v>8.7077673284570167E-3</v>
      </c>
      <c r="E206" s="29">
        <v>1.6820457262402888E-2</v>
      </c>
      <c r="F206" s="29">
        <v>1.9176202221768746E-2</v>
      </c>
      <c r="G206" s="29">
        <v>8.3614567067951118E-3</v>
      </c>
      <c r="H206" s="29">
        <v>8.6999999999999994E-3</v>
      </c>
      <c r="J206" s="24">
        <v>198</v>
      </c>
      <c r="K206" s="25">
        <f t="shared" si="73"/>
        <v>2.4776026134176927E-3</v>
      </c>
      <c r="L206" s="25">
        <f t="shared" si="74"/>
        <v>33.253224182166157</v>
      </c>
      <c r="N206" s="26">
        <v>198</v>
      </c>
      <c r="O206" s="30">
        <f t="shared" ca="1" si="61"/>
        <v>5.7477355853170273</v>
      </c>
      <c r="P206" s="30">
        <f t="shared" ca="1" si="61"/>
        <v>14.02820960736868</v>
      </c>
      <c r="Q206" s="30">
        <f t="shared" ca="1" si="61"/>
        <v>8.1045442615496288</v>
      </c>
      <c r="R206" s="30">
        <f t="shared" ca="1" si="61"/>
        <v>17.458881264283672</v>
      </c>
      <c r="S206" s="30">
        <f t="shared" ca="1" si="61"/>
        <v>12.614997607823954</v>
      </c>
      <c r="T206" s="30">
        <f t="shared" ca="1" si="61"/>
        <v>8.2582060085541453</v>
      </c>
      <c r="U206" s="30">
        <f t="shared" ca="1" si="61"/>
        <v>24.501747556199948</v>
      </c>
      <c r="V206" s="30">
        <f t="shared" ca="1" si="61"/>
        <v>2.8930715603967179</v>
      </c>
      <c r="W206" s="30">
        <f t="shared" ca="1" si="61"/>
        <v>17.619799044687504</v>
      </c>
      <c r="X206" s="30">
        <f t="shared" ca="1" si="61"/>
        <v>24.105129532706133</v>
      </c>
      <c r="Y206" s="30">
        <f t="shared" ca="1" si="61"/>
        <v>4.1199142276981924</v>
      </c>
      <c r="Z206" s="30">
        <f t="shared" ca="1" si="61"/>
        <v>11.83930886453218</v>
      </c>
      <c r="AA206" s="26">
        <v>198</v>
      </c>
      <c r="AB206" s="31">
        <f t="shared" ca="1" si="75"/>
        <v>7</v>
      </c>
      <c r="AC206" s="31">
        <f t="shared" ca="1" si="62"/>
        <v>18</v>
      </c>
      <c r="AD206" s="31">
        <f t="shared" ca="1" si="63"/>
        <v>10</v>
      </c>
      <c r="AE206" s="31">
        <f t="shared" ca="1" si="64"/>
        <v>25</v>
      </c>
      <c r="AF206" s="31">
        <f t="shared" ca="1" si="65"/>
        <v>16</v>
      </c>
      <c r="AG206" s="31">
        <f t="shared" ca="1" si="66"/>
        <v>10</v>
      </c>
      <c r="AH206" s="31">
        <f t="shared" ca="1" si="67"/>
        <v>44</v>
      </c>
      <c r="AI206" s="31">
        <f t="shared" ca="1" si="68"/>
        <v>3</v>
      </c>
      <c r="AJ206" s="31">
        <f t="shared" ca="1" si="69"/>
        <v>25</v>
      </c>
      <c r="AK206" s="31">
        <f t="shared" ca="1" si="70"/>
        <v>43</v>
      </c>
      <c r="AL206" s="31">
        <f t="shared" ca="1" si="71"/>
        <v>5</v>
      </c>
      <c r="AM206" s="31">
        <f t="shared" ca="1" si="72"/>
        <v>15</v>
      </c>
    </row>
    <row r="207" spans="1:39">
      <c r="A207" s="27"/>
      <c r="B207" s="28">
        <v>40268</v>
      </c>
      <c r="C207" s="29">
        <v>3.6597222222222222E-3</v>
      </c>
      <c r="D207" s="29">
        <v>9.7047696899417168E-3</v>
      </c>
      <c r="E207" s="29">
        <v>1.7117887337323223E-2</v>
      </c>
      <c r="F207" s="29">
        <v>1.5901426229817162E-2</v>
      </c>
      <c r="G207" s="29">
        <v>1.2272513335425117E-2</v>
      </c>
      <c r="H207" s="29">
        <v>1.8100000000000002E-2</v>
      </c>
      <c r="J207" s="24">
        <v>199</v>
      </c>
      <c r="K207" s="25">
        <f t="shared" si="73"/>
        <v>2.4032745350151619E-3</v>
      </c>
      <c r="L207" s="25">
        <f t="shared" si="74"/>
        <v>33.25562745670117</v>
      </c>
      <c r="N207" s="26">
        <v>199</v>
      </c>
      <c r="O207" s="30">
        <f t="shared" ca="1" si="61"/>
        <v>3.0831562354957409</v>
      </c>
      <c r="P207" s="30">
        <f t="shared" ca="1" si="61"/>
        <v>4.8071982423929933</v>
      </c>
      <c r="Q207" s="30">
        <f t="shared" ca="1" si="61"/>
        <v>8.6793770707619196</v>
      </c>
      <c r="R207" s="30">
        <f t="shared" ca="1" si="61"/>
        <v>14.329717867554891</v>
      </c>
      <c r="S207" s="30">
        <f t="shared" ca="1" si="61"/>
        <v>6.7600917322376199</v>
      </c>
      <c r="T207" s="30">
        <f t="shared" ca="1" si="61"/>
        <v>30.113748036064937</v>
      </c>
      <c r="U207" s="30">
        <f t="shared" ca="1" si="61"/>
        <v>14.712724555019941</v>
      </c>
      <c r="V207" s="30">
        <f t="shared" ca="1" si="61"/>
        <v>4.6377672964630143</v>
      </c>
      <c r="W207" s="30">
        <f t="shared" ca="1" si="61"/>
        <v>5.9214099255101926</v>
      </c>
      <c r="X207" s="30">
        <f t="shared" ca="1" si="61"/>
        <v>21.289213148164333</v>
      </c>
      <c r="Y207" s="30">
        <f t="shared" ca="1" si="61"/>
        <v>23.368538617524646</v>
      </c>
      <c r="Z207" s="30">
        <f t="shared" ca="1" si="61"/>
        <v>17.161766068577613</v>
      </c>
      <c r="AA207" s="26">
        <v>199</v>
      </c>
      <c r="AB207" s="31">
        <f t="shared" ca="1" si="75"/>
        <v>4</v>
      </c>
      <c r="AC207" s="31">
        <f t="shared" ca="1" si="62"/>
        <v>6</v>
      </c>
      <c r="AD207" s="31">
        <f t="shared" ca="1" si="63"/>
        <v>10</v>
      </c>
      <c r="AE207" s="31">
        <f t="shared" ca="1" si="64"/>
        <v>19</v>
      </c>
      <c r="AF207" s="31">
        <f t="shared" ca="1" si="65"/>
        <v>8</v>
      </c>
      <c r="AG207" s="31">
        <f t="shared" ca="1" si="66"/>
        <v>77</v>
      </c>
      <c r="AH207" s="31">
        <f t="shared" ca="1" si="67"/>
        <v>20</v>
      </c>
      <c r="AI207" s="31">
        <f t="shared" ca="1" si="68"/>
        <v>5</v>
      </c>
      <c r="AJ207" s="31">
        <f t="shared" ca="1" si="69"/>
        <v>7</v>
      </c>
      <c r="AK207" s="31">
        <f t="shared" ca="1" si="70"/>
        <v>34</v>
      </c>
      <c r="AL207" s="31">
        <f t="shared" ca="1" si="71"/>
        <v>40</v>
      </c>
      <c r="AM207" s="31">
        <f t="shared" ca="1" si="72"/>
        <v>24</v>
      </c>
    </row>
    <row r="208" spans="1:39">
      <c r="A208" s="27"/>
      <c r="B208" s="28">
        <v>40237</v>
      </c>
      <c r="C208" s="29">
        <v>2.7986111111111111E-3</v>
      </c>
      <c r="D208" s="29">
        <v>-1.4047876682422578E-3</v>
      </c>
      <c r="E208" s="29">
        <v>-2.1138843335576363E-3</v>
      </c>
      <c r="F208" s="29">
        <v>2.2613775558277815E-4</v>
      </c>
      <c r="G208" s="29">
        <v>3.4049913917048036E-2</v>
      </c>
      <c r="H208" s="29">
        <v>3.0000000000000001E-3</v>
      </c>
      <c r="J208" s="24">
        <v>200</v>
      </c>
      <c r="K208" s="25">
        <f t="shared" si="73"/>
        <v>2.3311762989647071E-3</v>
      </c>
      <c r="L208" s="25">
        <f t="shared" si="74"/>
        <v>33.257958633000136</v>
      </c>
      <c r="N208" s="26">
        <v>200</v>
      </c>
      <c r="O208" s="30">
        <f t="shared" ca="1" si="61"/>
        <v>27.69649640025181</v>
      </c>
      <c r="P208" s="30">
        <f t="shared" ca="1" si="61"/>
        <v>29.10512595276591</v>
      </c>
      <c r="Q208" s="30">
        <f t="shared" ca="1" si="61"/>
        <v>22.736674636988347</v>
      </c>
      <c r="R208" s="30">
        <f t="shared" ca="1" si="61"/>
        <v>25.610519842143599</v>
      </c>
      <c r="S208" s="30">
        <f t="shared" ca="1" si="61"/>
        <v>13.395266173429466</v>
      </c>
      <c r="T208" s="30">
        <f t="shared" ca="1" si="61"/>
        <v>4.0250611970526711</v>
      </c>
      <c r="U208" s="30">
        <f t="shared" ca="1" si="61"/>
        <v>14.194740387165126</v>
      </c>
      <c r="V208" s="30">
        <f t="shared" ca="1" si="61"/>
        <v>9.6441685380836759</v>
      </c>
      <c r="W208" s="30">
        <f t="shared" ca="1" si="61"/>
        <v>15.625505061500974</v>
      </c>
      <c r="X208" s="30">
        <f t="shared" ca="1" si="61"/>
        <v>16.567581859012758</v>
      </c>
      <c r="Y208" s="30">
        <f t="shared" ca="1" si="61"/>
        <v>21.953800212032704</v>
      </c>
      <c r="Z208" s="30">
        <f t="shared" ca="1" si="61"/>
        <v>1.6166420142459452</v>
      </c>
      <c r="AA208" s="26">
        <v>200</v>
      </c>
      <c r="AB208" s="31">
        <f t="shared" ca="1" si="75"/>
        <v>59</v>
      </c>
      <c r="AC208" s="31">
        <f t="shared" ca="1" si="62"/>
        <v>68</v>
      </c>
      <c r="AD208" s="31">
        <f t="shared" ca="1" si="63"/>
        <v>38</v>
      </c>
      <c r="AE208" s="31">
        <f t="shared" ca="1" si="64"/>
        <v>49</v>
      </c>
      <c r="AF208" s="31">
        <f t="shared" ca="1" si="65"/>
        <v>17</v>
      </c>
      <c r="AG208" s="31">
        <f t="shared" ca="1" si="66"/>
        <v>5</v>
      </c>
      <c r="AH208" s="31">
        <f t="shared" ca="1" si="67"/>
        <v>19</v>
      </c>
      <c r="AI208" s="31">
        <f t="shared" ca="1" si="68"/>
        <v>12</v>
      </c>
      <c r="AJ208" s="31">
        <f t="shared" ca="1" si="69"/>
        <v>21</v>
      </c>
      <c r="AK208" s="31">
        <f t="shared" ca="1" si="70"/>
        <v>23</v>
      </c>
      <c r="AL208" s="31">
        <f t="shared" ca="1" si="71"/>
        <v>36</v>
      </c>
      <c r="AM208" s="31">
        <f t="shared" ca="1" si="72"/>
        <v>2</v>
      </c>
    </row>
    <row r="209" spans="1:39">
      <c r="A209" s="27"/>
      <c r="B209" s="28">
        <v>40209</v>
      </c>
      <c r="C209" s="29">
        <v>2.6041666666666665E-3</v>
      </c>
      <c r="D209" s="29">
        <v>-6.0943396226414981E-3</v>
      </c>
      <c r="E209" s="29">
        <v>-1.4342041334977851E-2</v>
      </c>
      <c r="F209" s="29">
        <v>-1.3258209676819455E-2</v>
      </c>
      <c r="G209" s="29">
        <v>3.4552154829468051E-3</v>
      </c>
      <c r="H209" s="29">
        <v>1.7000000000000001E-2</v>
      </c>
      <c r="J209" s="24">
        <v>201</v>
      </c>
      <c r="K209" s="25">
        <f t="shared" si="73"/>
        <v>2.2612410099957657E-3</v>
      </c>
      <c r="L209" s="25">
        <f t="shared" si="74"/>
        <v>33.260219874010133</v>
      </c>
      <c r="N209" s="26">
        <v>201</v>
      </c>
      <c r="O209" s="30">
        <f t="shared" ref="O209:Z218" ca="1" si="76">RAND()*sumweights</f>
        <v>23.875671902579668</v>
      </c>
      <c r="P209" s="30">
        <f t="shared" ca="1" si="76"/>
        <v>28.846206632256067</v>
      </c>
      <c r="Q209" s="30">
        <f t="shared" ca="1" si="76"/>
        <v>8.212013373808249</v>
      </c>
      <c r="R209" s="30">
        <f t="shared" ca="1" si="76"/>
        <v>14.312748264947194</v>
      </c>
      <c r="S209" s="30">
        <f t="shared" ca="1" si="76"/>
        <v>22.728116710989937</v>
      </c>
      <c r="T209" s="30">
        <f t="shared" ca="1" si="76"/>
        <v>10.763762472328025</v>
      </c>
      <c r="U209" s="30">
        <f t="shared" ca="1" si="76"/>
        <v>26.520330220897225</v>
      </c>
      <c r="V209" s="30">
        <f t="shared" ca="1" si="76"/>
        <v>2.5077295712836034</v>
      </c>
      <c r="W209" s="30">
        <f t="shared" ca="1" si="76"/>
        <v>19.490735642772503</v>
      </c>
      <c r="X209" s="30">
        <f t="shared" ca="1" si="76"/>
        <v>0.2698262496698049</v>
      </c>
      <c r="Y209" s="30">
        <f t="shared" ca="1" si="76"/>
        <v>0.41802139428605362</v>
      </c>
      <c r="Z209" s="30">
        <f t="shared" ca="1" si="76"/>
        <v>25.320992624924585</v>
      </c>
      <c r="AA209" s="26">
        <v>201</v>
      </c>
      <c r="AB209" s="31">
        <f t="shared" ca="1" si="75"/>
        <v>42</v>
      </c>
      <c r="AC209" s="31">
        <f t="shared" ca="1" si="62"/>
        <v>66</v>
      </c>
      <c r="AD209" s="31">
        <f t="shared" ca="1" si="63"/>
        <v>10</v>
      </c>
      <c r="AE209" s="31">
        <f t="shared" ca="1" si="64"/>
        <v>19</v>
      </c>
      <c r="AF209" s="31">
        <f t="shared" ca="1" si="65"/>
        <v>38</v>
      </c>
      <c r="AG209" s="31">
        <f t="shared" ca="1" si="66"/>
        <v>13</v>
      </c>
      <c r="AH209" s="31">
        <f t="shared" ca="1" si="67"/>
        <v>53</v>
      </c>
      <c r="AI209" s="31">
        <f t="shared" ca="1" si="68"/>
        <v>3</v>
      </c>
      <c r="AJ209" s="31">
        <f t="shared" ca="1" si="69"/>
        <v>29</v>
      </c>
      <c r="AK209" s="31">
        <f t="shared" ca="1" si="70"/>
        <v>1</v>
      </c>
      <c r="AL209" s="31">
        <f t="shared" ca="1" si="71"/>
        <v>1</v>
      </c>
      <c r="AM209" s="31">
        <f t="shared" ca="1" si="72"/>
        <v>47</v>
      </c>
    </row>
    <row r="210" spans="1:39">
      <c r="A210" s="27"/>
      <c r="B210" s="28">
        <v>40178</v>
      </c>
      <c r="C210" s="29">
        <v>2.9166666666666668E-3</v>
      </c>
      <c r="D210" s="29">
        <v>9.6103475535997962E-3</v>
      </c>
      <c r="E210" s="29">
        <v>1.4329580348004134E-2</v>
      </c>
      <c r="F210" s="29">
        <v>1.1853691578234349E-2</v>
      </c>
      <c r="G210" s="29">
        <v>1.1751553869180587E-2</v>
      </c>
      <c r="H210" s="29">
        <v>2.4900000000000002E-2</v>
      </c>
      <c r="J210" s="24">
        <v>202</v>
      </c>
      <c r="K210" s="25">
        <f t="shared" si="73"/>
        <v>2.1934037796958925E-3</v>
      </c>
      <c r="L210" s="25">
        <f t="shared" si="74"/>
        <v>33.262413277789825</v>
      </c>
      <c r="N210" s="26">
        <v>202</v>
      </c>
      <c r="O210" s="30">
        <f t="shared" ca="1" si="76"/>
        <v>11.553700961320665</v>
      </c>
      <c r="P210" s="30">
        <f t="shared" ca="1" si="76"/>
        <v>3.6524841943049724</v>
      </c>
      <c r="Q210" s="30">
        <f t="shared" ca="1" si="76"/>
        <v>33.277288946704346</v>
      </c>
      <c r="R210" s="30">
        <f t="shared" ca="1" si="76"/>
        <v>23.016429859833892</v>
      </c>
      <c r="S210" s="30">
        <f t="shared" ca="1" si="76"/>
        <v>28.315183924482248</v>
      </c>
      <c r="T210" s="30">
        <f t="shared" ca="1" si="76"/>
        <v>14.472870846683858</v>
      </c>
      <c r="U210" s="30">
        <f t="shared" ca="1" si="76"/>
        <v>33.109660339386053</v>
      </c>
      <c r="V210" s="30">
        <f t="shared" ca="1" si="76"/>
        <v>10.863922855228626</v>
      </c>
      <c r="W210" s="30">
        <f t="shared" ca="1" si="76"/>
        <v>7.1118628035590081</v>
      </c>
      <c r="X210" s="30">
        <f t="shared" ca="1" si="76"/>
        <v>11.604128877045415</v>
      </c>
      <c r="Y210" s="30">
        <f t="shared" ca="1" si="76"/>
        <v>7.5932125413958325</v>
      </c>
      <c r="Z210" s="30">
        <f t="shared" ca="1" si="76"/>
        <v>24.716554798238914</v>
      </c>
      <c r="AA210" s="26">
        <v>202</v>
      </c>
      <c r="AB210" s="31">
        <f t="shared" ca="1" si="75"/>
        <v>14</v>
      </c>
      <c r="AC210" s="31">
        <f t="shared" ca="1" si="62"/>
        <v>4</v>
      </c>
      <c r="AD210" s="31">
        <f t="shared" ca="1" si="63"/>
        <v>210</v>
      </c>
      <c r="AE210" s="31">
        <f t="shared" ca="1" si="64"/>
        <v>39</v>
      </c>
      <c r="AF210" s="31">
        <f t="shared" ca="1" si="65"/>
        <v>63</v>
      </c>
      <c r="AG210" s="31">
        <f t="shared" ca="1" si="66"/>
        <v>19</v>
      </c>
      <c r="AH210" s="31">
        <f t="shared" ca="1" si="67"/>
        <v>165</v>
      </c>
      <c r="AI210" s="31">
        <f t="shared" ca="1" si="68"/>
        <v>13</v>
      </c>
      <c r="AJ210" s="31">
        <f t="shared" ca="1" si="69"/>
        <v>8</v>
      </c>
      <c r="AK210" s="31">
        <f t="shared" ca="1" si="70"/>
        <v>15</v>
      </c>
      <c r="AL210" s="31">
        <f t="shared" ca="1" si="71"/>
        <v>9</v>
      </c>
      <c r="AM210" s="31">
        <f t="shared" ca="1" si="72"/>
        <v>45</v>
      </c>
    </row>
    <row r="211" spans="1:39">
      <c r="A211" s="27"/>
      <c r="B211" s="28">
        <v>40147</v>
      </c>
      <c r="C211" s="29">
        <v>2.90625E-3</v>
      </c>
      <c r="D211" s="29">
        <v>8.5493895351629323E-3</v>
      </c>
      <c r="E211" s="29">
        <v>1.0041448495697214E-2</v>
      </c>
      <c r="F211" s="29">
        <v>1.0130191010168321E-2</v>
      </c>
      <c r="G211" s="29">
        <v>-2.0466975348477079E-2</v>
      </c>
      <c r="H211" s="29">
        <v>4.6999999999999993E-3</v>
      </c>
      <c r="J211" s="24">
        <v>203</v>
      </c>
      <c r="K211" s="25">
        <f t="shared" si="73"/>
        <v>2.1276016663050157E-3</v>
      </c>
      <c r="L211" s="25">
        <f t="shared" si="74"/>
        <v>33.264540879456128</v>
      </c>
      <c r="N211" s="26">
        <v>203</v>
      </c>
      <c r="O211" s="30">
        <f t="shared" ca="1" si="76"/>
        <v>21.236065823445369</v>
      </c>
      <c r="P211" s="30">
        <f t="shared" ca="1" si="76"/>
        <v>19.003417844561849</v>
      </c>
      <c r="Q211" s="30">
        <f t="shared" ca="1" si="76"/>
        <v>19.040000244504689</v>
      </c>
      <c r="R211" s="30">
        <f t="shared" ca="1" si="76"/>
        <v>12.121530293774867</v>
      </c>
      <c r="S211" s="30">
        <f t="shared" ca="1" si="76"/>
        <v>14.26956421448064</v>
      </c>
      <c r="T211" s="30">
        <f t="shared" ca="1" si="76"/>
        <v>2.2301147720482395</v>
      </c>
      <c r="U211" s="30">
        <f t="shared" ca="1" si="76"/>
        <v>25.753644300395919</v>
      </c>
      <c r="V211" s="30">
        <f t="shared" ca="1" si="76"/>
        <v>1.7008744938467959</v>
      </c>
      <c r="W211" s="30">
        <f t="shared" ca="1" si="76"/>
        <v>14.31382389264648</v>
      </c>
      <c r="X211" s="30">
        <f t="shared" ca="1" si="76"/>
        <v>26.768685608762123</v>
      </c>
      <c r="Y211" s="30">
        <f t="shared" ca="1" si="76"/>
        <v>2.5313404314850176</v>
      </c>
      <c r="Z211" s="30">
        <f t="shared" ca="1" si="76"/>
        <v>11.235401406004502</v>
      </c>
      <c r="AA211" s="26">
        <v>203</v>
      </c>
      <c r="AB211" s="31">
        <f t="shared" ca="1" si="75"/>
        <v>34</v>
      </c>
      <c r="AC211" s="31">
        <f t="shared" ca="1" si="62"/>
        <v>28</v>
      </c>
      <c r="AD211" s="31">
        <f t="shared" ca="1" si="63"/>
        <v>28</v>
      </c>
      <c r="AE211" s="31">
        <f t="shared" ca="1" si="64"/>
        <v>15</v>
      </c>
      <c r="AF211" s="31">
        <f t="shared" ca="1" si="65"/>
        <v>19</v>
      </c>
      <c r="AG211" s="31">
        <f t="shared" ca="1" si="66"/>
        <v>3</v>
      </c>
      <c r="AH211" s="31">
        <f t="shared" ca="1" si="67"/>
        <v>49</v>
      </c>
      <c r="AI211" s="31">
        <f t="shared" ca="1" si="68"/>
        <v>2</v>
      </c>
      <c r="AJ211" s="31">
        <f t="shared" ca="1" si="69"/>
        <v>19</v>
      </c>
      <c r="AK211" s="31">
        <f t="shared" ca="1" si="70"/>
        <v>54</v>
      </c>
      <c r="AL211" s="31">
        <f t="shared" ca="1" si="71"/>
        <v>3</v>
      </c>
      <c r="AM211" s="31">
        <f t="shared" ca="1" si="72"/>
        <v>14</v>
      </c>
    </row>
    <row r="212" spans="1:39">
      <c r="A212" s="27"/>
      <c r="B212" s="28">
        <v>40117</v>
      </c>
      <c r="C212" s="29">
        <v>3.390625E-3</v>
      </c>
      <c r="D212" s="29">
        <v>1.1573219317850603E-2</v>
      </c>
      <c r="E212" s="29">
        <v>2.4869520857041971E-2</v>
      </c>
      <c r="F212" s="29">
        <v>2.0402226402653101E-2</v>
      </c>
      <c r="G212" s="29">
        <v>4.085355230484744E-2</v>
      </c>
      <c r="H212" s="29">
        <v>8.199999999999999E-3</v>
      </c>
      <c r="J212" s="24">
        <v>204</v>
      </c>
      <c r="K212" s="25">
        <f t="shared" si="73"/>
        <v>2.0637736163158652E-3</v>
      </c>
      <c r="L212" s="25">
        <f t="shared" si="74"/>
        <v>33.266604653072442</v>
      </c>
      <c r="N212" s="26">
        <v>204</v>
      </c>
      <c r="O212" s="30">
        <f t="shared" ca="1" si="76"/>
        <v>16.645808247085519</v>
      </c>
      <c r="P212" s="30">
        <f t="shared" ca="1" si="76"/>
        <v>11.22573754269934</v>
      </c>
      <c r="Q212" s="30">
        <f t="shared" ca="1" si="76"/>
        <v>10.675345754349953</v>
      </c>
      <c r="R212" s="30">
        <f t="shared" ca="1" si="76"/>
        <v>20.876786536339466</v>
      </c>
      <c r="S212" s="30">
        <f t="shared" ca="1" si="76"/>
        <v>23.56704334885848</v>
      </c>
      <c r="T212" s="30">
        <f t="shared" ca="1" si="76"/>
        <v>21.763395473864851</v>
      </c>
      <c r="U212" s="30">
        <f t="shared" ca="1" si="76"/>
        <v>7.02035694593358</v>
      </c>
      <c r="V212" s="30">
        <f t="shared" ca="1" si="76"/>
        <v>30.050506518379617</v>
      </c>
      <c r="W212" s="30">
        <f t="shared" ca="1" si="76"/>
        <v>3.6527080405829806</v>
      </c>
      <c r="X212" s="30">
        <f t="shared" ca="1" si="76"/>
        <v>28.345396127007636</v>
      </c>
      <c r="Y212" s="30">
        <f t="shared" ca="1" si="76"/>
        <v>17.788481817176805</v>
      </c>
      <c r="Z212" s="30">
        <f t="shared" ca="1" si="76"/>
        <v>32.981692609825672</v>
      </c>
      <c r="AA212" s="26">
        <v>204</v>
      </c>
      <c r="AB212" s="31">
        <f t="shared" ca="1" si="75"/>
        <v>23</v>
      </c>
      <c r="AC212" s="31">
        <f t="shared" ca="1" si="62"/>
        <v>14</v>
      </c>
      <c r="AD212" s="31">
        <f t="shared" ca="1" si="63"/>
        <v>13</v>
      </c>
      <c r="AE212" s="31">
        <f t="shared" ca="1" si="64"/>
        <v>33</v>
      </c>
      <c r="AF212" s="31">
        <f t="shared" ca="1" si="65"/>
        <v>41</v>
      </c>
      <c r="AG212" s="31">
        <f t="shared" ca="1" si="66"/>
        <v>35</v>
      </c>
      <c r="AH212" s="31">
        <f t="shared" ca="1" si="67"/>
        <v>8</v>
      </c>
      <c r="AI212" s="31">
        <f t="shared" ca="1" si="68"/>
        <v>77</v>
      </c>
      <c r="AJ212" s="31">
        <f t="shared" ca="1" si="69"/>
        <v>4</v>
      </c>
      <c r="AK212" s="31">
        <f t="shared" ca="1" si="70"/>
        <v>63</v>
      </c>
      <c r="AL212" s="31">
        <f t="shared" ca="1" si="71"/>
        <v>26</v>
      </c>
      <c r="AM212" s="31">
        <f t="shared" ca="1" si="72"/>
        <v>150</v>
      </c>
    </row>
    <row r="213" spans="1:39">
      <c r="A213" s="27"/>
      <c r="B213" s="28">
        <v>40086</v>
      </c>
      <c r="C213" s="29">
        <v>3.5555555555555557E-3</v>
      </c>
      <c r="D213" s="29">
        <v>1.0576139365431558E-2</v>
      </c>
      <c r="E213" s="29">
        <v>1.5097195666029295E-2</v>
      </c>
      <c r="F213" s="29">
        <v>1.3762459941411231E-2</v>
      </c>
      <c r="G213" s="29">
        <v>-1.4877875286391284E-2</v>
      </c>
      <c r="H213" s="29">
        <v>4.4000000000000003E-3</v>
      </c>
      <c r="J213" s="24">
        <v>205</v>
      </c>
      <c r="K213" s="25">
        <f t="shared" si="73"/>
        <v>2.0018604078263893E-3</v>
      </c>
      <c r="L213" s="25">
        <f t="shared" si="74"/>
        <v>33.268606513480265</v>
      </c>
      <c r="N213" s="26">
        <v>205</v>
      </c>
      <c r="O213" s="30">
        <f t="shared" ca="1" si="76"/>
        <v>22.645794601014607</v>
      </c>
      <c r="P213" s="30">
        <f t="shared" ca="1" si="76"/>
        <v>15.63005788404999</v>
      </c>
      <c r="Q213" s="30">
        <f t="shared" ca="1" si="76"/>
        <v>12.390943020018709</v>
      </c>
      <c r="R213" s="30">
        <f t="shared" ca="1" si="76"/>
        <v>25.97485922947272</v>
      </c>
      <c r="S213" s="30">
        <f t="shared" ca="1" si="76"/>
        <v>4.9229845832495922</v>
      </c>
      <c r="T213" s="30">
        <f t="shared" ca="1" si="76"/>
        <v>3.7941149858003982</v>
      </c>
      <c r="U213" s="30">
        <f t="shared" ca="1" si="76"/>
        <v>20.863084155756589</v>
      </c>
      <c r="V213" s="30">
        <f t="shared" ca="1" si="76"/>
        <v>13.909559118300448</v>
      </c>
      <c r="W213" s="30">
        <f t="shared" ca="1" si="76"/>
        <v>31.440183072651742</v>
      </c>
      <c r="X213" s="30">
        <f t="shared" ca="1" si="76"/>
        <v>2.2159664362968043</v>
      </c>
      <c r="Y213" s="30">
        <f t="shared" ca="1" si="76"/>
        <v>20.721604991013407</v>
      </c>
      <c r="Z213" s="30">
        <f t="shared" ca="1" si="76"/>
        <v>14.838448121420326</v>
      </c>
      <c r="AA213" s="26">
        <v>205</v>
      </c>
      <c r="AB213" s="31">
        <f t="shared" ca="1" si="75"/>
        <v>38</v>
      </c>
      <c r="AC213" s="31">
        <f t="shared" ca="1" si="62"/>
        <v>21</v>
      </c>
      <c r="AD213" s="31">
        <f t="shared" ca="1" si="63"/>
        <v>16</v>
      </c>
      <c r="AE213" s="31">
        <f t="shared" ca="1" si="64"/>
        <v>50</v>
      </c>
      <c r="AF213" s="31">
        <f t="shared" ca="1" si="65"/>
        <v>6</v>
      </c>
      <c r="AG213" s="31">
        <f t="shared" ca="1" si="66"/>
        <v>4</v>
      </c>
      <c r="AH213" s="31">
        <f t="shared" ca="1" si="67"/>
        <v>33</v>
      </c>
      <c r="AI213" s="31">
        <f t="shared" ca="1" si="68"/>
        <v>18</v>
      </c>
      <c r="AJ213" s="31">
        <f t="shared" ca="1" si="69"/>
        <v>95</v>
      </c>
      <c r="AK213" s="31">
        <f t="shared" ca="1" si="70"/>
        <v>3</v>
      </c>
      <c r="AL213" s="31">
        <f t="shared" ca="1" si="71"/>
        <v>32</v>
      </c>
      <c r="AM213" s="31">
        <f t="shared" ca="1" si="72"/>
        <v>20</v>
      </c>
    </row>
    <row r="214" spans="1:39">
      <c r="A214" s="27"/>
      <c r="B214" s="28">
        <v>40056</v>
      </c>
      <c r="C214" s="29">
        <v>3.1718750000000002E-3</v>
      </c>
      <c r="D214" s="29">
        <v>8.5271164283167167E-3</v>
      </c>
      <c r="E214" s="29">
        <v>1.6479734380693944E-2</v>
      </c>
      <c r="F214" s="29">
        <v>1.8869814306604393E-2</v>
      </c>
      <c r="G214" s="29">
        <v>4.9018691103284162E-3</v>
      </c>
      <c r="H214" s="29">
        <v>2.8000000000000004E-3</v>
      </c>
      <c r="J214" s="24">
        <v>206</v>
      </c>
      <c r="K214" s="25">
        <f t="shared" si="73"/>
        <v>1.9418045955915976E-3</v>
      </c>
      <c r="L214" s="25">
        <f t="shared" si="74"/>
        <v>33.270548318075853</v>
      </c>
      <c r="N214" s="26">
        <v>206</v>
      </c>
      <c r="O214" s="30">
        <f t="shared" ca="1" si="76"/>
        <v>0.14092845035376808</v>
      </c>
      <c r="P214" s="30">
        <f t="shared" ca="1" si="76"/>
        <v>6.3163733053824132</v>
      </c>
      <c r="Q214" s="30">
        <f t="shared" ca="1" si="76"/>
        <v>19.13346356116703</v>
      </c>
      <c r="R214" s="30">
        <f t="shared" ca="1" si="76"/>
        <v>6.2195846124439482</v>
      </c>
      <c r="S214" s="30">
        <f t="shared" ca="1" si="76"/>
        <v>2.1542461419320289</v>
      </c>
      <c r="T214" s="30">
        <f t="shared" ca="1" si="76"/>
        <v>8.2735208661539286</v>
      </c>
      <c r="U214" s="30">
        <f t="shared" ca="1" si="76"/>
        <v>17.263540107762967</v>
      </c>
      <c r="V214" s="30">
        <f t="shared" ca="1" si="76"/>
        <v>20.717622293525533</v>
      </c>
      <c r="W214" s="30">
        <f t="shared" ca="1" si="76"/>
        <v>2.7018090331974443</v>
      </c>
      <c r="X214" s="30">
        <f t="shared" ca="1" si="76"/>
        <v>32.997877418391873</v>
      </c>
      <c r="Y214" s="30">
        <f t="shared" ca="1" si="76"/>
        <v>12.356415381155747</v>
      </c>
      <c r="Z214" s="30">
        <f t="shared" ca="1" si="76"/>
        <v>5.7357608226476904</v>
      </c>
      <c r="AA214" s="26">
        <v>206</v>
      </c>
      <c r="AB214" s="31">
        <f t="shared" ca="1" si="75"/>
        <v>1</v>
      </c>
      <c r="AC214" s="31">
        <f t="shared" ca="1" si="62"/>
        <v>7</v>
      </c>
      <c r="AD214" s="31">
        <f t="shared" ca="1" si="63"/>
        <v>29</v>
      </c>
      <c r="AE214" s="31">
        <f t="shared" ca="1" si="64"/>
        <v>7</v>
      </c>
      <c r="AF214" s="31">
        <f t="shared" ca="1" si="65"/>
        <v>3</v>
      </c>
      <c r="AG214" s="31">
        <f t="shared" ca="1" si="66"/>
        <v>10</v>
      </c>
      <c r="AH214" s="31">
        <f t="shared" ca="1" si="67"/>
        <v>24</v>
      </c>
      <c r="AI214" s="31">
        <f t="shared" ca="1" si="68"/>
        <v>32</v>
      </c>
      <c r="AJ214" s="31">
        <f t="shared" ca="1" si="69"/>
        <v>3</v>
      </c>
      <c r="AK214" s="31">
        <f t="shared" ca="1" si="70"/>
        <v>151</v>
      </c>
      <c r="AL214" s="31">
        <f t="shared" ca="1" si="71"/>
        <v>16</v>
      </c>
      <c r="AM214" s="31">
        <f t="shared" ca="1" si="72"/>
        <v>7</v>
      </c>
    </row>
    <row r="215" spans="1:39">
      <c r="A215" s="27"/>
      <c r="B215" s="28">
        <v>40025</v>
      </c>
      <c r="C215" s="29">
        <v>3.5416666666666665E-3</v>
      </c>
      <c r="D215" s="29">
        <v>9.4575410393298309E-3</v>
      </c>
      <c r="E215" s="29">
        <v>7.1467166902849932E-3</v>
      </c>
      <c r="F215" s="29">
        <v>7.2231301575771401E-3</v>
      </c>
      <c r="G215" s="29">
        <v>2.9361436351113879E-2</v>
      </c>
      <c r="H215" s="29">
        <v>1.1999999999999999E-3</v>
      </c>
      <c r="J215" s="24">
        <v>207</v>
      </c>
      <c r="K215" s="25">
        <f t="shared" si="73"/>
        <v>1.8835504577238496E-3</v>
      </c>
      <c r="L215" s="25">
        <f t="shared" si="74"/>
        <v>33.27243186853358</v>
      </c>
      <c r="N215" s="26">
        <v>207</v>
      </c>
      <c r="O215" s="30">
        <f t="shared" ca="1" si="76"/>
        <v>15.848807165780455</v>
      </c>
      <c r="P215" s="30">
        <f t="shared" ca="1" si="76"/>
        <v>17.837775147289197</v>
      </c>
      <c r="Q215" s="30">
        <f t="shared" ca="1" si="76"/>
        <v>32.646130280459097</v>
      </c>
      <c r="R215" s="30">
        <f t="shared" ca="1" si="76"/>
        <v>12.768718807670004</v>
      </c>
      <c r="S215" s="30">
        <f t="shared" ca="1" si="76"/>
        <v>24.088921468942164</v>
      </c>
      <c r="T215" s="30">
        <f t="shared" ca="1" si="76"/>
        <v>17.794027423711647</v>
      </c>
      <c r="U215" s="30">
        <f t="shared" ca="1" si="76"/>
        <v>13.403988620013743</v>
      </c>
      <c r="V215" s="30">
        <f t="shared" ca="1" si="76"/>
        <v>15.650144773511727</v>
      </c>
      <c r="W215" s="30">
        <f t="shared" ca="1" si="76"/>
        <v>25.339496325237388</v>
      </c>
      <c r="X215" s="30">
        <f t="shared" ca="1" si="76"/>
        <v>3.3157921308914222</v>
      </c>
      <c r="Y215" s="30">
        <f t="shared" ca="1" si="76"/>
        <v>3.2370728941137172</v>
      </c>
      <c r="Z215" s="30">
        <f t="shared" ca="1" si="76"/>
        <v>1.5569423465802683</v>
      </c>
      <c r="AA215" s="26">
        <v>207</v>
      </c>
      <c r="AB215" s="31">
        <f t="shared" ca="1" si="75"/>
        <v>22</v>
      </c>
      <c r="AC215" s="31">
        <f t="shared" ca="1" si="62"/>
        <v>26</v>
      </c>
      <c r="AD215" s="31">
        <f t="shared" ca="1" si="63"/>
        <v>128</v>
      </c>
      <c r="AE215" s="31">
        <f t="shared" ca="1" si="64"/>
        <v>16</v>
      </c>
      <c r="AF215" s="31">
        <f t="shared" ca="1" si="65"/>
        <v>43</v>
      </c>
      <c r="AG215" s="31">
        <f t="shared" ca="1" si="66"/>
        <v>26</v>
      </c>
      <c r="AH215" s="31">
        <f t="shared" ca="1" si="67"/>
        <v>17</v>
      </c>
      <c r="AI215" s="31">
        <f t="shared" ca="1" si="68"/>
        <v>21</v>
      </c>
      <c r="AJ215" s="31">
        <f t="shared" ca="1" si="69"/>
        <v>47</v>
      </c>
      <c r="AK215" s="31">
        <f t="shared" ca="1" si="70"/>
        <v>4</v>
      </c>
      <c r="AL215" s="31">
        <f t="shared" ca="1" si="71"/>
        <v>4</v>
      </c>
      <c r="AM215" s="31">
        <f t="shared" ca="1" si="72"/>
        <v>2</v>
      </c>
    </row>
    <row r="216" spans="1:39">
      <c r="A216" s="27"/>
      <c r="B216" s="28">
        <v>39994</v>
      </c>
      <c r="C216" s="29">
        <v>3.7777777777777779E-3</v>
      </c>
      <c r="D216" s="29">
        <v>-5.0960760214635581E-4</v>
      </c>
      <c r="E216" s="29">
        <v>-5.979103539831998E-3</v>
      </c>
      <c r="F216" s="29">
        <v>-5.6375892785490711E-3</v>
      </c>
      <c r="G216" s="29">
        <v>-1.9448773152177856E-2</v>
      </c>
      <c r="H216" s="29">
        <v>8.0000000000000002E-3</v>
      </c>
      <c r="J216" s="24">
        <v>208</v>
      </c>
      <c r="K216" s="25">
        <f t="shared" si="73"/>
        <v>1.827043943992134E-3</v>
      </c>
      <c r="L216" s="25">
        <f t="shared" si="74"/>
        <v>33.274258912477571</v>
      </c>
      <c r="N216" s="26">
        <v>208</v>
      </c>
      <c r="O216" s="30">
        <f t="shared" ca="1" si="76"/>
        <v>17.426956471424038</v>
      </c>
      <c r="P216" s="30">
        <f t="shared" ca="1" si="76"/>
        <v>6.4981157563171923</v>
      </c>
      <c r="Q216" s="30">
        <f t="shared" ca="1" si="76"/>
        <v>17.106826655513736</v>
      </c>
      <c r="R216" s="30">
        <f t="shared" ca="1" si="76"/>
        <v>4.106661794200396</v>
      </c>
      <c r="S216" s="30">
        <f t="shared" ca="1" si="76"/>
        <v>10.37928872533818</v>
      </c>
      <c r="T216" s="30">
        <f t="shared" ca="1" si="76"/>
        <v>25.688962137871812</v>
      </c>
      <c r="U216" s="30">
        <f t="shared" ca="1" si="76"/>
        <v>19.510178077966795</v>
      </c>
      <c r="V216" s="30">
        <f t="shared" ca="1" si="76"/>
        <v>0.92034392997944847</v>
      </c>
      <c r="W216" s="30">
        <f t="shared" ca="1" si="76"/>
        <v>7.6703024896288623</v>
      </c>
      <c r="X216" s="30">
        <f t="shared" ca="1" si="76"/>
        <v>3.4100102984771379</v>
      </c>
      <c r="Y216" s="30">
        <f t="shared" ca="1" si="76"/>
        <v>9.2632165712204113</v>
      </c>
      <c r="Z216" s="30">
        <f t="shared" ca="1" si="76"/>
        <v>6.0651429228937559</v>
      </c>
      <c r="AA216" s="26">
        <v>208</v>
      </c>
      <c r="AB216" s="31">
        <f t="shared" ca="1" si="75"/>
        <v>25</v>
      </c>
      <c r="AC216" s="31">
        <f t="shared" ca="1" si="62"/>
        <v>8</v>
      </c>
      <c r="AD216" s="31">
        <f t="shared" ca="1" si="63"/>
        <v>24</v>
      </c>
      <c r="AE216" s="31">
        <f t="shared" ca="1" si="64"/>
        <v>5</v>
      </c>
      <c r="AF216" s="31">
        <f t="shared" ca="1" si="65"/>
        <v>13</v>
      </c>
      <c r="AG216" s="31">
        <f t="shared" ca="1" si="66"/>
        <v>49</v>
      </c>
      <c r="AH216" s="31">
        <f t="shared" ca="1" si="67"/>
        <v>29</v>
      </c>
      <c r="AI216" s="31">
        <f t="shared" ca="1" si="68"/>
        <v>1</v>
      </c>
      <c r="AJ216" s="31">
        <f t="shared" ca="1" si="69"/>
        <v>9</v>
      </c>
      <c r="AK216" s="31">
        <f t="shared" ca="1" si="70"/>
        <v>4</v>
      </c>
      <c r="AL216" s="31">
        <f t="shared" ca="1" si="71"/>
        <v>11</v>
      </c>
      <c r="AM216" s="31">
        <f t="shared" ca="1" si="72"/>
        <v>7</v>
      </c>
    </row>
    <row r="217" spans="1:39">
      <c r="A217" s="27"/>
      <c r="B217" s="28">
        <v>39964</v>
      </c>
      <c r="C217" s="29">
        <v>3.2569444444444443E-3</v>
      </c>
      <c r="D217" s="29">
        <v>3.1575148854272594E-3</v>
      </c>
      <c r="E217" s="29">
        <v>3.9373283141723725E-3</v>
      </c>
      <c r="F217" s="29">
        <v>6.5021606558699485E-3</v>
      </c>
      <c r="G217" s="29">
        <v>1.2951061727870528E-2</v>
      </c>
      <c r="H217" s="29">
        <v>1.1599999999999999E-2</v>
      </c>
      <c r="J217" s="24">
        <v>209</v>
      </c>
      <c r="K217" s="25">
        <f t="shared" si="73"/>
        <v>1.7722326256723699E-3</v>
      </c>
      <c r="L217" s="25">
        <f t="shared" si="74"/>
        <v>33.276031145103239</v>
      </c>
      <c r="N217" s="26">
        <v>209</v>
      </c>
      <c r="O217" s="30">
        <f t="shared" ca="1" si="76"/>
        <v>30.382205579104284</v>
      </c>
      <c r="P217" s="30">
        <f t="shared" ca="1" si="76"/>
        <v>32.456474809398848</v>
      </c>
      <c r="Q217" s="30">
        <f t="shared" ca="1" si="76"/>
        <v>26.704996620842024</v>
      </c>
      <c r="R217" s="30">
        <f t="shared" ca="1" si="76"/>
        <v>16.817413399720625</v>
      </c>
      <c r="S217" s="30">
        <f t="shared" ca="1" si="76"/>
        <v>17.40235917283524</v>
      </c>
      <c r="T217" s="30">
        <f t="shared" ca="1" si="76"/>
        <v>9.1866196225378065</v>
      </c>
      <c r="U217" s="30">
        <f t="shared" ca="1" si="76"/>
        <v>21.337960480192287</v>
      </c>
      <c r="V217" s="30">
        <f t="shared" ca="1" si="76"/>
        <v>16.60976606361011</v>
      </c>
      <c r="W217" s="30">
        <f t="shared" ca="1" si="76"/>
        <v>29.982231041249555</v>
      </c>
      <c r="X217" s="30">
        <f t="shared" ca="1" si="76"/>
        <v>12.810037648760675</v>
      </c>
      <c r="Y217" s="30">
        <f t="shared" ca="1" si="76"/>
        <v>26.207559783521553</v>
      </c>
      <c r="Z217" s="30">
        <f t="shared" ca="1" si="76"/>
        <v>23.345946208125472</v>
      </c>
      <c r="AA217" s="26">
        <v>209</v>
      </c>
      <c r="AB217" s="31">
        <f t="shared" ca="1" si="75"/>
        <v>80</v>
      </c>
      <c r="AC217" s="31">
        <f t="shared" ca="1" si="62"/>
        <v>120</v>
      </c>
      <c r="AD217" s="31">
        <f t="shared" ca="1" si="63"/>
        <v>54</v>
      </c>
      <c r="AE217" s="31">
        <f t="shared" ca="1" si="64"/>
        <v>24</v>
      </c>
      <c r="AF217" s="31">
        <f t="shared" ca="1" si="65"/>
        <v>25</v>
      </c>
      <c r="AG217" s="31">
        <f t="shared" ca="1" si="66"/>
        <v>11</v>
      </c>
      <c r="AH217" s="31">
        <f t="shared" ca="1" si="67"/>
        <v>34</v>
      </c>
      <c r="AI217" s="31">
        <f t="shared" ca="1" si="68"/>
        <v>23</v>
      </c>
      <c r="AJ217" s="31">
        <f t="shared" ca="1" si="69"/>
        <v>76</v>
      </c>
      <c r="AK217" s="31">
        <f t="shared" ca="1" si="70"/>
        <v>16</v>
      </c>
      <c r="AL217" s="31">
        <f t="shared" ca="1" si="71"/>
        <v>51</v>
      </c>
      <c r="AM217" s="31">
        <f t="shared" ca="1" si="72"/>
        <v>40</v>
      </c>
    </row>
    <row r="218" spans="1:39">
      <c r="A218" s="27"/>
      <c r="B218" s="28">
        <v>39933</v>
      </c>
      <c r="C218" s="29">
        <v>4.0364583333333337E-3</v>
      </c>
      <c r="D218" s="29">
        <v>-2.3800000000000487E-3</v>
      </c>
      <c r="E218" s="29">
        <v>-1.7099999999999893E-2</v>
      </c>
      <c r="F218" s="29">
        <v>-1.3604222686983358E-2</v>
      </c>
      <c r="G218" s="29">
        <v>-1.8635081405991683E-2</v>
      </c>
      <c r="H218" s="29">
        <v>1.32E-2</v>
      </c>
      <c r="J218" s="24">
        <v>210</v>
      </c>
      <c r="K218" s="25">
        <f t="shared" si="73"/>
        <v>1.7190656469021988E-3</v>
      </c>
      <c r="L218" s="25">
        <f t="shared" si="74"/>
        <v>33.277750210750142</v>
      </c>
      <c r="N218" s="26">
        <v>210</v>
      </c>
      <c r="O218" s="30">
        <f t="shared" ca="1" si="76"/>
        <v>20.816344250695188</v>
      </c>
      <c r="P218" s="30">
        <f t="shared" ca="1" si="76"/>
        <v>28.796127795600803</v>
      </c>
      <c r="Q218" s="30">
        <f t="shared" ca="1" si="76"/>
        <v>32.785938292321319</v>
      </c>
      <c r="R218" s="30">
        <f t="shared" ca="1" si="76"/>
        <v>19.906410602460422</v>
      </c>
      <c r="S218" s="30">
        <f t="shared" ca="1" si="76"/>
        <v>29.359378007376019</v>
      </c>
      <c r="T218" s="30">
        <f t="shared" ca="1" si="76"/>
        <v>20.559301627129202</v>
      </c>
      <c r="U218" s="30">
        <f t="shared" ca="1" si="76"/>
        <v>12.130380306432404</v>
      </c>
      <c r="V218" s="30">
        <f t="shared" ca="1" si="76"/>
        <v>8.5159489447139425</v>
      </c>
      <c r="W218" s="30">
        <f t="shared" ca="1" si="76"/>
        <v>15.238235030828681</v>
      </c>
      <c r="X218" s="30">
        <f t="shared" ca="1" si="76"/>
        <v>3.8154660602425352</v>
      </c>
      <c r="Y218" s="30">
        <f t="shared" ca="1" si="76"/>
        <v>25.490907956324413</v>
      </c>
      <c r="Z218" s="30">
        <f t="shared" ca="1" si="76"/>
        <v>9.6951670603318618</v>
      </c>
      <c r="AA218" s="26">
        <v>210</v>
      </c>
      <c r="AB218" s="31">
        <f t="shared" ca="1" si="75"/>
        <v>33</v>
      </c>
      <c r="AC218" s="31">
        <f t="shared" ca="1" si="62"/>
        <v>66</v>
      </c>
      <c r="AD218" s="31">
        <f t="shared" ca="1" si="63"/>
        <v>135</v>
      </c>
      <c r="AE218" s="31">
        <f t="shared" ca="1" si="64"/>
        <v>30</v>
      </c>
      <c r="AF218" s="31">
        <f t="shared" ca="1" si="65"/>
        <v>70</v>
      </c>
      <c r="AG218" s="31">
        <f t="shared" ca="1" si="66"/>
        <v>32</v>
      </c>
      <c r="AH218" s="31">
        <f t="shared" ca="1" si="67"/>
        <v>15</v>
      </c>
      <c r="AI218" s="31">
        <f t="shared" ca="1" si="68"/>
        <v>10</v>
      </c>
      <c r="AJ218" s="31">
        <f t="shared" ca="1" si="69"/>
        <v>21</v>
      </c>
      <c r="AK218" s="31">
        <f t="shared" ca="1" si="70"/>
        <v>4</v>
      </c>
      <c r="AL218" s="31">
        <f t="shared" ca="1" si="71"/>
        <v>48</v>
      </c>
      <c r="AM218" s="31">
        <f t="shared" ca="1" si="72"/>
        <v>12</v>
      </c>
    </row>
    <row r="219" spans="1:39">
      <c r="N219" s="26">
        <v>211</v>
      </c>
      <c r="O219" s="30">
        <f t="shared" ref="O219:Z228" ca="1" si="77">RAND()*sumweights</f>
        <v>0.67879566312955009</v>
      </c>
      <c r="P219" s="30">
        <f t="shared" ca="1" si="77"/>
        <v>19.665625638610344</v>
      </c>
      <c r="Q219" s="30">
        <f t="shared" ca="1" si="77"/>
        <v>33.21612726472749</v>
      </c>
      <c r="R219" s="30">
        <f t="shared" ca="1" si="77"/>
        <v>17.080175415551935</v>
      </c>
      <c r="S219" s="30">
        <f t="shared" ca="1" si="77"/>
        <v>25.651706288297383</v>
      </c>
      <c r="T219" s="30">
        <f t="shared" ca="1" si="77"/>
        <v>2.7050884222568707</v>
      </c>
      <c r="U219" s="30">
        <f t="shared" ca="1" si="77"/>
        <v>31.564615240435405</v>
      </c>
      <c r="V219" s="30">
        <f t="shared" ca="1" si="77"/>
        <v>24.748549555013767</v>
      </c>
      <c r="W219" s="30">
        <f t="shared" ca="1" si="77"/>
        <v>32.363759302770653</v>
      </c>
      <c r="X219" s="30">
        <f t="shared" ca="1" si="77"/>
        <v>7.4741661122731351</v>
      </c>
      <c r="Y219" s="30">
        <f t="shared" ca="1" si="77"/>
        <v>9.0187469928295112</v>
      </c>
      <c r="Z219" s="30">
        <f t="shared" ca="1" si="77"/>
        <v>8.2961640414068896</v>
      </c>
      <c r="AA219" s="26">
        <v>211</v>
      </c>
      <c r="AB219" s="31">
        <f t="shared" ca="1" si="75"/>
        <v>1</v>
      </c>
      <c r="AC219" s="31">
        <f t="shared" ca="1" si="62"/>
        <v>30</v>
      </c>
      <c r="AD219" s="31">
        <f t="shared" ca="1" si="63"/>
        <v>186</v>
      </c>
      <c r="AE219" s="31">
        <f t="shared" ca="1" si="64"/>
        <v>24</v>
      </c>
      <c r="AF219" s="31">
        <f t="shared" ca="1" si="65"/>
        <v>49</v>
      </c>
      <c r="AG219" s="31">
        <f t="shared" ca="1" si="66"/>
        <v>3</v>
      </c>
      <c r="AH219" s="31">
        <f t="shared" ca="1" si="67"/>
        <v>97</v>
      </c>
      <c r="AI219" s="31">
        <f t="shared" ca="1" si="68"/>
        <v>45</v>
      </c>
      <c r="AJ219" s="31">
        <f t="shared" ca="1" si="69"/>
        <v>117</v>
      </c>
      <c r="AK219" s="31">
        <f t="shared" ca="1" si="70"/>
        <v>9</v>
      </c>
      <c r="AL219" s="31">
        <f t="shared" ca="1" si="71"/>
        <v>11</v>
      </c>
      <c r="AM219" s="31">
        <f t="shared" ca="1" si="72"/>
        <v>10</v>
      </c>
    </row>
    <row r="220" spans="1:39">
      <c r="N220" s="26">
        <v>212</v>
      </c>
      <c r="O220" s="30">
        <f t="shared" ca="1" si="77"/>
        <v>21.237948460694753</v>
      </c>
      <c r="P220" s="30">
        <f t="shared" ca="1" si="77"/>
        <v>23.042427671234904</v>
      </c>
      <c r="Q220" s="30">
        <f t="shared" ca="1" si="77"/>
        <v>14.727391775748332</v>
      </c>
      <c r="R220" s="30">
        <f t="shared" ca="1" si="77"/>
        <v>7.3004075373472928</v>
      </c>
      <c r="S220" s="30">
        <f t="shared" ca="1" si="77"/>
        <v>19.372704466313369</v>
      </c>
      <c r="T220" s="30">
        <f t="shared" ca="1" si="77"/>
        <v>13.535781185930015</v>
      </c>
      <c r="U220" s="30">
        <f t="shared" ca="1" si="77"/>
        <v>16.609932662892863</v>
      </c>
      <c r="V220" s="30">
        <f t="shared" ca="1" si="77"/>
        <v>16.664314067754287</v>
      </c>
      <c r="W220" s="30">
        <f t="shared" ca="1" si="77"/>
        <v>15.981868810075222</v>
      </c>
      <c r="X220" s="30">
        <f t="shared" ca="1" si="77"/>
        <v>0.31947366377437769</v>
      </c>
      <c r="Y220" s="30">
        <f t="shared" ca="1" si="77"/>
        <v>17.73787426045234</v>
      </c>
      <c r="Z220" s="30">
        <f t="shared" ca="1" si="77"/>
        <v>26.828226150594233</v>
      </c>
      <c r="AA220" s="26">
        <v>212</v>
      </c>
      <c r="AB220" s="31">
        <f t="shared" ca="1" si="75"/>
        <v>34</v>
      </c>
      <c r="AC220" s="31">
        <f t="shared" ca="1" si="62"/>
        <v>39</v>
      </c>
      <c r="AD220" s="31">
        <f t="shared" ca="1" si="63"/>
        <v>20</v>
      </c>
      <c r="AE220" s="31">
        <f t="shared" ca="1" si="64"/>
        <v>9</v>
      </c>
      <c r="AF220" s="31">
        <f t="shared" ca="1" si="65"/>
        <v>29</v>
      </c>
      <c r="AG220" s="31">
        <f t="shared" ca="1" si="66"/>
        <v>18</v>
      </c>
      <c r="AH220" s="31">
        <f t="shared" ca="1" si="67"/>
        <v>23</v>
      </c>
      <c r="AI220" s="31">
        <f t="shared" ca="1" si="68"/>
        <v>23</v>
      </c>
      <c r="AJ220" s="31">
        <f t="shared" ca="1" si="69"/>
        <v>22</v>
      </c>
      <c r="AK220" s="31">
        <f t="shared" ca="1" si="70"/>
        <v>1</v>
      </c>
      <c r="AL220" s="31">
        <f t="shared" ca="1" si="71"/>
        <v>25</v>
      </c>
      <c r="AM220" s="31">
        <f t="shared" ca="1" si="72"/>
        <v>54</v>
      </c>
    </row>
    <row r="221" spans="1:39">
      <c r="N221" s="26">
        <v>213</v>
      </c>
      <c r="O221" s="30">
        <f t="shared" ca="1" si="77"/>
        <v>2.0076147504697164</v>
      </c>
      <c r="P221" s="30">
        <f t="shared" ca="1" si="77"/>
        <v>18.982544627126639</v>
      </c>
      <c r="Q221" s="30">
        <f t="shared" ca="1" si="77"/>
        <v>25.476784967695743</v>
      </c>
      <c r="R221" s="30">
        <f t="shared" ca="1" si="77"/>
        <v>4.5609902625447072</v>
      </c>
      <c r="S221" s="30">
        <f t="shared" ca="1" si="77"/>
        <v>18.662715759678655</v>
      </c>
      <c r="T221" s="30">
        <f t="shared" ca="1" si="77"/>
        <v>1.3678617158332494E-2</v>
      </c>
      <c r="U221" s="30">
        <f t="shared" ca="1" si="77"/>
        <v>1.754929759834633</v>
      </c>
      <c r="V221" s="30">
        <f t="shared" ca="1" si="77"/>
        <v>20.198580940895109</v>
      </c>
      <c r="W221" s="30">
        <f t="shared" ca="1" si="77"/>
        <v>19.074311305662274</v>
      </c>
      <c r="X221" s="30">
        <f t="shared" ca="1" si="77"/>
        <v>15.661026295736546</v>
      </c>
      <c r="Y221" s="30">
        <f t="shared" ca="1" si="77"/>
        <v>11.501456020358214</v>
      </c>
      <c r="Z221" s="30">
        <f t="shared" ca="1" si="77"/>
        <v>4.7718831613719033</v>
      </c>
      <c r="AA221" s="26">
        <v>213</v>
      </c>
      <c r="AB221" s="31">
        <f t="shared" ca="1" si="75"/>
        <v>3</v>
      </c>
      <c r="AC221" s="31">
        <f t="shared" ca="1" si="62"/>
        <v>28</v>
      </c>
      <c r="AD221" s="31">
        <f t="shared" ca="1" si="63"/>
        <v>48</v>
      </c>
      <c r="AE221" s="31">
        <f t="shared" ca="1" si="64"/>
        <v>5</v>
      </c>
      <c r="AF221" s="31">
        <f t="shared" ca="1" si="65"/>
        <v>27</v>
      </c>
      <c r="AG221" s="31">
        <f t="shared" ca="1" si="66"/>
        <v>1</v>
      </c>
      <c r="AH221" s="31">
        <f t="shared" ca="1" si="67"/>
        <v>2</v>
      </c>
      <c r="AI221" s="31">
        <f t="shared" ca="1" si="68"/>
        <v>31</v>
      </c>
      <c r="AJ221" s="31">
        <f t="shared" ca="1" si="69"/>
        <v>28</v>
      </c>
      <c r="AK221" s="31">
        <f t="shared" ca="1" si="70"/>
        <v>21</v>
      </c>
      <c r="AL221" s="31">
        <f t="shared" ca="1" si="71"/>
        <v>14</v>
      </c>
      <c r="AM221" s="31">
        <f t="shared" ca="1" si="72"/>
        <v>6</v>
      </c>
    </row>
    <row r="222" spans="1:39">
      <c r="N222" s="26">
        <v>214</v>
      </c>
      <c r="O222" s="30">
        <f t="shared" ca="1" si="77"/>
        <v>10.559774654482259</v>
      </c>
      <c r="P222" s="30">
        <f t="shared" ca="1" si="77"/>
        <v>28.656202749737886</v>
      </c>
      <c r="Q222" s="30">
        <f t="shared" ca="1" si="77"/>
        <v>30.807477357598263</v>
      </c>
      <c r="R222" s="30">
        <f t="shared" ca="1" si="77"/>
        <v>25.970301855769669</v>
      </c>
      <c r="S222" s="30">
        <f t="shared" ca="1" si="77"/>
        <v>8.6226040386500529</v>
      </c>
      <c r="T222" s="30">
        <f t="shared" ca="1" si="77"/>
        <v>18.488633195461173</v>
      </c>
      <c r="U222" s="30">
        <f t="shared" ca="1" si="77"/>
        <v>28.664767662403182</v>
      </c>
      <c r="V222" s="30">
        <f t="shared" ca="1" si="77"/>
        <v>21.074042620033051</v>
      </c>
      <c r="W222" s="30">
        <f t="shared" ca="1" si="77"/>
        <v>27.391179797736836</v>
      </c>
      <c r="X222" s="30">
        <f t="shared" ca="1" si="77"/>
        <v>2.2713852172409101</v>
      </c>
      <c r="Y222" s="30">
        <f t="shared" ca="1" si="77"/>
        <v>25.805564344453114</v>
      </c>
      <c r="Z222" s="30">
        <f t="shared" ca="1" si="77"/>
        <v>19.025702685296228</v>
      </c>
      <c r="AA222" s="26">
        <v>214</v>
      </c>
      <c r="AB222" s="31">
        <f t="shared" ca="1" si="75"/>
        <v>13</v>
      </c>
      <c r="AC222" s="31">
        <f t="shared" ca="1" si="62"/>
        <v>65</v>
      </c>
      <c r="AD222" s="31">
        <f t="shared" ca="1" si="63"/>
        <v>85</v>
      </c>
      <c r="AE222" s="31">
        <f t="shared" ca="1" si="64"/>
        <v>50</v>
      </c>
      <c r="AF222" s="31">
        <f t="shared" ca="1" si="65"/>
        <v>10</v>
      </c>
      <c r="AG222" s="31">
        <f t="shared" ca="1" si="66"/>
        <v>27</v>
      </c>
      <c r="AH222" s="31">
        <f t="shared" ca="1" si="67"/>
        <v>65</v>
      </c>
      <c r="AI222" s="31">
        <f t="shared" ca="1" si="68"/>
        <v>33</v>
      </c>
      <c r="AJ222" s="31">
        <f t="shared" ca="1" si="69"/>
        <v>57</v>
      </c>
      <c r="AK222" s="31">
        <f t="shared" ca="1" si="70"/>
        <v>3</v>
      </c>
      <c r="AL222" s="31">
        <f t="shared" ca="1" si="71"/>
        <v>49</v>
      </c>
      <c r="AM222" s="31">
        <f t="shared" ca="1" si="72"/>
        <v>28</v>
      </c>
    </row>
    <row r="223" spans="1:39">
      <c r="N223" s="26">
        <v>215</v>
      </c>
      <c r="O223" s="30">
        <f t="shared" ca="1" si="77"/>
        <v>12.057135724575824</v>
      </c>
      <c r="P223" s="30">
        <f t="shared" ca="1" si="77"/>
        <v>16.119114468065209</v>
      </c>
      <c r="Q223" s="30">
        <f t="shared" ca="1" si="77"/>
        <v>7.9307614879770005</v>
      </c>
      <c r="R223" s="30">
        <f t="shared" ca="1" si="77"/>
        <v>24.809097375957929</v>
      </c>
      <c r="S223" s="30">
        <f t="shared" ca="1" si="77"/>
        <v>11.016019134617911</v>
      </c>
      <c r="T223" s="30">
        <f t="shared" ca="1" si="77"/>
        <v>14.344267701606501</v>
      </c>
      <c r="U223" s="30">
        <f t="shared" ca="1" si="77"/>
        <v>11.264803709355681</v>
      </c>
      <c r="V223" s="30">
        <f t="shared" ca="1" si="77"/>
        <v>9.6859554990658605</v>
      </c>
      <c r="W223" s="30">
        <f t="shared" ca="1" si="77"/>
        <v>12.184533198145486</v>
      </c>
      <c r="X223" s="30">
        <f t="shared" ca="1" si="77"/>
        <v>27.184113780048008</v>
      </c>
      <c r="Y223" s="30">
        <f t="shared" ca="1" si="77"/>
        <v>28.821412624726793</v>
      </c>
      <c r="Z223" s="30">
        <f t="shared" ca="1" si="77"/>
        <v>13.56159498986708</v>
      </c>
      <c r="AA223" s="26">
        <v>215</v>
      </c>
      <c r="AB223" s="31">
        <f t="shared" ca="1" si="75"/>
        <v>15</v>
      </c>
      <c r="AC223" s="31">
        <f t="shared" ca="1" si="62"/>
        <v>22</v>
      </c>
      <c r="AD223" s="31">
        <f t="shared" ca="1" si="63"/>
        <v>9</v>
      </c>
      <c r="AE223" s="31">
        <f t="shared" ca="1" si="64"/>
        <v>45</v>
      </c>
      <c r="AF223" s="31">
        <f t="shared" ca="1" si="65"/>
        <v>14</v>
      </c>
      <c r="AG223" s="31">
        <f t="shared" ca="1" si="66"/>
        <v>19</v>
      </c>
      <c r="AH223" s="31">
        <f t="shared" ca="1" si="67"/>
        <v>14</v>
      </c>
      <c r="AI223" s="31">
        <f t="shared" ca="1" si="68"/>
        <v>12</v>
      </c>
      <c r="AJ223" s="31">
        <f t="shared" ca="1" si="69"/>
        <v>15</v>
      </c>
      <c r="AK223" s="31">
        <f t="shared" ca="1" si="70"/>
        <v>56</v>
      </c>
      <c r="AL223" s="31">
        <f t="shared" ca="1" si="71"/>
        <v>66</v>
      </c>
      <c r="AM223" s="31">
        <f t="shared" ca="1" si="72"/>
        <v>18</v>
      </c>
    </row>
    <row r="224" spans="1:39">
      <c r="N224" s="26">
        <v>216</v>
      </c>
      <c r="O224" s="30">
        <f t="shared" ca="1" si="77"/>
        <v>2.0646849650121886</v>
      </c>
      <c r="P224" s="30">
        <f t="shared" ca="1" si="77"/>
        <v>13.600836405722944</v>
      </c>
      <c r="Q224" s="30">
        <f t="shared" ca="1" si="77"/>
        <v>27.288601817850427</v>
      </c>
      <c r="R224" s="30">
        <f t="shared" ca="1" si="77"/>
        <v>10.96904430814873</v>
      </c>
      <c r="S224" s="30">
        <f t="shared" ca="1" si="77"/>
        <v>22.659480252740227</v>
      </c>
      <c r="T224" s="30">
        <f t="shared" ca="1" si="77"/>
        <v>32.169296109349965</v>
      </c>
      <c r="U224" s="30">
        <f t="shared" ca="1" si="77"/>
        <v>31.599144792919617</v>
      </c>
      <c r="V224" s="30">
        <f t="shared" ca="1" si="77"/>
        <v>28.581569745516656</v>
      </c>
      <c r="W224" s="30">
        <f t="shared" ca="1" si="77"/>
        <v>2.7239342674688336</v>
      </c>
      <c r="X224" s="30">
        <f t="shared" ca="1" si="77"/>
        <v>14.763194681333067</v>
      </c>
      <c r="Y224" s="30">
        <f t="shared" ca="1" si="77"/>
        <v>13.611086109713261</v>
      </c>
      <c r="Z224" s="30">
        <f t="shared" ca="1" si="77"/>
        <v>21.609077485811383</v>
      </c>
      <c r="AA224" s="26">
        <v>216</v>
      </c>
      <c r="AB224" s="31">
        <f t="shared" ca="1" si="75"/>
        <v>3</v>
      </c>
      <c r="AC224" s="31">
        <f t="shared" ca="1" si="62"/>
        <v>18</v>
      </c>
      <c r="AD224" s="31">
        <f t="shared" ca="1" si="63"/>
        <v>57</v>
      </c>
      <c r="AE224" s="31">
        <f t="shared" ca="1" si="64"/>
        <v>14</v>
      </c>
      <c r="AF224" s="31">
        <f t="shared" ca="1" si="65"/>
        <v>38</v>
      </c>
      <c r="AG224" s="31">
        <f t="shared" ca="1" si="66"/>
        <v>111</v>
      </c>
      <c r="AH224" s="31">
        <f t="shared" ca="1" si="67"/>
        <v>98</v>
      </c>
      <c r="AI224" s="31">
        <f t="shared" ca="1" si="68"/>
        <v>64</v>
      </c>
      <c r="AJ224" s="31">
        <f t="shared" ca="1" si="69"/>
        <v>3</v>
      </c>
      <c r="AK224" s="31">
        <f t="shared" ca="1" si="70"/>
        <v>20</v>
      </c>
      <c r="AL224" s="31">
        <f t="shared" ca="1" si="71"/>
        <v>18</v>
      </c>
      <c r="AM224" s="31">
        <f t="shared" ca="1" si="72"/>
        <v>35</v>
      </c>
    </row>
    <row r="225" spans="14:39">
      <c r="N225" s="26">
        <v>217</v>
      </c>
      <c r="O225" s="30">
        <f t="shared" ca="1" si="77"/>
        <v>0.55547335225677874</v>
      </c>
      <c r="P225" s="30">
        <f t="shared" ca="1" si="77"/>
        <v>2.3619580006344609</v>
      </c>
      <c r="Q225" s="30">
        <f t="shared" ca="1" si="77"/>
        <v>14.471715539320103</v>
      </c>
      <c r="R225" s="30">
        <f t="shared" ca="1" si="77"/>
        <v>24.545301795061018</v>
      </c>
      <c r="S225" s="30">
        <f t="shared" ca="1" si="77"/>
        <v>5.3619350741789171</v>
      </c>
      <c r="T225" s="30">
        <f t="shared" ca="1" si="77"/>
        <v>21.831099491499849</v>
      </c>
      <c r="U225" s="30">
        <f t="shared" ca="1" si="77"/>
        <v>11.925493654786159</v>
      </c>
      <c r="V225" s="30">
        <f t="shared" ca="1" si="77"/>
        <v>7.4680295357593449</v>
      </c>
      <c r="W225" s="30">
        <f t="shared" ca="1" si="77"/>
        <v>17.839643456445412</v>
      </c>
      <c r="X225" s="30">
        <f t="shared" ca="1" si="77"/>
        <v>27.952722396878592</v>
      </c>
      <c r="Y225" s="30">
        <f t="shared" ca="1" si="77"/>
        <v>27.03152087104603</v>
      </c>
      <c r="Z225" s="30">
        <f t="shared" ca="1" si="77"/>
        <v>5.6909739513249935</v>
      </c>
      <c r="AA225" s="26">
        <v>217</v>
      </c>
      <c r="AB225" s="31">
        <f t="shared" ca="1" si="75"/>
        <v>1</v>
      </c>
      <c r="AC225" s="31">
        <f t="shared" ca="1" si="62"/>
        <v>3</v>
      </c>
      <c r="AD225" s="31">
        <f t="shared" ca="1" si="63"/>
        <v>19</v>
      </c>
      <c r="AE225" s="31">
        <f t="shared" ca="1" si="64"/>
        <v>44</v>
      </c>
      <c r="AF225" s="31">
        <f t="shared" ca="1" si="65"/>
        <v>6</v>
      </c>
      <c r="AG225" s="31">
        <f t="shared" ca="1" si="66"/>
        <v>35</v>
      </c>
      <c r="AH225" s="31">
        <f t="shared" ca="1" si="67"/>
        <v>15</v>
      </c>
      <c r="AI225" s="31">
        <f t="shared" ca="1" si="68"/>
        <v>9</v>
      </c>
      <c r="AJ225" s="31">
        <f t="shared" ca="1" si="69"/>
        <v>26</v>
      </c>
      <c r="AK225" s="31">
        <f t="shared" ca="1" si="70"/>
        <v>60</v>
      </c>
      <c r="AL225" s="31">
        <f t="shared" ca="1" si="71"/>
        <v>55</v>
      </c>
      <c r="AM225" s="31">
        <f t="shared" ca="1" si="72"/>
        <v>7</v>
      </c>
    </row>
    <row r="226" spans="14:39">
      <c r="N226" s="26">
        <v>218</v>
      </c>
      <c r="O226" s="30">
        <f t="shared" ca="1" si="77"/>
        <v>10.134864581880372</v>
      </c>
      <c r="P226" s="30">
        <f t="shared" ca="1" si="77"/>
        <v>25.85815179914314</v>
      </c>
      <c r="Q226" s="30">
        <f t="shared" ca="1" si="77"/>
        <v>1.5046674013994275</v>
      </c>
      <c r="R226" s="30">
        <f t="shared" ca="1" si="77"/>
        <v>30.303940853785715</v>
      </c>
      <c r="S226" s="30">
        <f t="shared" ca="1" si="77"/>
        <v>25.490908507129951</v>
      </c>
      <c r="T226" s="30">
        <f t="shared" ca="1" si="77"/>
        <v>29.237765273250876</v>
      </c>
      <c r="U226" s="30">
        <f t="shared" ca="1" si="77"/>
        <v>19.29961338714579</v>
      </c>
      <c r="V226" s="30">
        <f t="shared" ca="1" si="77"/>
        <v>1.6656788825530839</v>
      </c>
      <c r="W226" s="30">
        <f t="shared" ca="1" si="77"/>
        <v>32.91201413251143</v>
      </c>
      <c r="X226" s="30">
        <f t="shared" ca="1" si="77"/>
        <v>9.6775818279300907</v>
      </c>
      <c r="Y226" s="30">
        <f t="shared" ca="1" si="77"/>
        <v>24.414833209009018</v>
      </c>
      <c r="Z226" s="30">
        <f t="shared" ca="1" si="77"/>
        <v>28.596151380684898</v>
      </c>
      <c r="AA226" s="26">
        <v>218</v>
      </c>
      <c r="AB226" s="31">
        <f t="shared" ca="1" si="75"/>
        <v>12</v>
      </c>
      <c r="AC226" s="31">
        <f t="shared" ca="1" si="62"/>
        <v>50</v>
      </c>
      <c r="AD226" s="31">
        <f t="shared" ca="1" si="63"/>
        <v>2</v>
      </c>
      <c r="AE226" s="31">
        <f t="shared" ca="1" si="64"/>
        <v>79</v>
      </c>
      <c r="AF226" s="31">
        <f t="shared" ca="1" si="65"/>
        <v>48</v>
      </c>
      <c r="AG226" s="31">
        <f t="shared" ca="1" si="66"/>
        <v>69</v>
      </c>
      <c r="AH226" s="31">
        <f t="shared" ca="1" si="67"/>
        <v>29</v>
      </c>
      <c r="AI226" s="31">
        <f t="shared" ca="1" si="68"/>
        <v>2</v>
      </c>
      <c r="AJ226" s="31">
        <f t="shared" ca="1" si="69"/>
        <v>144</v>
      </c>
      <c r="AK226" s="31">
        <f t="shared" ca="1" si="70"/>
        <v>12</v>
      </c>
      <c r="AL226" s="31">
        <f t="shared" ca="1" si="71"/>
        <v>44</v>
      </c>
      <c r="AM226" s="31">
        <f t="shared" ca="1" si="72"/>
        <v>65</v>
      </c>
    </row>
    <row r="227" spans="14:39">
      <c r="N227" s="26">
        <v>219</v>
      </c>
      <c r="O227" s="30">
        <f t="shared" ca="1" si="77"/>
        <v>1.9409912420847681</v>
      </c>
      <c r="P227" s="30">
        <f t="shared" ca="1" si="77"/>
        <v>8.554370771244546</v>
      </c>
      <c r="Q227" s="30">
        <f t="shared" ca="1" si="77"/>
        <v>1.6689634590020177</v>
      </c>
      <c r="R227" s="30">
        <f t="shared" ca="1" si="77"/>
        <v>1.4112632893310224</v>
      </c>
      <c r="S227" s="30">
        <f t="shared" ca="1" si="77"/>
        <v>13.739239621029489</v>
      </c>
      <c r="T227" s="30">
        <f t="shared" ca="1" si="77"/>
        <v>23.367733470633361</v>
      </c>
      <c r="U227" s="30">
        <f t="shared" ca="1" si="77"/>
        <v>23.647919599811249</v>
      </c>
      <c r="V227" s="30">
        <f t="shared" ca="1" si="77"/>
        <v>24.802365466209736</v>
      </c>
      <c r="W227" s="30">
        <f t="shared" ca="1" si="77"/>
        <v>33.110911352564933</v>
      </c>
      <c r="X227" s="30">
        <f t="shared" ca="1" si="77"/>
        <v>19.361686533782269</v>
      </c>
      <c r="Y227" s="30">
        <f t="shared" ca="1" si="77"/>
        <v>12.629989642739881</v>
      </c>
      <c r="Z227" s="30">
        <f t="shared" ca="1" si="77"/>
        <v>31.44051812584387</v>
      </c>
      <c r="AA227" s="26">
        <v>219</v>
      </c>
      <c r="AB227" s="31">
        <f t="shared" ca="1" si="75"/>
        <v>2</v>
      </c>
      <c r="AC227" s="31">
        <f t="shared" ca="1" si="62"/>
        <v>10</v>
      </c>
      <c r="AD227" s="31">
        <f t="shared" ca="1" si="63"/>
        <v>2</v>
      </c>
      <c r="AE227" s="31">
        <f t="shared" ca="1" si="64"/>
        <v>2</v>
      </c>
      <c r="AF227" s="31">
        <f t="shared" ca="1" si="65"/>
        <v>18</v>
      </c>
      <c r="AG227" s="31">
        <f t="shared" ca="1" si="66"/>
        <v>40</v>
      </c>
      <c r="AH227" s="31">
        <f t="shared" ca="1" si="67"/>
        <v>41</v>
      </c>
      <c r="AI227" s="31">
        <f t="shared" ca="1" si="68"/>
        <v>45</v>
      </c>
      <c r="AJ227" s="31">
        <f t="shared" ca="1" si="69"/>
        <v>165</v>
      </c>
      <c r="AK227" s="31">
        <f t="shared" ca="1" si="70"/>
        <v>29</v>
      </c>
      <c r="AL227" s="31">
        <f t="shared" ca="1" si="71"/>
        <v>16</v>
      </c>
      <c r="AM227" s="31">
        <f t="shared" ca="1" si="72"/>
        <v>95</v>
      </c>
    </row>
    <row r="228" spans="14:39">
      <c r="N228" s="26">
        <v>220</v>
      </c>
      <c r="O228" s="30">
        <f t="shared" ca="1" si="77"/>
        <v>16.400461619590761</v>
      </c>
      <c r="P228" s="30">
        <f t="shared" ca="1" si="77"/>
        <v>15.86897406543574</v>
      </c>
      <c r="Q228" s="30">
        <f t="shared" ca="1" si="77"/>
        <v>14.864802309564103</v>
      </c>
      <c r="R228" s="30">
        <f t="shared" ca="1" si="77"/>
        <v>25.531842510314046</v>
      </c>
      <c r="S228" s="30">
        <f t="shared" ca="1" si="77"/>
        <v>25.125668496530473</v>
      </c>
      <c r="T228" s="30">
        <f t="shared" ca="1" si="77"/>
        <v>30.743599061253221</v>
      </c>
      <c r="U228" s="30">
        <f t="shared" ca="1" si="77"/>
        <v>8.441674238052709</v>
      </c>
      <c r="V228" s="30">
        <f t="shared" ca="1" si="77"/>
        <v>14.823035388203772</v>
      </c>
      <c r="W228" s="30">
        <f t="shared" ca="1" si="77"/>
        <v>2.5745248873516489</v>
      </c>
      <c r="X228" s="30">
        <f t="shared" ca="1" si="77"/>
        <v>25.41266474557408</v>
      </c>
      <c r="Y228" s="30">
        <f t="shared" ca="1" si="77"/>
        <v>0.40858686849126863</v>
      </c>
      <c r="Z228" s="30">
        <f t="shared" ca="1" si="77"/>
        <v>23.820149169506053</v>
      </c>
      <c r="AA228" s="26">
        <v>220</v>
      </c>
      <c r="AB228" s="31">
        <f t="shared" ca="1" si="75"/>
        <v>23</v>
      </c>
      <c r="AC228" s="31">
        <f t="shared" ca="1" si="62"/>
        <v>22</v>
      </c>
      <c r="AD228" s="31">
        <f t="shared" ca="1" si="63"/>
        <v>20</v>
      </c>
      <c r="AE228" s="31">
        <f t="shared" ca="1" si="64"/>
        <v>48</v>
      </c>
      <c r="AF228" s="31">
        <f t="shared" ca="1" si="65"/>
        <v>47</v>
      </c>
      <c r="AG228" s="31">
        <f t="shared" ca="1" si="66"/>
        <v>84</v>
      </c>
      <c r="AH228" s="31">
        <f t="shared" ca="1" si="67"/>
        <v>10</v>
      </c>
      <c r="AI228" s="31">
        <f t="shared" ca="1" si="68"/>
        <v>20</v>
      </c>
      <c r="AJ228" s="31">
        <f t="shared" ca="1" si="69"/>
        <v>3</v>
      </c>
      <c r="AK228" s="31">
        <f t="shared" ca="1" si="70"/>
        <v>48</v>
      </c>
      <c r="AL228" s="31">
        <f t="shared" ca="1" si="71"/>
        <v>1</v>
      </c>
      <c r="AM228" s="31">
        <f t="shared" ca="1" si="72"/>
        <v>42</v>
      </c>
    </row>
    <row r="229" spans="14:39">
      <c r="N229" s="26">
        <v>221</v>
      </c>
      <c r="O229" s="30">
        <f t="shared" ref="O229:Z238" ca="1" si="78">RAND()*sumweights</f>
        <v>9.1702240275136191</v>
      </c>
      <c r="P229" s="30">
        <f t="shared" ca="1" si="78"/>
        <v>20.626312007310638</v>
      </c>
      <c r="Q229" s="30">
        <f t="shared" ca="1" si="78"/>
        <v>12.298195876882396</v>
      </c>
      <c r="R229" s="30">
        <f t="shared" ca="1" si="78"/>
        <v>2.5874079861112014</v>
      </c>
      <c r="S229" s="30">
        <f t="shared" ca="1" si="78"/>
        <v>31.102696864562628</v>
      </c>
      <c r="T229" s="30">
        <f t="shared" ca="1" si="78"/>
        <v>25.964190693549192</v>
      </c>
      <c r="U229" s="30">
        <f t="shared" ca="1" si="78"/>
        <v>10.849934137233745</v>
      </c>
      <c r="V229" s="30">
        <f t="shared" ca="1" si="78"/>
        <v>33.112171867326452</v>
      </c>
      <c r="W229" s="30">
        <f t="shared" ca="1" si="78"/>
        <v>32.621385245279072</v>
      </c>
      <c r="X229" s="30">
        <f t="shared" ca="1" si="78"/>
        <v>26.249216464956607</v>
      </c>
      <c r="Y229" s="30">
        <f t="shared" ca="1" si="78"/>
        <v>12.172992657097657</v>
      </c>
      <c r="Z229" s="30">
        <f t="shared" ca="1" si="78"/>
        <v>16.939743856748763</v>
      </c>
      <c r="AA229" s="26">
        <v>221</v>
      </c>
      <c r="AB229" s="31">
        <f t="shared" ca="1" si="75"/>
        <v>11</v>
      </c>
      <c r="AC229" s="31">
        <f t="shared" ca="1" si="62"/>
        <v>32</v>
      </c>
      <c r="AD229" s="31">
        <f t="shared" ca="1" si="63"/>
        <v>16</v>
      </c>
      <c r="AE229" s="31">
        <f t="shared" ca="1" si="64"/>
        <v>3</v>
      </c>
      <c r="AF229" s="31">
        <f t="shared" ca="1" si="65"/>
        <v>89</v>
      </c>
      <c r="AG229" s="31">
        <f t="shared" ca="1" si="66"/>
        <v>50</v>
      </c>
      <c r="AH229" s="31">
        <f t="shared" ca="1" si="67"/>
        <v>13</v>
      </c>
      <c r="AI229" s="31">
        <f t="shared" ca="1" si="68"/>
        <v>165</v>
      </c>
      <c r="AJ229" s="31">
        <f t="shared" ca="1" si="69"/>
        <v>127</v>
      </c>
      <c r="AK229" s="31">
        <f t="shared" ca="1" si="70"/>
        <v>51</v>
      </c>
      <c r="AL229" s="31">
        <f t="shared" ca="1" si="71"/>
        <v>15</v>
      </c>
      <c r="AM229" s="31">
        <f t="shared" ca="1" si="72"/>
        <v>24</v>
      </c>
    </row>
    <row r="230" spans="14:39">
      <c r="N230" s="26">
        <v>222</v>
      </c>
      <c r="O230" s="30">
        <f t="shared" ca="1" si="78"/>
        <v>10.589254044894966</v>
      </c>
      <c r="P230" s="30">
        <f t="shared" ca="1" si="78"/>
        <v>29.222615909096408</v>
      </c>
      <c r="Q230" s="30">
        <f t="shared" ca="1" si="78"/>
        <v>30.250241823045581</v>
      </c>
      <c r="R230" s="30">
        <f t="shared" ca="1" si="78"/>
        <v>26.511410155801737</v>
      </c>
      <c r="S230" s="30">
        <f t="shared" ca="1" si="78"/>
        <v>1.9927190478822405</v>
      </c>
      <c r="T230" s="30">
        <f t="shared" ca="1" si="78"/>
        <v>24.6470027366864</v>
      </c>
      <c r="U230" s="30">
        <f t="shared" ca="1" si="78"/>
        <v>0.92407162068668314</v>
      </c>
      <c r="V230" s="30">
        <f t="shared" ca="1" si="78"/>
        <v>21.311938804103679</v>
      </c>
      <c r="W230" s="30">
        <f t="shared" ca="1" si="78"/>
        <v>1.8641105868963044</v>
      </c>
      <c r="X230" s="30">
        <f t="shared" ca="1" si="78"/>
        <v>3.9667074026585021</v>
      </c>
      <c r="Y230" s="30">
        <f t="shared" ca="1" si="78"/>
        <v>19.240484865370355</v>
      </c>
      <c r="Z230" s="30">
        <f t="shared" ca="1" si="78"/>
        <v>1.6671073222519834</v>
      </c>
      <c r="AA230" s="26">
        <v>222</v>
      </c>
      <c r="AB230" s="31">
        <f t="shared" ca="1" si="75"/>
        <v>13</v>
      </c>
      <c r="AC230" s="31">
        <f t="shared" ca="1" si="62"/>
        <v>69</v>
      </c>
      <c r="AD230" s="31">
        <f t="shared" ca="1" si="63"/>
        <v>79</v>
      </c>
      <c r="AE230" s="31">
        <f t="shared" ca="1" si="64"/>
        <v>53</v>
      </c>
      <c r="AF230" s="31">
        <f t="shared" ca="1" si="65"/>
        <v>3</v>
      </c>
      <c r="AG230" s="31">
        <f t="shared" ca="1" si="66"/>
        <v>45</v>
      </c>
      <c r="AH230" s="31">
        <f t="shared" ca="1" si="67"/>
        <v>1</v>
      </c>
      <c r="AI230" s="31">
        <f t="shared" ca="1" si="68"/>
        <v>34</v>
      </c>
      <c r="AJ230" s="31">
        <f t="shared" ca="1" si="69"/>
        <v>2</v>
      </c>
      <c r="AK230" s="31">
        <f t="shared" ca="1" si="70"/>
        <v>5</v>
      </c>
      <c r="AL230" s="31">
        <f t="shared" ca="1" si="71"/>
        <v>29</v>
      </c>
      <c r="AM230" s="31">
        <f t="shared" ca="1" si="72"/>
        <v>2</v>
      </c>
    </row>
    <row r="231" spans="14:39">
      <c r="N231" s="26">
        <v>223</v>
      </c>
      <c r="O231" s="30">
        <f t="shared" ca="1" si="78"/>
        <v>17.90914026180921</v>
      </c>
      <c r="P231" s="30">
        <f t="shared" ca="1" si="78"/>
        <v>1.1961730964656851</v>
      </c>
      <c r="Q231" s="30">
        <f t="shared" ca="1" si="78"/>
        <v>20.682775673795224</v>
      </c>
      <c r="R231" s="30">
        <f t="shared" ca="1" si="78"/>
        <v>1.6968136208936853</v>
      </c>
      <c r="S231" s="30">
        <f t="shared" ca="1" si="78"/>
        <v>5.5842235327717438</v>
      </c>
      <c r="T231" s="30">
        <f t="shared" ca="1" si="78"/>
        <v>8.1396944004072278</v>
      </c>
      <c r="U231" s="30">
        <f t="shared" ca="1" si="78"/>
        <v>17.513658539812717</v>
      </c>
      <c r="V231" s="30">
        <f t="shared" ca="1" si="78"/>
        <v>6.7701055103630887</v>
      </c>
      <c r="W231" s="30">
        <f t="shared" ca="1" si="78"/>
        <v>32.509850697063889</v>
      </c>
      <c r="X231" s="30">
        <f t="shared" ca="1" si="78"/>
        <v>26.703812293541336</v>
      </c>
      <c r="Y231" s="30">
        <f t="shared" ca="1" si="78"/>
        <v>8.0464386894650968</v>
      </c>
      <c r="Z231" s="30">
        <f t="shared" ca="1" si="78"/>
        <v>25.575003488429942</v>
      </c>
      <c r="AA231" s="26">
        <v>223</v>
      </c>
      <c r="AB231" s="31">
        <f t="shared" ca="1" si="75"/>
        <v>26</v>
      </c>
      <c r="AC231" s="31">
        <f t="shared" ca="1" si="62"/>
        <v>2</v>
      </c>
      <c r="AD231" s="31">
        <f t="shared" ca="1" si="63"/>
        <v>32</v>
      </c>
      <c r="AE231" s="31">
        <f t="shared" ca="1" si="64"/>
        <v>2</v>
      </c>
      <c r="AF231" s="31">
        <f t="shared" ca="1" si="65"/>
        <v>7</v>
      </c>
      <c r="AG231" s="31">
        <f t="shared" ca="1" si="66"/>
        <v>10</v>
      </c>
      <c r="AH231" s="31">
        <f t="shared" ca="1" si="67"/>
        <v>25</v>
      </c>
      <c r="AI231" s="31">
        <f t="shared" ca="1" si="68"/>
        <v>8</v>
      </c>
      <c r="AJ231" s="31">
        <f t="shared" ca="1" si="69"/>
        <v>122</v>
      </c>
      <c r="AK231" s="31">
        <f t="shared" ca="1" si="70"/>
        <v>54</v>
      </c>
      <c r="AL231" s="31">
        <f t="shared" ca="1" si="71"/>
        <v>10</v>
      </c>
      <c r="AM231" s="31">
        <f t="shared" ca="1" si="72"/>
        <v>48</v>
      </c>
    </row>
    <row r="232" spans="14:39">
      <c r="N232" s="26">
        <v>224</v>
      </c>
      <c r="O232" s="30">
        <f t="shared" ca="1" si="78"/>
        <v>16.659149052648232</v>
      </c>
      <c r="P232" s="30">
        <f t="shared" ca="1" si="78"/>
        <v>7.9694093921269644</v>
      </c>
      <c r="Q232" s="30">
        <f t="shared" ca="1" si="78"/>
        <v>33.085494804713235</v>
      </c>
      <c r="R232" s="30">
        <f t="shared" ca="1" si="78"/>
        <v>13.489913289677789</v>
      </c>
      <c r="S232" s="30">
        <f t="shared" ca="1" si="78"/>
        <v>1.4919456674416745</v>
      </c>
      <c r="T232" s="30">
        <f t="shared" ca="1" si="78"/>
        <v>7.17883075738035</v>
      </c>
      <c r="U232" s="30">
        <f t="shared" ca="1" si="78"/>
        <v>33.095870460236256</v>
      </c>
      <c r="V232" s="30">
        <f t="shared" ca="1" si="78"/>
        <v>30.271651427714623</v>
      </c>
      <c r="W232" s="30">
        <f t="shared" ca="1" si="78"/>
        <v>17.067723452334107</v>
      </c>
      <c r="X232" s="30">
        <f t="shared" ca="1" si="78"/>
        <v>15.422050579796327</v>
      </c>
      <c r="Y232" s="30">
        <f t="shared" ca="1" si="78"/>
        <v>7.1107075507376285</v>
      </c>
      <c r="Z232" s="30">
        <f t="shared" ca="1" si="78"/>
        <v>25.457996278446387</v>
      </c>
      <c r="AA232" s="26">
        <v>224</v>
      </c>
      <c r="AB232" s="31">
        <f t="shared" ca="1" si="75"/>
        <v>23</v>
      </c>
      <c r="AC232" s="31">
        <f t="shared" ca="1" si="62"/>
        <v>9</v>
      </c>
      <c r="AD232" s="31">
        <f t="shared" ca="1" si="63"/>
        <v>161</v>
      </c>
      <c r="AE232" s="31">
        <f t="shared" ca="1" si="64"/>
        <v>18</v>
      </c>
      <c r="AF232" s="31">
        <f t="shared" ca="1" si="65"/>
        <v>2</v>
      </c>
      <c r="AG232" s="31">
        <f t="shared" ca="1" si="66"/>
        <v>8</v>
      </c>
      <c r="AH232" s="31">
        <f t="shared" ca="1" si="67"/>
        <v>163</v>
      </c>
      <c r="AI232" s="31">
        <f t="shared" ca="1" si="68"/>
        <v>79</v>
      </c>
      <c r="AJ232" s="31">
        <f t="shared" ca="1" si="69"/>
        <v>24</v>
      </c>
      <c r="AK232" s="31">
        <f t="shared" ca="1" si="70"/>
        <v>21</v>
      </c>
      <c r="AL232" s="31">
        <f t="shared" ca="1" si="71"/>
        <v>8</v>
      </c>
      <c r="AM232" s="31">
        <f t="shared" ca="1" si="72"/>
        <v>48</v>
      </c>
    </row>
    <row r="233" spans="14:39">
      <c r="N233" s="26">
        <v>225</v>
      </c>
      <c r="O233" s="30">
        <f t="shared" ca="1" si="78"/>
        <v>26.348246600523268</v>
      </c>
      <c r="P233" s="30">
        <f t="shared" ca="1" si="78"/>
        <v>30.837529054039194</v>
      </c>
      <c r="Q233" s="30">
        <f t="shared" ca="1" si="78"/>
        <v>33.109242303289506</v>
      </c>
      <c r="R233" s="30">
        <f t="shared" ca="1" si="78"/>
        <v>32.41358253849284</v>
      </c>
      <c r="S233" s="30">
        <f t="shared" ca="1" si="78"/>
        <v>16.366993295755634</v>
      </c>
      <c r="T233" s="30">
        <f t="shared" ca="1" si="78"/>
        <v>32.572470220853447</v>
      </c>
      <c r="U233" s="30">
        <f t="shared" ca="1" si="78"/>
        <v>0.27210241606788116</v>
      </c>
      <c r="V233" s="30">
        <f t="shared" ca="1" si="78"/>
        <v>21.184260277154856</v>
      </c>
      <c r="W233" s="30">
        <f t="shared" ca="1" si="78"/>
        <v>0.94362706627521242</v>
      </c>
      <c r="X233" s="30">
        <f t="shared" ca="1" si="78"/>
        <v>14.622365653197086</v>
      </c>
      <c r="Y233" s="30">
        <f t="shared" ca="1" si="78"/>
        <v>18.378167419077602</v>
      </c>
      <c r="Z233" s="30">
        <f t="shared" ca="1" si="78"/>
        <v>5.9439127629042083</v>
      </c>
      <c r="AA233" s="26">
        <v>225</v>
      </c>
      <c r="AB233" s="31">
        <f t="shared" ca="1" si="75"/>
        <v>52</v>
      </c>
      <c r="AC233" s="31">
        <f t="shared" ca="1" si="62"/>
        <v>86</v>
      </c>
      <c r="AD233" s="31">
        <f t="shared" ca="1" si="63"/>
        <v>165</v>
      </c>
      <c r="AE233" s="31">
        <f t="shared" ca="1" si="64"/>
        <v>118</v>
      </c>
      <c r="AF233" s="31">
        <f t="shared" ca="1" si="65"/>
        <v>23</v>
      </c>
      <c r="AG233" s="31">
        <f t="shared" ca="1" si="66"/>
        <v>125</v>
      </c>
      <c r="AH233" s="31">
        <f t="shared" ca="1" si="67"/>
        <v>1</v>
      </c>
      <c r="AI233" s="31">
        <f t="shared" ca="1" si="68"/>
        <v>34</v>
      </c>
      <c r="AJ233" s="31">
        <f t="shared" ca="1" si="69"/>
        <v>1</v>
      </c>
      <c r="AK233" s="31">
        <f t="shared" ca="1" si="70"/>
        <v>19</v>
      </c>
      <c r="AL233" s="31">
        <f t="shared" ca="1" si="71"/>
        <v>27</v>
      </c>
      <c r="AM233" s="31">
        <f t="shared" ca="1" si="72"/>
        <v>7</v>
      </c>
    </row>
    <row r="234" spans="14:39">
      <c r="N234" s="26">
        <v>226</v>
      </c>
      <c r="O234" s="30">
        <f t="shared" ca="1" si="78"/>
        <v>2.0760357898722792</v>
      </c>
      <c r="P234" s="30">
        <f t="shared" ca="1" si="78"/>
        <v>20.245541660183097</v>
      </c>
      <c r="Q234" s="30">
        <f t="shared" ca="1" si="78"/>
        <v>5.8712120254380791</v>
      </c>
      <c r="R234" s="30">
        <f t="shared" ca="1" si="78"/>
        <v>10.278966801798115</v>
      </c>
      <c r="S234" s="30">
        <f t="shared" ca="1" si="78"/>
        <v>16.99285522267672</v>
      </c>
      <c r="T234" s="30">
        <f t="shared" ca="1" si="78"/>
        <v>18.541035985289291</v>
      </c>
      <c r="U234" s="30">
        <f t="shared" ca="1" si="78"/>
        <v>3.2754462070359089</v>
      </c>
      <c r="V234" s="30">
        <f t="shared" ca="1" si="78"/>
        <v>11.00153930843522</v>
      </c>
      <c r="W234" s="30">
        <f t="shared" ca="1" si="78"/>
        <v>7.7151483565813868</v>
      </c>
      <c r="X234" s="30">
        <f t="shared" ca="1" si="78"/>
        <v>19.767674511293688</v>
      </c>
      <c r="Y234" s="30">
        <f t="shared" ca="1" si="78"/>
        <v>15.019445761124743</v>
      </c>
      <c r="Z234" s="30">
        <f t="shared" ca="1" si="78"/>
        <v>15.297283032474697</v>
      </c>
      <c r="AA234" s="26">
        <v>226</v>
      </c>
      <c r="AB234" s="31">
        <f t="shared" ca="1" si="75"/>
        <v>3</v>
      </c>
      <c r="AC234" s="31">
        <f t="shared" ca="1" si="62"/>
        <v>31</v>
      </c>
      <c r="AD234" s="31">
        <f t="shared" ca="1" si="63"/>
        <v>7</v>
      </c>
      <c r="AE234" s="31">
        <f t="shared" ca="1" si="64"/>
        <v>13</v>
      </c>
      <c r="AF234" s="31">
        <f t="shared" ca="1" si="65"/>
        <v>24</v>
      </c>
      <c r="AG234" s="31">
        <f t="shared" ca="1" si="66"/>
        <v>27</v>
      </c>
      <c r="AH234" s="31">
        <f t="shared" ca="1" si="67"/>
        <v>4</v>
      </c>
      <c r="AI234" s="31">
        <f t="shared" ca="1" si="68"/>
        <v>14</v>
      </c>
      <c r="AJ234" s="31">
        <f t="shared" ca="1" si="69"/>
        <v>9</v>
      </c>
      <c r="AK234" s="31">
        <f t="shared" ca="1" si="70"/>
        <v>30</v>
      </c>
      <c r="AL234" s="31">
        <f t="shared" ca="1" si="71"/>
        <v>20</v>
      </c>
      <c r="AM234" s="31">
        <f t="shared" ca="1" si="72"/>
        <v>21</v>
      </c>
    </row>
    <row r="235" spans="14:39">
      <c r="N235" s="26">
        <v>227</v>
      </c>
      <c r="O235" s="30">
        <f t="shared" ca="1" si="78"/>
        <v>12.034363784618682</v>
      </c>
      <c r="P235" s="30">
        <f t="shared" ca="1" si="78"/>
        <v>11.039170624080421</v>
      </c>
      <c r="Q235" s="30">
        <f t="shared" ca="1" si="78"/>
        <v>20.055055980017148</v>
      </c>
      <c r="R235" s="30">
        <f t="shared" ca="1" si="78"/>
        <v>6.8920072155140604</v>
      </c>
      <c r="S235" s="30">
        <f t="shared" ca="1" si="78"/>
        <v>16.222231863005739</v>
      </c>
      <c r="T235" s="30">
        <f t="shared" ca="1" si="78"/>
        <v>10.505875199352497</v>
      </c>
      <c r="U235" s="30">
        <f t="shared" ca="1" si="78"/>
        <v>5.0821155180289921</v>
      </c>
      <c r="V235" s="30">
        <f t="shared" ca="1" si="78"/>
        <v>28.282691508853866</v>
      </c>
      <c r="W235" s="30">
        <f t="shared" ca="1" si="78"/>
        <v>26.713048919645111</v>
      </c>
      <c r="X235" s="30">
        <f t="shared" ca="1" si="78"/>
        <v>28.296969943558491</v>
      </c>
      <c r="Y235" s="30">
        <f t="shared" ca="1" si="78"/>
        <v>4.7984894047313373</v>
      </c>
      <c r="Z235" s="30">
        <f t="shared" ca="1" si="78"/>
        <v>28.621860149378161</v>
      </c>
      <c r="AA235" s="26">
        <v>227</v>
      </c>
      <c r="AB235" s="31">
        <f t="shared" ca="1" si="75"/>
        <v>15</v>
      </c>
      <c r="AC235" s="31">
        <f t="shared" ca="1" si="62"/>
        <v>14</v>
      </c>
      <c r="AD235" s="31">
        <f t="shared" ca="1" si="63"/>
        <v>31</v>
      </c>
      <c r="AE235" s="31">
        <f t="shared" ca="1" si="64"/>
        <v>8</v>
      </c>
      <c r="AF235" s="31">
        <f t="shared" ca="1" si="65"/>
        <v>22</v>
      </c>
      <c r="AG235" s="31">
        <f t="shared" ca="1" si="66"/>
        <v>13</v>
      </c>
      <c r="AH235" s="31">
        <f t="shared" ca="1" si="67"/>
        <v>6</v>
      </c>
      <c r="AI235" s="31">
        <f t="shared" ca="1" si="68"/>
        <v>62</v>
      </c>
      <c r="AJ235" s="31">
        <f t="shared" ca="1" si="69"/>
        <v>54</v>
      </c>
      <c r="AK235" s="31">
        <f t="shared" ca="1" si="70"/>
        <v>63</v>
      </c>
      <c r="AL235" s="31">
        <f t="shared" ca="1" si="71"/>
        <v>6</v>
      </c>
      <c r="AM235" s="31">
        <f t="shared" ca="1" si="72"/>
        <v>65</v>
      </c>
    </row>
    <row r="236" spans="14:39">
      <c r="N236" s="26">
        <v>228</v>
      </c>
      <c r="O236" s="30">
        <f t="shared" ca="1" si="78"/>
        <v>30.931356861860476</v>
      </c>
      <c r="P236" s="30">
        <f t="shared" ca="1" si="78"/>
        <v>20.956450369358748</v>
      </c>
      <c r="Q236" s="30">
        <f t="shared" ca="1" si="78"/>
        <v>28.784184867272494</v>
      </c>
      <c r="R236" s="30">
        <f t="shared" ca="1" si="78"/>
        <v>26.300366017444418</v>
      </c>
      <c r="S236" s="30">
        <f t="shared" ca="1" si="78"/>
        <v>9.7824597797370494</v>
      </c>
      <c r="T236" s="30">
        <f t="shared" ca="1" si="78"/>
        <v>28.703622312505679</v>
      </c>
      <c r="U236" s="30">
        <f t="shared" ca="1" si="78"/>
        <v>4.8221256313214296</v>
      </c>
      <c r="V236" s="30">
        <f t="shared" ca="1" si="78"/>
        <v>15.794350270984705</v>
      </c>
      <c r="W236" s="30">
        <f t="shared" ca="1" si="78"/>
        <v>7.8408799021769564</v>
      </c>
      <c r="X236" s="30">
        <f t="shared" ca="1" si="78"/>
        <v>30.520513244318135</v>
      </c>
      <c r="Y236" s="30">
        <f t="shared" ca="1" si="78"/>
        <v>14.850845872905241</v>
      </c>
      <c r="Z236" s="30">
        <f t="shared" ca="1" si="78"/>
        <v>8.3459163873935545</v>
      </c>
      <c r="AA236" s="26">
        <v>228</v>
      </c>
      <c r="AB236" s="31">
        <f t="shared" ca="1" si="75"/>
        <v>87</v>
      </c>
      <c r="AC236" s="31">
        <f t="shared" ca="1" si="62"/>
        <v>33</v>
      </c>
      <c r="AD236" s="31">
        <f t="shared" ca="1" si="63"/>
        <v>66</v>
      </c>
      <c r="AE236" s="31">
        <f t="shared" ca="1" si="64"/>
        <v>52</v>
      </c>
      <c r="AF236" s="31">
        <f t="shared" ca="1" si="65"/>
        <v>12</v>
      </c>
      <c r="AG236" s="31">
        <f t="shared" ca="1" si="66"/>
        <v>65</v>
      </c>
      <c r="AH236" s="31">
        <f t="shared" ca="1" si="67"/>
        <v>6</v>
      </c>
      <c r="AI236" s="31">
        <f t="shared" ca="1" si="68"/>
        <v>22</v>
      </c>
      <c r="AJ236" s="31">
        <f t="shared" ca="1" si="69"/>
        <v>9</v>
      </c>
      <c r="AK236" s="31">
        <f t="shared" ca="1" si="70"/>
        <v>82</v>
      </c>
      <c r="AL236" s="31">
        <f t="shared" ca="1" si="71"/>
        <v>20</v>
      </c>
      <c r="AM236" s="31">
        <f t="shared" ca="1" si="72"/>
        <v>10</v>
      </c>
    </row>
    <row r="237" spans="14:39">
      <c r="N237" s="26">
        <v>229</v>
      </c>
      <c r="O237" s="30">
        <f t="shared" ca="1" si="78"/>
        <v>16.390632268163731</v>
      </c>
      <c r="P237" s="30">
        <f t="shared" ca="1" si="78"/>
        <v>18.291939893740324</v>
      </c>
      <c r="Q237" s="30">
        <f t="shared" ca="1" si="78"/>
        <v>20.597156000435913</v>
      </c>
      <c r="R237" s="30">
        <f t="shared" ca="1" si="78"/>
        <v>5.013504836303321</v>
      </c>
      <c r="S237" s="30">
        <f t="shared" ca="1" si="78"/>
        <v>2.8091896894297581</v>
      </c>
      <c r="T237" s="30">
        <f t="shared" ca="1" si="78"/>
        <v>8.1172635188788007</v>
      </c>
      <c r="U237" s="30">
        <f t="shared" ca="1" si="78"/>
        <v>0.56016741281401905</v>
      </c>
      <c r="V237" s="30">
        <f t="shared" ca="1" si="78"/>
        <v>10.461295536388782</v>
      </c>
      <c r="W237" s="30">
        <f t="shared" ca="1" si="78"/>
        <v>21.563546330397596</v>
      </c>
      <c r="X237" s="30">
        <f t="shared" ca="1" si="78"/>
        <v>26.280529077539011</v>
      </c>
      <c r="Y237" s="30">
        <f t="shared" ca="1" si="78"/>
        <v>26.125459491884651</v>
      </c>
      <c r="Z237" s="30">
        <f t="shared" ca="1" si="78"/>
        <v>15.844158042453403</v>
      </c>
      <c r="AA237" s="26">
        <v>229</v>
      </c>
      <c r="AB237" s="31">
        <f t="shared" ca="1" si="75"/>
        <v>23</v>
      </c>
      <c r="AC237" s="31">
        <f t="shared" ca="1" si="62"/>
        <v>27</v>
      </c>
      <c r="AD237" s="31">
        <f t="shared" ca="1" si="63"/>
        <v>32</v>
      </c>
      <c r="AE237" s="31">
        <f t="shared" ca="1" si="64"/>
        <v>6</v>
      </c>
      <c r="AF237" s="31">
        <f t="shared" ca="1" si="65"/>
        <v>3</v>
      </c>
      <c r="AG237" s="31">
        <f t="shared" ca="1" si="66"/>
        <v>10</v>
      </c>
      <c r="AH237" s="31">
        <f t="shared" ca="1" si="67"/>
        <v>1</v>
      </c>
      <c r="AI237" s="31">
        <f t="shared" ca="1" si="68"/>
        <v>13</v>
      </c>
      <c r="AJ237" s="31">
        <f t="shared" ca="1" si="69"/>
        <v>35</v>
      </c>
      <c r="AK237" s="31">
        <f t="shared" ca="1" si="70"/>
        <v>51</v>
      </c>
      <c r="AL237" s="31">
        <f t="shared" ca="1" si="71"/>
        <v>51</v>
      </c>
      <c r="AM237" s="31">
        <f t="shared" ca="1" si="72"/>
        <v>22</v>
      </c>
    </row>
    <row r="238" spans="14:39">
      <c r="N238" s="26">
        <v>230</v>
      </c>
      <c r="O238" s="30">
        <f t="shared" ca="1" si="78"/>
        <v>31.590231645713761</v>
      </c>
      <c r="P238" s="30">
        <f t="shared" ca="1" si="78"/>
        <v>25.238373309449511</v>
      </c>
      <c r="Q238" s="30">
        <f t="shared" ca="1" si="78"/>
        <v>23.824027579056676</v>
      </c>
      <c r="R238" s="30">
        <f t="shared" ca="1" si="78"/>
        <v>2.8872024554625448</v>
      </c>
      <c r="S238" s="30">
        <f t="shared" ca="1" si="78"/>
        <v>1.9963803410234155</v>
      </c>
      <c r="T238" s="30">
        <f t="shared" ca="1" si="78"/>
        <v>23.102474869423382</v>
      </c>
      <c r="U238" s="30">
        <f t="shared" ca="1" si="78"/>
        <v>28.98432953792878</v>
      </c>
      <c r="V238" s="30">
        <f t="shared" ca="1" si="78"/>
        <v>20.80657116099913</v>
      </c>
      <c r="W238" s="30">
        <f t="shared" ca="1" si="78"/>
        <v>31.617471224782502</v>
      </c>
      <c r="X238" s="30">
        <f t="shared" ca="1" si="78"/>
        <v>29.653283232663714</v>
      </c>
      <c r="Y238" s="30">
        <f t="shared" ca="1" si="78"/>
        <v>20.368772338374839</v>
      </c>
      <c r="Z238" s="30">
        <f t="shared" ca="1" si="78"/>
        <v>11.569586890778757</v>
      </c>
      <c r="AA238" s="26">
        <v>230</v>
      </c>
      <c r="AB238" s="31">
        <f t="shared" ca="1" si="75"/>
        <v>97</v>
      </c>
      <c r="AC238" s="31">
        <f t="shared" ca="1" si="62"/>
        <v>47</v>
      </c>
      <c r="AD238" s="31">
        <f t="shared" ca="1" si="63"/>
        <v>42</v>
      </c>
      <c r="AE238" s="31">
        <f t="shared" ca="1" si="64"/>
        <v>3</v>
      </c>
      <c r="AF238" s="31">
        <f t="shared" ca="1" si="65"/>
        <v>3</v>
      </c>
      <c r="AG238" s="31">
        <f t="shared" ca="1" si="66"/>
        <v>39</v>
      </c>
      <c r="AH238" s="31">
        <f t="shared" ca="1" si="67"/>
        <v>67</v>
      </c>
      <c r="AI238" s="31">
        <f t="shared" ca="1" si="68"/>
        <v>33</v>
      </c>
      <c r="AJ238" s="31">
        <f t="shared" ca="1" si="69"/>
        <v>98</v>
      </c>
      <c r="AK238" s="31">
        <f t="shared" ca="1" si="70"/>
        <v>73</v>
      </c>
      <c r="AL238" s="31">
        <f t="shared" ca="1" si="71"/>
        <v>32</v>
      </c>
      <c r="AM238" s="31">
        <f t="shared" ca="1" si="72"/>
        <v>14</v>
      </c>
    </row>
    <row r="239" spans="14:39">
      <c r="N239" s="26">
        <v>231</v>
      </c>
      <c r="O239" s="30">
        <f t="shared" ref="O239:Z248" ca="1" si="79">RAND()*sumweights</f>
        <v>19.434676461719508</v>
      </c>
      <c r="P239" s="30">
        <f t="shared" ca="1" si="79"/>
        <v>0.43173098761846901</v>
      </c>
      <c r="Q239" s="30">
        <f t="shared" ca="1" si="79"/>
        <v>16.026148911542695</v>
      </c>
      <c r="R239" s="30">
        <f t="shared" ca="1" si="79"/>
        <v>27.914243422052451</v>
      </c>
      <c r="S239" s="30">
        <f t="shared" ca="1" si="79"/>
        <v>30.388537947471495</v>
      </c>
      <c r="T239" s="30">
        <f t="shared" ca="1" si="79"/>
        <v>10.926179336808831</v>
      </c>
      <c r="U239" s="30">
        <f t="shared" ca="1" si="79"/>
        <v>7.386888871077093</v>
      </c>
      <c r="V239" s="30">
        <f t="shared" ca="1" si="79"/>
        <v>9.1295024860429308</v>
      </c>
      <c r="W239" s="30">
        <f t="shared" ca="1" si="79"/>
        <v>19.07641073326252</v>
      </c>
      <c r="X239" s="30">
        <f t="shared" ca="1" si="79"/>
        <v>19.150953795148535</v>
      </c>
      <c r="Y239" s="30">
        <f t="shared" ca="1" si="79"/>
        <v>26.730159461332359</v>
      </c>
      <c r="Z239" s="30">
        <f t="shared" ca="1" si="79"/>
        <v>7.4374812060480675</v>
      </c>
      <c r="AA239" s="26">
        <v>231</v>
      </c>
      <c r="AB239" s="31">
        <f t="shared" ca="1" si="75"/>
        <v>29</v>
      </c>
      <c r="AC239" s="31">
        <f t="shared" ca="1" si="62"/>
        <v>1</v>
      </c>
      <c r="AD239" s="31">
        <f t="shared" ca="1" si="63"/>
        <v>22</v>
      </c>
      <c r="AE239" s="31">
        <f t="shared" ca="1" si="64"/>
        <v>60</v>
      </c>
      <c r="AF239" s="31">
        <f t="shared" ca="1" si="65"/>
        <v>80</v>
      </c>
      <c r="AG239" s="31">
        <f t="shared" ca="1" si="66"/>
        <v>14</v>
      </c>
      <c r="AH239" s="31">
        <f t="shared" ca="1" si="67"/>
        <v>9</v>
      </c>
      <c r="AI239" s="31">
        <f t="shared" ca="1" si="68"/>
        <v>11</v>
      </c>
      <c r="AJ239" s="31">
        <f t="shared" ca="1" si="69"/>
        <v>28</v>
      </c>
      <c r="AK239" s="31">
        <f t="shared" ca="1" si="70"/>
        <v>29</v>
      </c>
      <c r="AL239" s="31">
        <f t="shared" ca="1" si="71"/>
        <v>54</v>
      </c>
      <c r="AM239" s="31">
        <f t="shared" ca="1" si="72"/>
        <v>9</v>
      </c>
    </row>
    <row r="240" spans="14:39">
      <c r="N240" s="26">
        <v>232</v>
      </c>
      <c r="O240" s="30">
        <f t="shared" ca="1" si="79"/>
        <v>17.828733424037299</v>
      </c>
      <c r="P240" s="30">
        <f t="shared" ca="1" si="79"/>
        <v>32.769793180564939</v>
      </c>
      <c r="Q240" s="30">
        <f t="shared" ca="1" si="79"/>
        <v>18.288644106353289</v>
      </c>
      <c r="R240" s="30">
        <f t="shared" ca="1" si="79"/>
        <v>15.855377221491857</v>
      </c>
      <c r="S240" s="30">
        <f t="shared" ca="1" si="79"/>
        <v>2.6311709330920392</v>
      </c>
      <c r="T240" s="30">
        <f t="shared" ca="1" si="79"/>
        <v>5.9135967629026469</v>
      </c>
      <c r="U240" s="30">
        <f t="shared" ca="1" si="79"/>
        <v>4.8331586796048596</v>
      </c>
      <c r="V240" s="30">
        <f t="shared" ca="1" si="79"/>
        <v>6.0956461613835167</v>
      </c>
      <c r="W240" s="30">
        <f t="shared" ca="1" si="79"/>
        <v>11.446448074219452</v>
      </c>
      <c r="X240" s="30">
        <f t="shared" ca="1" si="79"/>
        <v>3.885390578966899</v>
      </c>
      <c r="Y240" s="30">
        <f t="shared" ca="1" si="79"/>
        <v>6.576952809009593</v>
      </c>
      <c r="Z240" s="30">
        <f t="shared" ca="1" si="79"/>
        <v>4.4486099857841372</v>
      </c>
      <c r="AA240" s="26">
        <v>232</v>
      </c>
      <c r="AB240" s="31">
        <f t="shared" ca="1" si="75"/>
        <v>26</v>
      </c>
      <c r="AC240" s="31">
        <f t="shared" ca="1" si="62"/>
        <v>134</v>
      </c>
      <c r="AD240" s="31">
        <f t="shared" ca="1" si="63"/>
        <v>27</v>
      </c>
      <c r="AE240" s="31">
        <f t="shared" ca="1" si="64"/>
        <v>22</v>
      </c>
      <c r="AF240" s="31">
        <f t="shared" ca="1" si="65"/>
        <v>3</v>
      </c>
      <c r="AG240" s="31">
        <f t="shared" ca="1" si="66"/>
        <v>7</v>
      </c>
      <c r="AH240" s="31">
        <f t="shared" ca="1" si="67"/>
        <v>6</v>
      </c>
      <c r="AI240" s="31">
        <f t="shared" ca="1" si="68"/>
        <v>7</v>
      </c>
      <c r="AJ240" s="31">
        <f t="shared" ca="1" si="69"/>
        <v>14</v>
      </c>
      <c r="AK240" s="31">
        <f t="shared" ca="1" si="70"/>
        <v>5</v>
      </c>
      <c r="AL240" s="31">
        <f t="shared" ca="1" si="71"/>
        <v>8</v>
      </c>
      <c r="AM240" s="31">
        <f t="shared" ca="1" si="72"/>
        <v>5</v>
      </c>
    </row>
    <row r="241" spans="14:39">
      <c r="N241" s="26">
        <v>233</v>
      </c>
      <c r="O241" s="30">
        <f t="shared" ca="1" si="79"/>
        <v>32.234818083984635</v>
      </c>
      <c r="P241" s="30">
        <f t="shared" ca="1" si="79"/>
        <v>30.005738302005021</v>
      </c>
      <c r="Q241" s="30">
        <f t="shared" ca="1" si="79"/>
        <v>6.0295241635730976</v>
      </c>
      <c r="R241" s="30">
        <f t="shared" ca="1" si="79"/>
        <v>19.322884565808955</v>
      </c>
      <c r="S241" s="30">
        <f t="shared" ca="1" si="79"/>
        <v>1.7980799391614413</v>
      </c>
      <c r="T241" s="30">
        <f t="shared" ca="1" si="79"/>
        <v>4.0560049485838396</v>
      </c>
      <c r="U241" s="30">
        <f t="shared" ca="1" si="79"/>
        <v>3.094167054933858</v>
      </c>
      <c r="V241" s="30">
        <f t="shared" ca="1" si="79"/>
        <v>6.5661655305539028</v>
      </c>
      <c r="W241" s="30">
        <f t="shared" ca="1" si="79"/>
        <v>32.403115871656972</v>
      </c>
      <c r="X241" s="30">
        <f t="shared" ca="1" si="79"/>
        <v>20.306447269526828</v>
      </c>
      <c r="Y241" s="30">
        <f t="shared" ca="1" si="79"/>
        <v>2.63644846761748</v>
      </c>
      <c r="Z241" s="30">
        <f t="shared" ca="1" si="79"/>
        <v>9.0271572252672705</v>
      </c>
      <c r="AA241" s="26">
        <v>233</v>
      </c>
      <c r="AB241" s="31">
        <f t="shared" ca="1" si="75"/>
        <v>113</v>
      </c>
      <c r="AC241" s="31">
        <f t="shared" ca="1" si="62"/>
        <v>76</v>
      </c>
      <c r="AD241" s="31">
        <f t="shared" ca="1" si="63"/>
        <v>7</v>
      </c>
      <c r="AE241" s="31">
        <f t="shared" ca="1" si="64"/>
        <v>29</v>
      </c>
      <c r="AF241" s="31">
        <f t="shared" ca="1" si="65"/>
        <v>2</v>
      </c>
      <c r="AG241" s="31">
        <f t="shared" ca="1" si="66"/>
        <v>5</v>
      </c>
      <c r="AH241" s="31">
        <f t="shared" ca="1" si="67"/>
        <v>4</v>
      </c>
      <c r="AI241" s="31">
        <f t="shared" ca="1" si="68"/>
        <v>8</v>
      </c>
      <c r="AJ241" s="31">
        <f t="shared" ca="1" si="69"/>
        <v>118</v>
      </c>
      <c r="AK241" s="31">
        <f t="shared" ca="1" si="70"/>
        <v>31</v>
      </c>
      <c r="AL241" s="31">
        <f t="shared" ca="1" si="71"/>
        <v>3</v>
      </c>
      <c r="AM241" s="31">
        <f t="shared" ca="1" si="72"/>
        <v>11</v>
      </c>
    </row>
    <row r="242" spans="14:39">
      <c r="N242" s="26">
        <v>234</v>
      </c>
      <c r="O242" s="30">
        <f t="shared" ca="1" si="79"/>
        <v>7.7883470835488646</v>
      </c>
      <c r="P242" s="30">
        <f t="shared" ca="1" si="79"/>
        <v>1.3202989298622729</v>
      </c>
      <c r="Q242" s="30">
        <f t="shared" ca="1" si="79"/>
        <v>27.755846730302551</v>
      </c>
      <c r="R242" s="30">
        <f t="shared" ca="1" si="79"/>
        <v>17.185452569042191</v>
      </c>
      <c r="S242" s="30">
        <f t="shared" ca="1" si="79"/>
        <v>14.91918026749828</v>
      </c>
      <c r="T242" s="30">
        <f t="shared" ca="1" si="79"/>
        <v>20.682941270421033</v>
      </c>
      <c r="U242" s="30">
        <f t="shared" ca="1" si="79"/>
        <v>29.071944086736767</v>
      </c>
      <c r="V242" s="30">
        <f t="shared" ca="1" si="79"/>
        <v>1.7017578850546269</v>
      </c>
      <c r="W242" s="30">
        <f t="shared" ca="1" si="79"/>
        <v>28.916996415134591</v>
      </c>
      <c r="X242" s="30">
        <f t="shared" ca="1" si="79"/>
        <v>19.974807688056739</v>
      </c>
      <c r="Y242" s="30">
        <f t="shared" ca="1" si="79"/>
        <v>14.537625579003546</v>
      </c>
      <c r="Z242" s="30">
        <f t="shared" ca="1" si="79"/>
        <v>5.6583113423783633</v>
      </c>
      <c r="AA242" s="26">
        <v>234</v>
      </c>
      <c r="AB242" s="31">
        <f t="shared" ca="1" si="75"/>
        <v>9</v>
      </c>
      <c r="AC242" s="31">
        <f t="shared" ca="1" si="62"/>
        <v>2</v>
      </c>
      <c r="AD242" s="31">
        <f t="shared" ca="1" si="63"/>
        <v>59</v>
      </c>
      <c r="AE242" s="31">
        <f t="shared" ca="1" si="64"/>
        <v>24</v>
      </c>
      <c r="AF242" s="31">
        <f t="shared" ca="1" si="65"/>
        <v>20</v>
      </c>
      <c r="AG242" s="31">
        <f t="shared" ca="1" si="66"/>
        <v>32</v>
      </c>
      <c r="AH242" s="31">
        <f t="shared" ca="1" si="67"/>
        <v>68</v>
      </c>
      <c r="AI242" s="31">
        <f t="shared" ca="1" si="68"/>
        <v>2</v>
      </c>
      <c r="AJ242" s="31">
        <f t="shared" ca="1" si="69"/>
        <v>67</v>
      </c>
      <c r="AK242" s="31">
        <f t="shared" ca="1" si="70"/>
        <v>31</v>
      </c>
      <c r="AL242" s="31">
        <f t="shared" ca="1" si="71"/>
        <v>19</v>
      </c>
      <c r="AM242" s="31">
        <f t="shared" ca="1" si="72"/>
        <v>7</v>
      </c>
    </row>
    <row r="243" spans="14:39">
      <c r="N243" s="26">
        <v>235</v>
      </c>
      <c r="O243" s="30">
        <f t="shared" ca="1" si="79"/>
        <v>15.641856462972534</v>
      </c>
      <c r="P243" s="30">
        <f t="shared" ca="1" si="79"/>
        <v>4.3364060243389622</v>
      </c>
      <c r="Q243" s="30">
        <f t="shared" ca="1" si="79"/>
        <v>26.510564731383706</v>
      </c>
      <c r="R243" s="30">
        <f t="shared" ca="1" si="79"/>
        <v>14.580394880162824</v>
      </c>
      <c r="S243" s="30">
        <f t="shared" ca="1" si="79"/>
        <v>31.052610811766311</v>
      </c>
      <c r="T243" s="30">
        <f t="shared" ca="1" si="79"/>
        <v>19.057980201638394</v>
      </c>
      <c r="U243" s="30">
        <f t="shared" ca="1" si="79"/>
        <v>27.163222498422723</v>
      </c>
      <c r="V243" s="30">
        <f t="shared" ca="1" si="79"/>
        <v>7.5033011327079837</v>
      </c>
      <c r="W243" s="30">
        <f t="shared" ca="1" si="79"/>
        <v>2.2005833108004631</v>
      </c>
      <c r="X243" s="30">
        <f t="shared" ca="1" si="79"/>
        <v>31.881992149294465</v>
      </c>
      <c r="Y243" s="30">
        <f t="shared" ca="1" si="79"/>
        <v>8.3576602725662106</v>
      </c>
      <c r="Z243" s="30">
        <f t="shared" ca="1" si="79"/>
        <v>17.44489327650555</v>
      </c>
      <c r="AA243" s="26">
        <v>235</v>
      </c>
      <c r="AB243" s="31">
        <f t="shared" ca="1" si="75"/>
        <v>21</v>
      </c>
      <c r="AC243" s="31">
        <f t="shared" ca="1" si="62"/>
        <v>5</v>
      </c>
      <c r="AD243" s="31">
        <f t="shared" ca="1" si="63"/>
        <v>53</v>
      </c>
      <c r="AE243" s="31">
        <f t="shared" ca="1" si="64"/>
        <v>19</v>
      </c>
      <c r="AF243" s="31">
        <f t="shared" ca="1" si="65"/>
        <v>89</v>
      </c>
      <c r="AG243" s="31">
        <f t="shared" ca="1" si="66"/>
        <v>28</v>
      </c>
      <c r="AH243" s="31">
        <f t="shared" ca="1" si="67"/>
        <v>56</v>
      </c>
      <c r="AI243" s="31">
        <f t="shared" ca="1" si="68"/>
        <v>9</v>
      </c>
      <c r="AJ243" s="31">
        <f t="shared" ca="1" si="69"/>
        <v>3</v>
      </c>
      <c r="AK243" s="31">
        <f t="shared" ca="1" si="70"/>
        <v>103</v>
      </c>
      <c r="AL243" s="31">
        <f t="shared" ca="1" si="71"/>
        <v>10</v>
      </c>
      <c r="AM243" s="31">
        <f t="shared" ca="1" si="72"/>
        <v>25</v>
      </c>
    </row>
    <row r="244" spans="14:39">
      <c r="N244" s="26">
        <v>236</v>
      </c>
      <c r="O244" s="30">
        <f t="shared" ca="1" si="79"/>
        <v>30.287988415559635</v>
      </c>
      <c r="P244" s="30">
        <f t="shared" ca="1" si="79"/>
        <v>5.8827411692343432</v>
      </c>
      <c r="Q244" s="30">
        <f t="shared" ca="1" si="79"/>
        <v>9.0468067506731114</v>
      </c>
      <c r="R244" s="30">
        <f t="shared" ca="1" si="79"/>
        <v>22.892196248719863</v>
      </c>
      <c r="S244" s="30">
        <f t="shared" ca="1" si="79"/>
        <v>14.587322654685197</v>
      </c>
      <c r="T244" s="30">
        <f t="shared" ca="1" si="79"/>
        <v>8.4823281194817284</v>
      </c>
      <c r="U244" s="30">
        <f t="shared" ca="1" si="79"/>
        <v>1.8259127473003183</v>
      </c>
      <c r="V244" s="30">
        <f t="shared" ca="1" si="79"/>
        <v>16.426353530834731</v>
      </c>
      <c r="W244" s="30">
        <f t="shared" ca="1" si="79"/>
        <v>10.724756145156039</v>
      </c>
      <c r="X244" s="30">
        <f t="shared" ca="1" si="79"/>
        <v>24.510051918431099</v>
      </c>
      <c r="Y244" s="30">
        <f t="shared" ca="1" si="79"/>
        <v>14.94388116562507</v>
      </c>
      <c r="Z244" s="30">
        <f t="shared" ca="1" si="79"/>
        <v>6.7707188361048125</v>
      </c>
      <c r="AA244" s="26">
        <v>236</v>
      </c>
      <c r="AB244" s="31">
        <f t="shared" ca="1" si="75"/>
        <v>79</v>
      </c>
      <c r="AC244" s="31">
        <f t="shared" ca="1" si="62"/>
        <v>7</v>
      </c>
      <c r="AD244" s="31">
        <f t="shared" ca="1" si="63"/>
        <v>11</v>
      </c>
      <c r="AE244" s="31">
        <f t="shared" ca="1" si="64"/>
        <v>39</v>
      </c>
      <c r="AF244" s="31">
        <f t="shared" ca="1" si="65"/>
        <v>19</v>
      </c>
      <c r="AG244" s="31">
        <f t="shared" ca="1" si="66"/>
        <v>10</v>
      </c>
      <c r="AH244" s="31">
        <f t="shared" ca="1" si="67"/>
        <v>2</v>
      </c>
      <c r="AI244" s="31">
        <f t="shared" ca="1" si="68"/>
        <v>23</v>
      </c>
      <c r="AJ244" s="31">
        <f t="shared" ca="1" si="69"/>
        <v>13</v>
      </c>
      <c r="AK244" s="31">
        <f t="shared" ca="1" si="70"/>
        <v>44</v>
      </c>
      <c r="AL244" s="31">
        <f t="shared" ca="1" si="71"/>
        <v>20</v>
      </c>
      <c r="AM244" s="31">
        <f t="shared" ca="1" si="72"/>
        <v>8</v>
      </c>
    </row>
    <row r="245" spans="14:39">
      <c r="N245" s="26">
        <v>237</v>
      </c>
      <c r="O245" s="30">
        <f t="shared" ca="1" si="79"/>
        <v>2.8033870242858194</v>
      </c>
      <c r="P245" s="30">
        <f t="shared" ca="1" si="79"/>
        <v>0.67154111473791489</v>
      </c>
      <c r="Q245" s="30">
        <f t="shared" ca="1" si="79"/>
        <v>3.0188085298344873</v>
      </c>
      <c r="R245" s="30">
        <f t="shared" ca="1" si="79"/>
        <v>18.444586285304982</v>
      </c>
      <c r="S245" s="30">
        <f t="shared" ca="1" si="79"/>
        <v>18.60925109049791</v>
      </c>
      <c r="T245" s="30">
        <f t="shared" ca="1" si="79"/>
        <v>19.80613657849149</v>
      </c>
      <c r="U245" s="30">
        <f t="shared" ca="1" si="79"/>
        <v>6.5454499953967771</v>
      </c>
      <c r="V245" s="30">
        <f t="shared" ca="1" si="79"/>
        <v>19.616389881877303</v>
      </c>
      <c r="W245" s="30">
        <f t="shared" ca="1" si="79"/>
        <v>8.3047707525489862</v>
      </c>
      <c r="X245" s="30">
        <f t="shared" ca="1" si="79"/>
        <v>24.207426589336645</v>
      </c>
      <c r="Y245" s="30">
        <f t="shared" ca="1" si="79"/>
        <v>8.5248517624546238</v>
      </c>
      <c r="Z245" s="30">
        <f t="shared" ca="1" si="79"/>
        <v>9.574014012849263</v>
      </c>
      <c r="AA245" s="26">
        <v>237</v>
      </c>
      <c r="AB245" s="31">
        <f t="shared" ca="1" si="75"/>
        <v>3</v>
      </c>
      <c r="AC245" s="31">
        <f t="shared" ca="1" si="62"/>
        <v>1</v>
      </c>
      <c r="AD245" s="31">
        <f t="shared" ca="1" si="63"/>
        <v>4</v>
      </c>
      <c r="AE245" s="31">
        <f t="shared" ca="1" si="64"/>
        <v>27</v>
      </c>
      <c r="AF245" s="31">
        <f t="shared" ca="1" si="65"/>
        <v>27</v>
      </c>
      <c r="AG245" s="31">
        <f t="shared" ca="1" si="66"/>
        <v>30</v>
      </c>
      <c r="AH245" s="31">
        <f t="shared" ca="1" si="67"/>
        <v>8</v>
      </c>
      <c r="AI245" s="31">
        <f t="shared" ca="1" si="68"/>
        <v>30</v>
      </c>
      <c r="AJ245" s="31">
        <f t="shared" ca="1" si="69"/>
        <v>10</v>
      </c>
      <c r="AK245" s="31">
        <f t="shared" ca="1" si="70"/>
        <v>43</v>
      </c>
      <c r="AL245" s="31">
        <f t="shared" ca="1" si="71"/>
        <v>10</v>
      </c>
      <c r="AM245" s="31">
        <f t="shared" ca="1" si="72"/>
        <v>12</v>
      </c>
    </row>
    <row r="246" spans="14:39">
      <c r="N246" s="26">
        <v>238</v>
      </c>
      <c r="O246" s="30">
        <f t="shared" ca="1" si="79"/>
        <v>2.6207158551907623</v>
      </c>
      <c r="P246" s="30">
        <f t="shared" ca="1" si="79"/>
        <v>18.373780503644927</v>
      </c>
      <c r="Q246" s="30">
        <f t="shared" ca="1" si="79"/>
        <v>14.71928223367202</v>
      </c>
      <c r="R246" s="30">
        <f t="shared" ca="1" si="79"/>
        <v>29.521673889523818</v>
      </c>
      <c r="S246" s="30">
        <f t="shared" ca="1" si="79"/>
        <v>9.8104450426824545</v>
      </c>
      <c r="T246" s="30">
        <f t="shared" ca="1" si="79"/>
        <v>13.247584433855408</v>
      </c>
      <c r="U246" s="30">
        <f t="shared" ca="1" si="79"/>
        <v>13.089917673918201</v>
      </c>
      <c r="V246" s="30">
        <f t="shared" ca="1" si="79"/>
        <v>16.57139350585452</v>
      </c>
      <c r="W246" s="30">
        <f t="shared" ca="1" si="79"/>
        <v>12.470611851782627</v>
      </c>
      <c r="X246" s="30">
        <f t="shared" ca="1" si="79"/>
        <v>12.474708395442114</v>
      </c>
      <c r="Y246" s="30">
        <f t="shared" ca="1" si="79"/>
        <v>3.0007682815836949</v>
      </c>
      <c r="Z246" s="30">
        <f t="shared" ca="1" si="79"/>
        <v>6.5999444251960755</v>
      </c>
      <c r="AA246" s="26">
        <v>238</v>
      </c>
      <c r="AB246" s="31">
        <f t="shared" ca="1" si="75"/>
        <v>3</v>
      </c>
      <c r="AC246" s="31">
        <f t="shared" ca="1" si="62"/>
        <v>27</v>
      </c>
      <c r="AD246" s="31">
        <f t="shared" ca="1" si="63"/>
        <v>20</v>
      </c>
      <c r="AE246" s="31">
        <f t="shared" ca="1" si="64"/>
        <v>72</v>
      </c>
      <c r="AF246" s="31">
        <f t="shared" ca="1" si="65"/>
        <v>12</v>
      </c>
      <c r="AG246" s="31">
        <f t="shared" ca="1" si="66"/>
        <v>17</v>
      </c>
      <c r="AH246" s="31">
        <f t="shared" ca="1" si="67"/>
        <v>17</v>
      </c>
      <c r="AI246" s="31">
        <f t="shared" ca="1" si="68"/>
        <v>23</v>
      </c>
      <c r="AJ246" s="31">
        <f t="shared" ca="1" si="69"/>
        <v>16</v>
      </c>
      <c r="AK246" s="31">
        <f t="shared" ca="1" si="70"/>
        <v>16</v>
      </c>
      <c r="AL246" s="31">
        <f t="shared" ca="1" si="71"/>
        <v>4</v>
      </c>
      <c r="AM246" s="31">
        <f t="shared" ca="1" si="72"/>
        <v>8</v>
      </c>
    </row>
    <row r="247" spans="14:39">
      <c r="N247" s="26">
        <v>239</v>
      </c>
      <c r="O247" s="30">
        <f t="shared" ca="1" si="79"/>
        <v>22.12090889164557</v>
      </c>
      <c r="P247" s="30">
        <f t="shared" ca="1" si="79"/>
        <v>16.826239118987196</v>
      </c>
      <c r="Q247" s="30">
        <f t="shared" ca="1" si="79"/>
        <v>11.120459733171893</v>
      </c>
      <c r="R247" s="30">
        <f t="shared" ca="1" si="79"/>
        <v>28.509519441153198</v>
      </c>
      <c r="S247" s="30">
        <f t="shared" ca="1" si="79"/>
        <v>5.5736572437390191</v>
      </c>
      <c r="T247" s="30">
        <f t="shared" ca="1" si="79"/>
        <v>9.758816082136855</v>
      </c>
      <c r="U247" s="30">
        <f t="shared" ca="1" si="79"/>
        <v>0.319160509563717</v>
      </c>
      <c r="V247" s="30">
        <f t="shared" ca="1" si="79"/>
        <v>22.309313936645623</v>
      </c>
      <c r="W247" s="30">
        <f t="shared" ca="1" si="79"/>
        <v>31.134519240791686</v>
      </c>
      <c r="X247" s="30">
        <f t="shared" ca="1" si="79"/>
        <v>7.9468590419088061</v>
      </c>
      <c r="Y247" s="30">
        <f t="shared" ca="1" si="79"/>
        <v>23.059641558429078</v>
      </c>
      <c r="Z247" s="30">
        <f t="shared" ca="1" si="79"/>
        <v>2.7094707652071639</v>
      </c>
      <c r="AA247" s="26">
        <v>239</v>
      </c>
      <c r="AB247" s="31">
        <f t="shared" ca="1" si="75"/>
        <v>36</v>
      </c>
      <c r="AC247" s="31">
        <f t="shared" ca="1" si="62"/>
        <v>24</v>
      </c>
      <c r="AD247" s="31">
        <f t="shared" ca="1" si="63"/>
        <v>14</v>
      </c>
      <c r="AE247" s="31">
        <f t="shared" ca="1" si="64"/>
        <v>64</v>
      </c>
      <c r="AF247" s="31">
        <f t="shared" ca="1" si="65"/>
        <v>7</v>
      </c>
      <c r="AG247" s="31">
        <f t="shared" ca="1" si="66"/>
        <v>12</v>
      </c>
      <c r="AH247" s="31">
        <f t="shared" ca="1" si="67"/>
        <v>1</v>
      </c>
      <c r="AI247" s="31">
        <f t="shared" ca="1" si="68"/>
        <v>37</v>
      </c>
      <c r="AJ247" s="31">
        <f t="shared" ca="1" si="69"/>
        <v>90</v>
      </c>
      <c r="AK247" s="31">
        <f t="shared" ca="1" si="70"/>
        <v>9</v>
      </c>
      <c r="AL247" s="31">
        <f t="shared" ca="1" si="71"/>
        <v>39</v>
      </c>
      <c r="AM247" s="31">
        <f t="shared" ca="1" si="72"/>
        <v>3</v>
      </c>
    </row>
    <row r="248" spans="14:39">
      <c r="N248" s="26">
        <v>240</v>
      </c>
      <c r="O248" s="30">
        <f t="shared" ca="1" si="79"/>
        <v>24.560011704953432</v>
      </c>
      <c r="P248" s="30">
        <f t="shared" ca="1" si="79"/>
        <v>8.5566742385192409</v>
      </c>
      <c r="Q248" s="30">
        <f t="shared" ca="1" si="79"/>
        <v>1.7609000846197027</v>
      </c>
      <c r="R248" s="30">
        <f t="shared" ca="1" si="79"/>
        <v>19.053118951163928</v>
      </c>
      <c r="S248" s="30">
        <f t="shared" ca="1" si="79"/>
        <v>21.757593727066247</v>
      </c>
      <c r="T248" s="30">
        <f t="shared" ca="1" si="79"/>
        <v>10.628388420163619</v>
      </c>
      <c r="U248" s="30">
        <f t="shared" ca="1" si="79"/>
        <v>31.400454365265226</v>
      </c>
      <c r="V248" s="30">
        <f t="shared" ca="1" si="79"/>
        <v>22.697755841620111</v>
      </c>
      <c r="W248" s="30">
        <f t="shared" ca="1" si="79"/>
        <v>7.6490366361721325</v>
      </c>
      <c r="X248" s="30">
        <f t="shared" ca="1" si="79"/>
        <v>33.000207344006967</v>
      </c>
      <c r="Y248" s="30">
        <f t="shared" ca="1" si="79"/>
        <v>5.877060266035512</v>
      </c>
      <c r="Z248" s="30">
        <f t="shared" ca="1" si="79"/>
        <v>28.236085681466179</v>
      </c>
      <c r="AA248" s="26">
        <v>240</v>
      </c>
      <c r="AB248" s="31">
        <f t="shared" ca="1" si="75"/>
        <v>44</v>
      </c>
      <c r="AC248" s="31">
        <f t="shared" ca="1" si="62"/>
        <v>10</v>
      </c>
      <c r="AD248" s="31">
        <f t="shared" ca="1" si="63"/>
        <v>2</v>
      </c>
      <c r="AE248" s="31">
        <f t="shared" ca="1" si="64"/>
        <v>28</v>
      </c>
      <c r="AF248" s="31">
        <f t="shared" ca="1" si="65"/>
        <v>35</v>
      </c>
      <c r="AG248" s="31">
        <f t="shared" ca="1" si="66"/>
        <v>13</v>
      </c>
      <c r="AH248" s="31">
        <f t="shared" ca="1" si="67"/>
        <v>94</v>
      </c>
      <c r="AI248" s="31">
        <f t="shared" ca="1" si="68"/>
        <v>38</v>
      </c>
      <c r="AJ248" s="31">
        <f t="shared" ca="1" si="69"/>
        <v>9</v>
      </c>
      <c r="AK248" s="31">
        <f t="shared" ca="1" si="70"/>
        <v>152</v>
      </c>
      <c r="AL248" s="31">
        <f t="shared" ca="1" si="71"/>
        <v>7</v>
      </c>
      <c r="AM248" s="31">
        <f t="shared" ca="1" si="72"/>
        <v>62</v>
      </c>
    </row>
    <row r="249" spans="14:39">
      <c r="N249" s="26">
        <v>241</v>
      </c>
      <c r="O249" s="30">
        <f t="shared" ref="O249:Z258" ca="1" si="80">RAND()*sumweights</f>
        <v>32.343017194079671</v>
      </c>
      <c r="P249" s="30">
        <f t="shared" ca="1" si="80"/>
        <v>17.351550537478978</v>
      </c>
      <c r="Q249" s="30">
        <f t="shared" ca="1" si="80"/>
        <v>18.749529195246886</v>
      </c>
      <c r="R249" s="30">
        <f t="shared" ca="1" si="80"/>
        <v>20.401783094946396</v>
      </c>
      <c r="S249" s="30">
        <f t="shared" ca="1" si="80"/>
        <v>10.388870483414324</v>
      </c>
      <c r="T249" s="30">
        <f t="shared" ca="1" si="80"/>
        <v>16.889575795403367</v>
      </c>
      <c r="U249" s="30">
        <f t="shared" ca="1" si="80"/>
        <v>7.667527553816802</v>
      </c>
      <c r="V249" s="30">
        <f t="shared" ca="1" si="80"/>
        <v>13.167803262591967</v>
      </c>
      <c r="W249" s="30">
        <f t="shared" ca="1" si="80"/>
        <v>4.3344453509211167</v>
      </c>
      <c r="X249" s="30">
        <f t="shared" ca="1" si="80"/>
        <v>28.228461704211085</v>
      </c>
      <c r="Y249" s="30">
        <f t="shared" ca="1" si="80"/>
        <v>14.89308741882933</v>
      </c>
      <c r="Z249" s="30">
        <f t="shared" ca="1" si="80"/>
        <v>4.4189170889641574</v>
      </c>
      <c r="AA249" s="26">
        <v>241</v>
      </c>
      <c r="AB249" s="31">
        <f t="shared" ca="1" si="75"/>
        <v>116</v>
      </c>
      <c r="AC249" s="31">
        <f t="shared" ca="1" si="62"/>
        <v>25</v>
      </c>
      <c r="AD249" s="31">
        <f t="shared" ca="1" si="63"/>
        <v>28</v>
      </c>
      <c r="AE249" s="31">
        <f t="shared" ca="1" si="64"/>
        <v>32</v>
      </c>
      <c r="AF249" s="31">
        <f t="shared" ca="1" si="65"/>
        <v>13</v>
      </c>
      <c r="AG249" s="31">
        <f t="shared" ca="1" si="66"/>
        <v>24</v>
      </c>
      <c r="AH249" s="31">
        <f t="shared" ca="1" si="67"/>
        <v>9</v>
      </c>
      <c r="AI249" s="31">
        <f t="shared" ca="1" si="68"/>
        <v>17</v>
      </c>
      <c r="AJ249" s="31">
        <f t="shared" ca="1" si="69"/>
        <v>5</v>
      </c>
      <c r="AK249" s="31">
        <f t="shared" ca="1" si="70"/>
        <v>62</v>
      </c>
      <c r="AL249" s="31">
        <f t="shared" ca="1" si="71"/>
        <v>20</v>
      </c>
      <c r="AM249" s="31">
        <f t="shared" ca="1" si="72"/>
        <v>5</v>
      </c>
    </row>
    <row r="250" spans="14:39">
      <c r="N250" s="26">
        <v>242</v>
      </c>
      <c r="O250" s="30">
        <f t="shared" ca="1" si="80"/>
        <v>5.377928298430394</v>
      </c>
      <c r="P250" s="30">
        <f t="shared" ca="1" si="80"/>
        <v>3.3326347648495651</v>
      </c>
      <c r="Q250" s="30">
        <f t="shared" ca="1" si="80"/>
        <v>5.629315636751631</v>
      </c>
      <c r="R250" s="30">
        <f t="shared" ca="1" si="80"/>
        <v>16.191499328709348</v>
      </c>
      <c r="S250" s="30">
        <f t="shared" ca="1" si="80"/>
        <v>15.070310677644155</v>
      </c>
      <c r="T250" s="30">
        <f t="shared" ca="1" si="80"/>
        <v>26.805639562381284</v>
      </c>
      <c r="U250" s="30">
        <f t="shared" ca="1" si="80"/>
        <v>12.465240370510845</v>
      </c>
      <c r="V250" s="30">
        <f t="shared" ca="1" si="80"/>
        <v>26.940481527985892</v>
      </c>
      <c r="W250" s="30">
        <f t="shared" ca="1" si="80"/>
        <v>16.909130084583925</v>
      </c>
      <c r="X250" s="30">
        <f t="shared" ca="1" si="80"/>
        <v>9.49090047920979</v>
      </c>
      <c r="Y250" s="30">
        <f t="shared" ca="1" si="80"/>
        <v>7.9942843421960745</v>
      </c>
      <c r="Z250" s="30">
        <f t="shared" ca="1" si="80"/>
        <v>23.761359726528973</v>
      </c>
      <c r="AA250" s="26">
        <v>242</v>
      </c>
      <c r="AB250" s="31">
        <f t="shared" ca="1" si="75"/>
        <v>6</v>
      </c>
      <c r="AC250" s="31">
        <f t="shared" ca="1" si="62"/>
        <v>4</v>
      </c>
      <c r="AD250" s="31">
        <f t="shared" ca="1" si="63"/>
        <v>7</v>
      </c>
      <c r="AE250" s="31">
        <f t="shared" ca="1" si="64"/>
        <v>22</v>
      </c>
      <c r="AF250" s="31">
        <f t="shared" ca="1" si="65"/>
        <v>20</v>
      </c>
      <c r="AG250" s="31">
        <f t="shared" ca="1" si="66"/>
        <v>54</v>
      </c>
      <c r="AH250" s="31">
        <f t="shared" ca="1" si="67"/>
        <v>16</v>
      </c>
      <c r="AI250" s="31">
        <f t="shared" ca="1" si="68"/>
        <v>55</v>
      </c>
      <c r="AJ250" s="31">
        <f t="shared" ca="1" si="69"/>
        <v>24</v>
      </c>
      <c r="AK250" s="31">
        <f t="shared" ca="1" si="70"/>
        <v>12</v>
      </c>
      <c r="AL250" s="31">
        <f t="shared" ca="1" si="71"/>
        <v>10</v>
      </c>
      <c r="AM250" s="31">
        <f t="shared" ca="1" si="72"/>
        <v>41</v>
      </c>
    </row>
    <row r="251" spans="14:39">
      <c r="N251" s="26">
        <v>243</v>
      </c>
      <c r="O251" s="30">
        <f t="shared" ca="1" si="80"/>
        <v>6.292622180305357</v>
      </c>
      <c r="P251" s="30">
        <f t="shared" ca="1" si="80"/>
        <v>16.180963317754099</v>
      </c>
      <c r="Q251" s="30">
        <f t="shared" ca="1" si="80"/>
        <v>32.332596947071984</v>
      </c>
      <c r="R251" s="30">
        <f t="shared" ca="1" si="80"/>
        <v>32.634755164285096</v>
      </c>
      <c r="S251" s="30">
        <f t="shared" ca="1" si="80"/>
        <v>8.5233853495490361</v>
      </c>
      <c r="T251" s="30">
        <f t="shared" ca="1" si="80"/>
        <v>0.44571960267039379</v>
      </c>
      <c r="U251" s="30">
        <f t="shared" ca="1" si="80"/>
        <v>2.7768766425105849</v>
      </c>
      <c r="V251" s="30">
        <f t="shared" ca="1" si="80"/>
        <v>5.4228127423948642</v>
      </c>
      <c r="W251" s="30">
        <f t="shared" ca="1" si="80"/>
        <v>14.672761120602738</v>
      </c>
      <c r="X251" s="30">
        <f t="shared" ca="1" si="80"/>
        <v>11.704993924384276</v>
      </c>
      <c r="Y251" s="30">
        <f t="shared" ca="1" si="80"/>
        <v>8.7482972849438152</v>
      </c>
      <c r="Z251" s="30">
        <f t="shared" ca="1" si="80"/>
        <v>28.594266791872617</v>
      </c>
      <c r="AA251" s="26">
        <v>243</v>
      </c>
      <c r="AB251" s="31">
        <f t="shared" ca="1" si="75"/>
        <v>7</v>
      </c>
      <c r="AC251" s="31">
        <f t="shared" ca="1" si="62"/>
        <v>22</v>
      </c>
      <c r="AD251" s="31">
        <f t="shared" ca="1" si="63"/>
        <v>116</v>
      </c>
      <c r="AE251" s="31">
        <f t="shared" ca="1" si="64"/>
        <v>127</v>
      </c>
      <c r="AF251" s="31">
        <f t="shared" ca="1" si="65"/>
        <v>10</v>
      </c>
      <c r="AG251" s="31">
        <f t="shared" ca="1" si="66"/>
        <v>1</v>
      </c>
      <c r="AH251" s="31">
        <f t="shared" ca="1" si="67"/>
        <v>3</v>
      </c>
      <c r="AI251" s="31">
        <f t="shared" ca="1" si="68"/>
        <v>6</v>
      </c>
      <c r="AJ251" s="31">
        <f t="shared" ca="1" si="69"/>
        <v>20</v>
      </c>
      <c r="AK251" s="31">
        <f t="shared" ca="1" si="70"/>
        <v>15</v>
      </c>
      <c r="AL251" s="31">
        <f t="shared" ca="1" si="71"/>
        <v>10</v>
      </c>
      <c r="AM251" s="31">
        <f t="shared" ca="1" si="72"/>
        <v>65</v>
      </c>
    </row>
    <row r="252" spans="14:39">
      <c r="N252" s="26">
        <v>244</v>
      </c>
      <c r="O252" s="30">
        <f t="shared" ca="1" si="80"/>
        <v>9.8079514972629003</v>
      </c>
      <c r="P252" s="30">
        <f t="shared" ca="1" si="80"/>
        <v>25.115751746888122</v>
      </c>
      <c r="Q252" s="30">
        <f t="shared" ca="1" si="80"/>
        <v>25.577829702455226</v>
      </c>
      <c r="R252" s="30">
        <f t="shared" ca="1" si="80"/>
        <v>7.4686365128127443</v>
      </c>
      <c r="S252" s="30">
        <f t="shared" ca="1" si="80"/>
        <v>30.340841587074703</v>
      </c>
      <c r="T252" s="30">
        <f t="shared" ca="1" si="80"/>
        <v>18.633207253626715</v>
      </c>
      <c r="U252" s="30">
        <f t="shared" ca="1" si="80"/>
        <v>4.5996215828537101</v>
      </c>
      <c r="V252" s="30">
        <f t="shared" ca="1" si="80"/>
        <v>3.0239491015942641</v>
      </c>
      <c r="W252" s="30">
        <f t="shared" ca="1" si="80"/>
        <v>19.654049083058116</v>
      </c>
      <c r="X252" s="30">
        <f t="shared" ca="1" si="80"/>
        <v>29.868426556835114</v>
      </c>
      <c r="Y252" s="30">
        <f t="shared" ca="1" si="80"/>
        <v>26.236502832939589</v>
      </c>
      <c r="Z252" s="30">
        <f t="shared" ca="1" si="80"/>
        <v>3.4653455398392388</v>
      </c>
      <c r="AA252" s="26">
        <v>244</v>
      </c>
      <c r="AB252" s="31">
        <f t="shared" ca="1" si="75"/>
        <v>12</v>
      </c>
      <c r="AC252" s="31">
        <f t="shared" ca="1" si="62"/>
        <v>46</v>
      </c>
      <c r="AD252" s="31">
        <f t="shared" ca="1" si="63"/>
        <v>48</v>
      </c>
      <c r="AE252" s="31">
        <f t="shared" ca="1" si="64"/>
        <v>9</v>
      </c>
      <c r="AF252" s="31">
        <f t="shared" ca="1" si="65"/>
        <v>80</v>
      </c>
      <c r="AG252" s="31">
        <f t="shared" ca="1" si="66"/>
        <v>27</v>
      </c>
      <c r="AH252" s="31">
        <f t="shared" ca="1" si="67"/>
        <v>5</v>
      </c>
      <c r="AI252" s="31">
        <f t="shared" ca="1" si="68"/>
        <v>4</v>
      </c>
      <c r="AJ252" s="31">
        <f t="shared" ca="1" si="69"/>
        <v>30</v>
      </c>
      <c r="AK252" s="31">
        <f t="shared" ca="1" si="70"/>
        <v>75</v>
      </c>
      <c r="AL252" s="31">
        <f t="shared" ca="1" si="71"/>
        <v>51</v>
      </c>
      <c r="AM252" s="31">
        <f t="shared" ca="1" si="72"/>
        <v>4</v>
      </c>
    </row>
    <row r="253" spans="14:39">
      <c r="N253" s="26">
        <v>245</v>
      </c>
      <c r="O253" s="30">
        <f t="shared" ca="1" si="80"/>
        <v>32.087173831987521</v>
      </c>
      <c r="P253" s="30">
        <f t="shared" ca="1" si="80"/>
        <v>20.798659259098134</v>
      </c>
      <c r="Q253" s="30">
        <f t="shared" ca="1" si="80"/>
        <v>6.5342521804504239</v>
      </c>
      <c r="R253" s="30">
        <f t="shared" ca="1" si="80"/>
        <v>30.378837164631506</v>
      </c>
      <c r="S253" s="30">
        <f t="shared" ca="1" si="80"/>
        <v>21.819675889889755</v>
      </c>
      <c r="T253" s="30">
        <f t="shared" ca="1" si="80"/>
        <v>17.076927901246865</v>
      </c>
      <c r="U253" s="30">
        <f t="shared" ca="1" si="80"/>
        <v>29.023352001733514</v>
      </c>
      <c r="V253" s="30">
        <f t="shared" ca="1" si="80"/>
        <v>3.0772084074123982</v>
      </c>
      <c r="W253" s="30">
        <f t="shared" ca="1" si="80"/>
        <v>5.8213279048786823</v>
      </c>
      <c r="X253" s="30">
        <f t="shared" ca="1" si="80"/>
        <v>24.908701885805858</v>
      </c>
      <c r="Y253" s="30">
        <f t="shared" ca="1" si="80"/>
        <v>18.33066889893955</v>
      </c>
      <c r="Z253" s="30">
        <f t="shared" ca="1" si="80"/>
        <v>28.454333585020965</v>
      </c>
      <c r="AA253" s="26">
        <v>245</v>
      </c>
      <c r="AB253" s="31">
        <f t="shared" ca="1" si="75"/>
        <v>108</v>
      </c>
      <c r="AC253" s="31">
        <f t="shared" ca="1" si="62"/>
        <v>33</v>
      </c>
      <c r="AD253" s="31">
        <f t="shared" ca="1" si="63"/>
        <v>8</v>
      </c>
      <c r="AE253" s="31">
        <f t="shared" ca="1" si="64"/>
        <v>80</v>
      </c>
      <c r="AF253" s="31">
        <f t="shared" ca="1" si="65"/>
        <v>35</v>
      </c>
      <c r="AG253" s="31">
        <f t="shared" ca="1" si="66"/>
        <v>24</v>
      </c>
      <c r="AH253" s="31">
        <f t="shared" ca="1" si="67"/>
        <v>68</v>
      </c>
      <c r="AI253" s="31">
        <f t="shared" ca="1" si="68"/>
        <v>4</v>
      </c>
      <c r="AJ253" s="31">
        <f t="shared" ca="1" si="69"/>
        <v>7</v>
      </c>
      <c r="AK253" s="31">
        <f t="shared" ca="1" si="70"/>
        <v>46</v>
      </c>
      <c r="AL253" s="31">
        <f t="shared" ca="1" si="71"/>
        <v>27</v>
      </c>
      <c r="AM253" s="31">
        <f t="shared" ca="1" si="72"/>
        <v>64</v>
      </c>
    </row>
    <row r="254" spans="14:39">
      <c r="N254" s="26">
        <v>246</v>
      </c>
      <c r="O254" s="30">
        <f t="shared" ca="1" si="80"/>
        <v>29.837633568769782</v>
      </c>
      <c r="P254" s="30">
        <f t="shared" ca="1" si="80"/>
        <v>11.814640635634847</v>
      </c>
      <c r="Q254" s="30">
        <f t="shared" ca="1" si="80"/>
        <v>6.2959879452310288</v>
      </c>
      <c r="R254" s="30">
        <f t="shared" ca="1" si="80"/>
        <v>20.634555042192975</v>
      </c>
      <c r="S254" s="30">
        <f t="shared" ca="1" si="80"/>
        <v>21.954347193440505</v>
      </c>
      <c r="T254" s="30">
        <f t="shared" ca="1" si="80"/>
        <v>13.407924576825204</v>
      </c>
      <c r="U254" s="30">
        <f t="shared" ca="1" si="80"/>
        <v>0.24223730024448453</v>
      </c>
      <c r="V254" s="30">
        <f t="shared" ca="1" si="80"/>
        <v>24.80174556117937</v>
      </c>
      <c r="W254" s="30">
        <f t="shared" ca="1" si="80"/>
        <v>29.734334548878401</v>
      </c>
      <c r="X254" s="30">
        <f t="shared" ca="1" si="80"/>
        <v>6.3332705614526397</v>
      </c>
      <c r="Y254" s="30">
        <f t="shared" ca="1" si="80"/>
        <v>31.271192852272215</v>
      </c>
      <c r="Z254" s="30">
        <f t="shared" ca="1" si="80"/>
        <v>9.775527786684437</v>
      </c>
      <c r="AA254" s="26">
        <v>246</v>
      </c>
      <c r="AB254" s="31">
        <f t="shared" ca="1" si="75"/>
        <v>75</v>
      </c>
      <c r="AC254" s="31">
        <f t="shared" ca="1" si="62"/>
        <v>15</v>
      </c>
      <c r="AD254" s="31">
        <f t="shared" ca="1" si="63"/>
        <v>7</v>
      </c>
      <c r="AE254" s="31">
        <f t="shared" ca="1" si="64"/>
        <v>32</v>
      </c>
      <c r="AF254" s="31">
        <f t="shared" ca="1" si="65"/>
        <v>36</v>
      </c>
      <c r="AG254" s="31">
        <f t="shared" ca="1" si="66"/>
        <v>17</v>
      </c>
      <c r="AH254" s="31">
        <f t="shared" ca="1" si="67"/>
        <v>1</v>
      </c>
      <c r="AI254" s="31">
        <f t="shared" ca="1" si="68"/>
        <v>45</v>
      </c>
      <c r="AJ254" s="31">
        <f t="shared" ca="1" si="69"/>
        <v>74</v>
      </c>
      <c r="AK254" s="31">
        <f t="shared" ca="1" si="70"/>
        <v>7</v>
      </c>
      <c r="AL254" s="31">
        <f t="shared" ca="1" si="71"/>
        <v>92</v>
      </c>
      <c r="AM254" s="31">
        <f t="shared" ca="1" si="72"/>
        <v>12</v>
      </c>
    </row>
    <row r="255" spans="14:39">
      <c r="N255" s="26">
        <v>247</v>
      </c>
      <c r="O255" s="30">
        <f t="shared" ca="1" si="80"/>
        <v>31.386250907500369</v>
      </c>
      <c r="P255" s="30">
        <f t="shared" ca="1" si="80"/>
        <v>1.1062079638027378</v>
      </c>
      <c r="Q255" s="30">
        <f t="shared" ca="1" si="80"/>
        <v>5.8470309802563216</v>
      </c>
      <c r="R255" s="30">
        <f t="shared" ca="1" si="80"/>
        <v>31.94049644842945</v>
      </c>
      <c r="S255" s="30">
        <f t="shared" ca="1" si="80"/>
        <v>22.362148946131736</v>
      </c>
      <c r="T255" s="30">
        <f t="shared" ca="1" si="80"/>
        <v>6.6331955420389761</v>
      </c>
      <c r="U255" s="30">
        <f t="shared" ca="1" si="80"/>
        <v>28.75119178656157</v>
      </c>
      <c r="V255" s="30">
        <f t="shared" ca="1" si="80"/>
        <v>11.611965810220175</v>
      </c>
      <c r="W255" s="30">
        <f t="shared" ca="1" si="80"/>
        <v>14.14946255212269</v>
      </c>
      <c r="X255" s="30">
        <f t="shared" ca="1" si="80"/>
        <v>0.54646350809845246</v>
      </c>
      <c r="Y255" s="30">
        <f t="shared" ca="1" si="80"/>
        <v>20.325050373120643</v>
      </c>
      <c r="Z255" s="30">
        <f t="shared" ca="1" si="80"/>
        <v>8.7914363408387501</v>
      </c>
      <c r="AA255" s="26">
        <v>247</v>
      </c>
      <c r="AB255" s="31">
        <f t="shared" ca="1" si="75"/>
        <v>94</v>
      </c>
      <c r="AC255" s="31">
        <f t="shared" ca="1" si="62"/>
        <v>2</v>
      </c>
      <c r="AD255" s="31">
        <f t="shared" ca="1" si="63"/>
        <v>7</v>
      </c>
      <c r="AE255" s="31">
        <f t="shared" ca="1" si="64"/>
        <v>105</v>
      </c>
      <c r="AF255" s="31">
        <f t="shared" ca="1" si="65"/>
        <v>37</v>
      </c>
      <c r="AG255" s="31">
        <f t="shared" ca="1" si="66"/>
        <v>8</v>
      </c>
      <c r="AH255" s="31">
        <f t="shared" ca="1" si="67"/>
        <v>66</v>
      </c>
      <c r="AI255" s="31">
        <f t="shared" ca="1" si="68"/>
        <v>15</v>
      </c>
      <c r="AJ255" s="31">
        <f t="shared" ca="1" si="69"/>
        <v>19</v>
      </c>
      <c r="AK255" s="31">
        <f t="shared" ca="1" si="70"/>
        <v>1</v>
      </c>
      <c r="AL255" s="31">
        <f t="shared" ca="1" si="71"/>
        <v>31</v>
      </c>
      <c r="AM255" s="31">
        <f t="shared" ca="1" si="72"/>
        <v>11</v>
      </c>
    </row>
    <row r="256" spans="14:39">
      <c r="N256" s="26">
        <v>248</v>
      </c>
      <c r="O256" s="30">
        <f t="shared" ca="1" si="80"/>
        <v>22.121596145560776</v>
      </c>
      <c r="P256" s="30">
        <f t="shared" ca="1" si="80"/>
        <v>31.455714184285696</v>
      </c>
      <c r="Q256" s="30">
        <f t="shared" ca="1" si="80"/>
        <v>9.143762068597983</v>
      </c>
      <c r="R256" s="30">
        <f t="shared" ca="1" si="80"/>
        <v>25.804002656348423</v>
      </c>
      <c r="S256" s="30">
        <f t="shared" ca="1" si="80"/>
        <v>19.004573833411303</v>
      </c>
      <c r="T256" s="30">
        <f t="shared" ca="1" si="80"/>
        <v>23.733608645737192</v>
      </c>
      <c r="U256" s="30">
        <f t="shared" ca="1" si="80"/>
        <v>4.6117889848669371</v>
      </c>
      <c r="V256" s="30">
        <f t="shared" ca="1" si="80"/>
        <v>8.965112119978901</v>
      </c>
      <c r="W256" s="30">
        <f t="shared" ca="1" si="80"/>
        <v>20.946855641406142</v>
      </c>
      <c r="X256" s="30">
        <f t="shared" ca="1" si="80"/>
        <v>1.9716880687049736</v>
      </c>
      <c r="Y256" s="30">
        <f t="shared" ca="1" si="80"/>
        <v>29.515322458552209</v>
      </c>
      <c r="Z256" s="30">
        <f t="shared" ca="1" si="80"/>
        <v>29.474937170977949</v>
      </c>
      <c r="AA256" s="26">
        <v>248</v>
      </c>
      <c r="AB256" s="31">
        <f t="shared" ca="1" si="75"/>
        <v>36</v>
      </c>
      <c r="AC256" s="31">
        <f t="shared" ca="1" si="62"/>
        <v>95</v>
      </c>
      <c r="AD256" s="31">
        <f t="shared" ca="1" si="63"/>
        <v>11</v>
      </c>
      <c r="AE256" s="31">
        <f t="shared" ca="1" si="64"/>
        <v>49</v>
      </c>
      <c r="AF256" s="31">
        <f t="shared" ca="1" si="65"/>
        <v>28</v>
      </c>
      <c r="AG256" s="31">
        <f t="shared" ca="1" si="66"/>
        <v>41</v>
      </c>
      <c r="AH256" s="31">
        <f t="shared" ca="1" si="67"/>
        <v>5</v>
      </c>
      <c r="AI256" s="31">
        <f t="shared" ca="1" si="68"/>
        <v>11</v>
      </c>
      <c r="AJ256" s="31">
        <f t="shared" ca="1" si="69"/>
        <v>33</v>
      </c>
      <c r="AK256" s="31">
        <f t="shared" ca="1" si="70"/>
        <v>3</v>
      </c>
      <c r="AL256" s="31">
        <f t="shared" ca="1" si="71"/>
        <v>72</v>
      </c>
      <c r="AM256" s="31">
        <f t="shared" ca="1" si="72"/>
        <v>71</v>
      </c>
    </row>
    <row r="257" spans="14:39">
      <c r="N257" s="26">
        <v>249</v>
      </c>
      <c r="O257" s="30">
        <f t="shared" ca="1" si="80"/>
        <v>22.803335078731664</v>
      </c>
      <c r="P257" s="30">
        <f t="shared" ca="1" si="80"/>
        <v>31.387088517782644</v>
      </c>
      <c r="Q257" s="30">
        <f t="shared" ca="1" si="80"/>
        <v>2.5380762117647233</v>
      </c>
      <c r="R257" s="30">
        <f t="shared" ca="1" si="80"/>
        <v>30.81288763635855</v>
      </c>
      <c r="S257" s="30">
        <f t="shared" ca="1" si="80"/>
        <v>30.485872017747777</v>
      </c>
      <c r="T257" s="30">
        <f t="shared" ca="1" si="80"/>
        <v>12.748932717232348</v>
      </c>
      <c r="U257" s="30">
        <f t="shared" ca="1" si="80"/>
        <v>2.0301070469188969</v>
      </c>
      <c r="V257" s="30">
        <f t="shared" ca="1" si="80"/>
        <v>33.044195489431694</v>
      </c>
      <c r="W257" s="30">
        <f t="shared" ca="1" si="80"/>
        <v>4.0548996225634184</v>
      </c>
      <c r="X257" s="30">
        <f t="shared" ca="1" si="80"/>
        <v>10.630716277245575</v>
      </c>
      <c r="Y257" s="30">
        <f t="shared" ca="1" si="80"/>
        <v>22.259182617503747</v>
      </c>
      <c r="Z257" s="30">
        <f t="shared" ca="1" si="80"/>
        <v>2.7571019251244384</v>
      </c>
      <c r="AA257" s="26">
        <v>249</v>
      </c>
      <c r="AB257" s="31">
        <f t="shared" ca="1" si="75"/>
        <v>38</v>
      </c>
      <c r="AC257" s="31">
        <f t="shared" ca="1" si="62"/>
        <v>94</v>
      </c>
      <c r="AD257" s="31">
        <f t="shared" ca="1" si="63"/>
        <v>3</v>
      </c>
      <c r="AE257" s="31">
        <f t="shared" ca="1" si="64"/>
        <v>85</v>
      </c>
      <c r="AF257" s="31">
        <f t="shared" ca="1" si="65"/>
        <v>81</v>
      </c>
      <c r="AG257" s="31">
        <f t="shared" ca="1" si="66"/>
        <v>16</v>
      </c>
      <c r="AH257" s="31">
        <f t="shared" ca="1" si="67"/>
        <v>3</v>
      </c>
      <c r="AI257" s="31">
        <f t="shared" ca="1" si="68"/>
        <v>156</v>
      </c>
      <c r="AJ257" s="31">
        <f t="shared" ca="1" si="69"/>
        <v>5</v>
      </c>
      <c r="AK257" s="31">
        <f t="shared" ca="1" si="70"/>
        <v>13</v>
      </c>
      <c r="AL257" s="31">
        <f t="shared" ca="1" si="71"/>
        <v>37</v>
      </c>
      <c r="AM257" s="31">
        <f t="shared" ca="1" si="72"/>
        <v>3</v>
      </c>
    </row>
    <row r="258" spans="14:39">
      <c r="N258" s="26">
        <v>250</v>
      </c>
      <c r="O258" s="30">
        <f t="shared" ca="1" si="80"/>
        <v>14.50059404007412</v>
      </c>
      <c r="P258" s="30">
        <f t="shared" ca="1" si="80"/>
        <v>16.579614491090055</v>
      </c>
      <c r="Q258" s="30">
        <f t="shared" ca="1" si="80"/>
        <v>11.383952928942623</v>
      </c>
      <c r="R258" s="30">
        <f t="shared" ca="1" si="80"/>
        <v>15.036285909204711</v>
      </c>
      <c r="S258" s="30">
        <f t="shared" ca="1" si="80"/>
        <v>29.238529114701961</v>
      </c>
      <c r="T258" s="30">
        <f t="shared" ca="1" si="80"/>
        <v>25.394557534633687</v>
      </c>
      <c r="U258" s="30">
        <f t="shared" ca="1" si="80"/>
        <v>15.697651686336368</v>
      </c>
      <c r="V258" s="30">
        <f t="shared" ca="1" si="80"/>
        <v>9.8855711027107454</v>
      </c>
      <c r="W258" s="30">
        <f t="shared" ca="1" si="80"/>
        <v>22.883279627126054</v>
      </c>
      <c r="X258" s="30">
        <f t="shared" ca="1" si="80"/>
        <v>1.2019175030118756</v>
      </c>
      <c r="Y258" s="30">
        <f t="shared" ca="1" si="80"/>
        <v>23.026055320158257</v>
      </c>
      <c r="Z258" s="30">
        <f t="shared" ca="1" si="80"/>
        <v>1.9995203734348719</v>
      </c>
      <c r="AA258" s="26">
        <v>250</v>
      </c>
      <c r="AB258" s="31">
        <f t="shared" ca="1" si="75"/>
        <v>19</v>
      </c>
      <c r="AC258" s="31">
        <f t="shared" ca="1" si="62"/>
        <v>23</v>
      </c>
      <c r="AD258" s="31">
        <f t="shared" ca="1" si="63"/>
        <v>14</v>
      </c>
      <c r="AE258" s="31">
        <f t="shared" ca="1" si="64"/>
        <v>20</v>
      </c>
      <c r="AF258" s="31">
        <f t="shared" ca="1" si="65"/>
        <v>69</v>
      </c>
      <c r="AG258" s="31">
        <f t="shared" ca="1" si="66"/>
        <v>48</v>
      </c>
      <c r="AH258" s="31">
        <f t="shared" ca="1" si="67"/>
        <v>21</v>
      </c>
      <c r="AI258" s="31">
        <f t="shared" ca="1" si="68"/>
        <v>12</v>
      </c>
      <c r="AJ258" s="31">
        <f t="shared" ca="1" si="69"/>
        <v>39</v>
      </c>
      <c r="AK258" s="31">
        <f t="shared" ca="1" si="70"/>
        <v>2</v>
      </c>
      <c r="AL258" s="31">
        <f t="shared" ca="1" si="71"/>
        <v>39</v>
      </c>
      <c r="AM258" s="31">
        <f t="shared" ca="1" si="72"/>
        <v>3</v>
      </c>
    </row>
    <row r="259" spans="14:39">
      <c r="N259" s="26">
        <v>251</v>
      </c>
      <c r="O259" s="30">
        <f t="shared" ref="O259:Z268" ca="1" si="81">RAND()*sumweights</f>
        <v>29.666355709418301</v>
      </c>
      <c r="P259" s="30">
        <f t="shared" ca="1" si="81"/>
        <v>16.445135610215985</v>
      </c>
      <c r="Q259" s="30">
        <f t="shared" ca="1" si="81"/>
        <v>15.745246809172354</v>
      </c>
      <c r="R259" s="30">
        <f t="shared" ca="1" si="81"/>
        <v>8.0299331874842927</v>
      </c>
      <c r="S259" s="30">
        <f t="shared" ca="1" si="81"/>
        <v>0.87052719090425223</v>
      </c>
      <c r="T259" s="30">
        <f t="shared" ca="1" si="81"/>
        <v>16.182853583044345</v>
      </c>
      <c r="U259" s="30">
        <f t="shared" ca="1" si="81"/>
        <v>13.196072240519527</v>
      </c>
      <c r="V259" s="30">
        <f t="shared" ca="1" si="81"/>
        <v>21.44757947730875</v>
      </c>
      <c r="W259" s="30">
        <f t="shared" ca="1" si="81"/>
        <v>18.154519742254912</v>
      </c>
      <c r="X259" s="30">
        <f t="shared" ca="1" si="81"/>
        <v>12.261730783354635</v>
      </c>
      <c r="Y259" s="30">
        <f t="shared" ca="1" si="81"/>
        <v>12.243509340194516</v>
      </c>
      <c r="Z259" s="30">
        <f t="shared" ca="1" si="81"/>
        <v>25.446067811386165</v>
      </c>
      <c r="AA259" s="26">
        <v>251</v>
      </c>
      <c r="AB259" s="31">
        <f t="shared" ca="1" si="75"/>
        <v>73</v>
      </c>
      <c r="AC259" s="31">
        <f t="shared" ca="1" si="62"/>
        <v>23</v>
      </c>
      <c r="AD259" s="31">
        <f t="shared" ca="1" si="63"/>
        <v>21</v>
      </c>
      <c r="AE259" s="31">
        <f t="shared" ca="1" si="64"/>
        <v>10</v>
      </c>
      <c r="AF259" s="31">
        <f t="shared" ca="1" si="65"/>
        <v>1</v>
      </c>
      <c r="AG259" s="31">
        <f t="shared" ca="1" si="66"/>
        <v>22</v>
      </c>
      <c r="AH259" s="31">
        <f t="shared" ca="1" si="67"/>
        <v>17</v>
      </c>
      <c r="AI259" s="31">
        <f t="shared" ca="1" si="68"/>
        <v>34</v>
      </c>
      <c r="AJ259" s="31">
        <f t="shared" ca="1" si="69"/>
        <v>26</v>
      </c>
      <c r="AK259" s="31">
        <f t="shared" ca="1" si="70"/>
        <v>16</v>
      </c>
      <c r="AL259" s="31">
        <f t="shared" ca="1" si="71"/>
        <v>16</v>
      </c>
      <c r="AM259" s="31">
        <f t="shared" ca="1" si="72"/>
        <v>48</v>
      </c>
    </row>
    <row r="260" spans="14:39">
      <c r="N260" s="26">
        <v>252</v>
      </c>
      <c r="O260" s="30">
        <f t="shared" ca="1" si="81"/>
        <v>19.960075721090597</v>
      </c>
      <c r="P260" s="30">
        <f t="shared" ca="1" si="81"/>
        <v>31.224690423759686</v>
      </c>
      <c r="Q260" s="30">
        <f t="shared" ca="1" si="81"/>
        <v>18.355678028181245</v>
      </c>
      <c r="R260" s="30">
        <f t="shared" ca="1" si="81"/>
        <v>25.976180449037134</v>
      </c>
      <c r="S260" s="30">
        <f t="shared" ca="1" si="81"/>
        <v>0.41352698608042154</v>
      </c>
      <c r="T260" s="30">
        <f t="shared" ca="1" si="81"/>
        <v>28.415383322637236</v>
      </c>
      <c r="U260" s="30">
        <f t="shared" ca="1" si="81"/>
        <v>22.105402244073659</v>
      </c>
      <c r="V260" s="30">
        <f t="shared" ca="1" si="81"/>
        <v>22.654042998141257</v>
      </c>
      <c r="W260" s="30">
        <f t="shared" ca="1" si="81"/>
        <v>2.9329685827868395</v>
      </c>
      <c r="X260" s="30">
        <f t="shared" ca="1" si="81"/>
        <v>3.253687068413758</v>
      </c>
      <c r="Y260" s="30">
        <f t="shared" ca="1" si="81"/>
        <v>10.966753628303072</v>
      </c>
      <c r="Z260" s="30">
        <f t="shared" ca="1" si="81"/>
        <v>2.4300622922441804</v>
      </c>
      <c r="AA260" s="26">
        <v>252</v>
      </c>
      <c r="AB260" s="31">
        <f t="shared" ca="1" si="75"/>
        <v>30</v>
      </c>
      <c r="AC260" s="31">
        <f t="shared" ca="1" si="62"/>
        <v>91</v>
      </c>
      <c r="AD260" s="31">
        <f t="shared" ca="1" si="63"/>
        <v>27</v>
      </c>
      <c r="AE260" s="31">
        <f t="shared" ca="1" si="64"/>
        <v>50</v>
      </c>
      <c r="AF260" s="31">
        <f t="shared" ca="1" si="65"/>
        <v>1</v>
      </c>
      <c r="AG260" s="31">
        <f t="shared" ca="1" si="66"/>
        <v>63</v>
      </c>
      <c r="AH260" s="31">
        <f t="shared" ca="1" si="67"/>
        <v>36</v>
      </c>
      <c r="AI260" s="31">
        <f t="shared" ca="1" si="68"/>
        <v>38</v>
      </c>
      <c r="AJ260" s="31">
        <f t="shared" ca="1" si="69"/>
        <v>4</v>
      </c>
      <c r="AK260" s="31">
        <f t="shared" ca="1" si="70"/>
        <v>4</v>
      </c>
      <c r="AL260" s="31">
        <f t="shared" ca="1" si="71"/>
        <v>14</v>
      </c>
      <c r="AM260" s="31">
        <f t="shared" ca="1" si="72"/>
        <v>3</v>
      </c>
    </row>
    <row r="261" spans="14:39">
      <c r="N261" s="26">
        <v>253</v>
      </c>
      <c r="O261" s="30">
        <f t="shared" ca="1" si="81"/>
        <v>15.163934470029091</v>
      </c>
      <c r="P261" s="30">
        <f t="shared" ca="1" si="81"/>
        <v>3.2954350429107557</v>
      </c>
      <c r="Q261" s="30">
        <f t="shared" ca="1" si="81"/>
        <v>19.731397299466689</v>
      </c>
      <c r="R261" s="30">
        <f t="shared" ca="1" si="81"/>
        <v>16.69855673394181</v>
      </c>
      <c r="S261" s="30">
        <f t="shared" ca="1" si="81"/>
        <v>5.1441628441410767</v>
      </c>
      <c r="T261" s="30">
        <f t="shared" ca="1" si="81"/>
        <v>1.4836944644657126</v>
      </c>
      <c r="U261" s="30">
        <f t="shared" ca="1" si="81"/>
        <v>0.92367675989843234</v>
      </c>
      <c r="V261" s="30">
        <f t="shared" ca="1" si="81"/>
        <v>7.0214235313273967</v>
      </c>
      <c r="W261" s="30">
        <f t="shared" ca="1" si="81"/>
        <v>16.250500466048099</v>
      </c>
      <c r="X261" s="30">
        <f t="shared" ca="1" si="81"/>
        <v>6.6782076242969461</v>
      </c>
      <c r="Y261" s="30">
        <f t="shared" ca="1" si="81"/>
        <v>19.930775752188801</v>
      </c>
      <c r="Z261" s="30">
        <f t="shared" ca="1" si="81"/>
        <v>19.092953469963359</v>
      </c>
      <c r="AA261" s="26">
        <v>253</v>
      </c>
      <c r="AB261" s="31">
        <f t="shared" ca="1" si="75"/>
        <v>20</v>
      </c>
      <c r="AC261" s="31">
        <f t="shared" ca="1" si="62"/>
        <v>4</v>
      </c>
      <c r="AD261" s="31">
        <f t="shared" ca="1" si="63"/>
        <v>30</v>
      </c>
      <c r="AE261" s="31">
        <f t="shared" ca="1" si="64"/>
        <v>23</v>
      </c>
      <c r="AF261" s="31">
        <f t="shared" ca="1" si="65"/>
        <v>6</v>
      </c>
      <c r="AG261" s="31">
        <f t="shared" ca="1" si="66"/>
        <v>2</v>
      </c>
      <c r="AH261" s="31">
        <f t="shared" ca="1" si="67"/>
        <v>1</v>
      </c>
      <c r="AI261" s="31">
        <f t="shared" ca="1" si="68"/>
        <v>8</v>
      </c>
      <c r="AJ261" s="31">
        <f t="shared" ca="1" si="69"/>
        <v>22</v>
      </c>
      <c r="AK261" s="31">
        <f t="shared" ca="1" si="70"/>
        <v>8</v>
      </c>
      <c r="AL261" s="31">
        <f t="shared" ca="1" si="71"/>
        <v>30</v>
      </c>
      <c r="AM261" s="31">
        <f t="shared" ca="1" si="72"/>
        <v>28</v>
      </c>
    </row>
    <row r="262" spans="14:39">
      <c r="N262" s="26">
        <v>254</v>
      </c>
      <c r="O262" s="30">
        <f t="shared" ca="1" si="81"/>
        <v>22.997438094041303</v>
      </c>
      <c r="P262" s="30">
        <f t="shared" ca="1" si="81"/>
        <v>8.7061657663248138</v>
      </c>
      <c r="Q262" s="30">
        <f t="shared" ca="1" si="81"/>
        <v>15.712873972260558</v>
      </c>
      <c r="R262" s="30">
        <f t="shared" ca="1" si="81"/>
        <v>26.157322689398811</v>
      </c>
      <c r="S262" s="30">
        <f t="shared" ca="1" si="81"/>
        <v>19.110261906818319</v>
      </c>
      <c r="T262" s="30">
        <f t="shared" ca="1" si="81"/>
        <v>16.96858305555557</v>
      </c>
      <c r="U262" s="30">
        <f t="shared" ca="1" si="81"/>
        <v>6.642584828341926</v>
      </c>
      <c r="V262" s="30">
        <f t="shared" ca="1" si="81"/>
        <v>21.905818460709785</v>
      </c>
      <c r="W262" s="30">
        <f t="shared" ca="1" si="81"/>
        <v>25.557236951029282</v>
      </c>
      <c r="X262" s="30">
        <f t="shared" ca="1" si="81"/>
        <v>33.115677287457721</v>
      </c>
      <c r="Y262" s="30">
        <f t="shared" ca="1" si="81"/>
        <v>21.059181658276188</v>
      </c>
      <c r="Z262" s="30">
        <f t="shared" ca="1" si="81"/>
        <v>2.8150345191231758</v>
      </c>
      <c r="AA262" s="26">
        <v>254</v>
      </c>
      <c r="AB262" s="31">
        <f t="shared" ca="1" si="75"/>
        <v>39</v>
      </c>
      <c r="AC262" s="31">
        <f t="shared" ca="1" si="62"/>
        <v>10</v>
      </c>
      <c r="AD262" s="31">
        <f t="shared" ca="1" si="63"/>
        <v>21</v>
      </c>
      <c r="AE262" s="31">
        <f t="shared" ca="1" si="64"/>
        <v>51</v>
      </c>
      <c r="AF262" s="31">
        <f t="shared" ca="1" si="65"/>
        <v>28</v>
      </c>
      <c r="AG262" s="31">
        <f t="shared" ca="1" si="66"/>
        <v>24</v>
      </c>
      <c r="AH262" s="31">
        <f t="shared" ca="1" si="67"/>
        <v>8</v>
      </c>
      <c r="AI262" s="31">
        <f t="shared" ca="1" si="68"/>
        <v>36</v>
      </c>
      <c r="AJ262" s="31">
        <f t="shared" ca="1" si="69"/>
        <v>48</v>
      </c>
      <c r="AK262" s="31">
        <f t="shared" ca="1" si="70"/>
        <v>166</v>
      </c>
      <c r="AL262" s="31">
        <f t="shared" ca="1" si="71"/>
        <v>33</v>
      </c>
      <c r="AM262" s="31">
        <f t="shared" ca="1" si="72"/>
        <v>3</v>
      </c>
    </row>
    <row r="263" spans="14:39">
      <c r="N263" s="26">
        <v>255</v>
      </c>
      <c r="O263" s="30">
        <f t="shared" ca="1" si="81"/>
        <v>18.401005692899442</v>
      </c>
      <c r="P263" s="30">
        <f t="shared" ca="1" si="81"/>
        <v>19.883293534893781</v>
      </c>
      <c r="Q263" s="30">
        <f t="shared" ca="1" si="81"/>
        <v>26.76798137515366</v>
      </c>
      <c r="R263" s="30">
        <f t="shared" ca="1" si="81"/>
        <v>10.117813704100815</v>
      </c>
      <c r="S263" s="30">
        <f t="shared" ca="1" si="81"/>
        <v>30.928534358791818</v>
      </c>
      <c r="T263" s="30">
        <f t="shared" ca="1" si="81"/>
        <v>17.466060848496948</v>
      </c>
      <c r="U263" s="30">
        <f t="shared" ca="1" si="81"/>
        <v>25.216020901198753</v>
      </c>
      <c r="V263" s="30">
        <f t="shared" ca="1" si="81"/>
        <v>12.785938016369235</v>
      </c>
      <c r="W263" s="30">
        <f t="shared" ca="1" si="81"/>
        <v>29.322061177943606</v>
      </c>
      <c r="X263" s="30">
        <f t="shared" ca="1" si="81"/>
        <v>19.437426020322984</v>
      </c>
      <c r="Y263" s="30">
        <f t="shared" ca="1" si="81"/>
        <v>19.594253148631573</v>
      </c>
      <c r="Z263" s="30">
        <f t="shared" ca="1" si="81"/>
        <v>9.7700171081543647</v>
      </c>
      <c r="AA263" s="26">
        <v>255</v>
      </c>
      <c r="AB263" s="31">
        <f t="shared" ca="1" si="75"/>
        <v>27</v>
      </c>
      <c r="AC263" s="31">
        <f t="shared" ca="1" si="62"/>
        <v>30</v>
      </c>
      <c r="AD263" s="31">
        <f t="shared" ca="1" si="63"/>
        <v>54</v>
      </c>
      <c r="AE263" s="31">
        <f t="shared" ca="1" si="64"/>
        <v>12</v>
      </c>
      <c r="AF263" s="31">
        <f t="shared" ca="1" si="65"/>
        <v>87</v>
      </c>
      <c r="AG263" s="31">
        <f t="shared" ca="1" si="66"/>
        <v>25</v>
      </c>
      <c r="AH263" s="31">
        <f t="shared" ca="1" si="67"/>
        <v>47</v>
      </c>
      <c r="AI263" s="31">
        <f t="shared" ca="1" si="68"/>
        <v>16</v>
      </c>
      <c r="AJ263" s="31">
        <f t="shared" ca="1" si="69"/>
        <v>70</v>
      </c>
      <c r="AK263" s="31">
        <f t="shared" ca="1" si="70"/>
        <v>29</v>
      </c>
      <c r="AL263" s="31">
        <f t="shared" ca="1" si="71"/>
        <v>30</v>
      </c>
      <c r="AM263" s="31">
        <f t="shared" ca="1" si="72"/>
        <v>12</v>
      </c>
    </row>
    <row r="264" spans="14:39">
      <c r="N264" s="26">
        <v>256</v>
      </c>
      <c r="O264" s="30">
        <f t="shared" ca="1" si="81"/>
        <v>12.927184857556247</v>
      </c>
      <c r="P264" s="30">
        <f t="shared" ca="1" si="81"/>
        <v>7.5716361208531282</v>
      </c>
      <c r="Q264" s="30">
        <f t="shared" ca="1" si="81"/>
        <v>26.605272571867705</v>
      </c>
      <c r="R264" s="30">
        <f t="shared" ca="1" si="81"/>
        <v>18.013466001092645</v>
      </c>
      <c r="S264" s="30">
        <f t="shared" ca="1" si="81"/>
        <v>14.63186338372895</v>
      </c>
      <c r="T264" s="30">
        <f t="shared" ca="1" si="81"/>
        <v>22.038216301655755</v>
      </c>
      <c r="U264" s="30">
        <f t="shared" ca="1" si="81"/>
        <v>5.6784990800335571</v>
      </c>
      <c r="V264" s="30">
        <f t="shared" ca="1" si="81"/>
        <v>6.5629668783321655</v>
      </c>
      <c r="W264" s="30">
        <f t="shared" ca="1" si="81"/>
        <v>10.733835206238767</v>
      </c>
      <c r="X264" s="30">
        <f t="shared" ca="1" si="81"/>
        <v>21.835075438963042</v>
      </c>
      <c r="Y264" s="30">
        <f t="shared" ca="1" si="81"/>
        <v>14.058526038662274</v>
      </c>
      <c r="Z264" s="30">
        <f t="shared" ca="1" si="81"/>
        <v>11.841733768382941</v>
      </c>
      <c r="AA264" s="26">
        <v>256</v>
      </c>
      <c r="AB264" s="31">
        <f t="shared" ca="1" si="75"/>
        <v>17</v>
      </c>
      <c r="AC264" s="31">
        <f t="shared" ca="1" si="62"/>
        <v>9</v>
      </c>
      <c r="AD264" s="31">
        <f t="shared" ca="1" si="63"/>
        <v>53</v>
      </c>
      <c r="AE264" s="31">
        <f t="shared" ca="1" si="64"/>
        <v>26</v>
      </c>
      <c r="AF264" s="31">
        <f t="shared" ca="1" si="65"/>
        <v>19</v>
      </c>
      <c r="AG264" s="31">
        <f t="shared" ca="1" si="66"/>
        <v>36</v>
      </c>
      <c r="AH264" s="31">
        <f t="shared" ca="1" si="67"/>
        <v>7</v>
      </c>
      <c r="AI264" s="31">
        <f t="shared" ca="1" si="68"/>
        <v>8</v>
      </c>
      <c r="AJ264" s="31">
        <f t="shared" ca="1" si="69"/>
        <v>13</v>
      </c>
      <c r="AK264" s="31">
        <f t="shared" ca="1" si="70"/>
        <v>35</v>
      </c>
      <c r="AL264" s="31">
        <f t="shared" ca="1" si="71"/>
        <v>18</v>
      </c>
      <c r="AM264" s="31">
        <f t="shared" ca="1" si="72"/>
        <v>15</v>
      </c>
    </row>
    <row r="265" spans="14:39">
      <c r="N265" s="26">
        <v>257</v>
      </c>
      <c r="O265" s="30">
        <f t="shared" ca="1" si="81"/>
        <v>25.571873792038438</v>
      </c>
      <c r="P265" s="30">
        <f t="shared" ca="1" si="81"/>
        <v>9.2670026652432487</v>
      </c>
      <c r="Q265" s="30">
        <f t="shared" ca="1" si="81"/>
        <v>1.0072846107319762</v>
      </c>
      <c r="R265" s="30">
        <f t="shared" ca="1" si="81"/>
        <v>14.750652935521792</v>
      </c>
      <c r="S265" s="30">
        <f t="shared" ca="1" si="81"/>
        <v>12.032600747261935</v>
      </c>
      <c r="T265" s="30">
        <f t="shared" ca="1" si="81"/>
        <v>23.626708423360366</v>
      </c>
      <c r="U265" s="30">
        <f t="shared" ca="1" si="81"/>
        <v>19.278773056232737</v>
      </c>
      <c r="V265" s="30">
        <f t="shared" ca="1" si="81"/>
        <v>25.363792436711076</v>
      </c>
      <c r="W265" s="30">
        <f t="shared" ca="1" si="81"/>
        <v>30.242626111082885</v>
      </c>
      <c r="X265" s="30">
        <f t="shared" ca="1" si="81"/>
        <v>30.780213744940955</v>
      </c>
      <c r="Y265" s="30">
        <f t="shared" ca="1" si="81"/>
        <v>29.686118428369966</v>
      </c>
      <c r="Z265" s="30">
        <f t="shared" ca="1" si="81"/>
        <v>24.836474572125855</v>
      </c>
      <c r="AA265" s="26">
        <v>257</v>
      </c>
      <c r="AB265" s="31">
        <f t="shared" ca="1" si="75"/>
        <v>48</v>
      </c>
      <c r="AC265" s="31">
        <f t="shared" ref="AC265:AC328" ca="1" si="82">MATCH(P265,cum_wt,1)</f>
        <v>11</v>
      </c>
      <c r="AD265" s="31">
        <f t="shared" ref="AD265:AD328" ca="1" si="83">MATCH(Q265,cum_wt,1)</f>
        <v>2</v>
      </c>
      <c r="AE265" s="31">
        <f t="shared" ref="AE265:AE328" ca="1" si="84">MATCH(R265,cum_wt,1)</f>
        <v>20</v>
      </c>
      <c r="AF265" s="31">
        <f t="shared" ref="AF265:AF328" ca="1" si="85">MATCH(S265,cum_wt,1)</f>
        <v>15</v>
      </c>
      <c r="AG265" s="31">
        <f t="shared" ref="AG265:AG328" ca="1" si="86">MATCH(T265,cum_wt,1)</f>
        <v>41</v>
      </c>
      <c r="AH265" s="31">
        <f t="shared" ref="AH265:AH328" ca="1" si="87">MATCH(U265,cum_wt,1)</f>
        <v>29</v>
      </c>
      <c r="AI265" s="31">
        <f t="shared" ref="AI265:AI328" ca="1" si="88">MATCH(V265,cum_wt,1)</f>
        <v>47</v>
      </c>
      <c r="AJ265" s="31">
        <f t="shared" ref="AJ265:AJ328" ca="1" si="89">MATCH(W265,cum_wt,1)</f>
        <v>79</v>
      </c>
      <c r="AK265" s="31">
        <f t="shared" ref="AK265:AK328" ca="1" si="90">MATCH(X265,cum_wt,1)</f>
        <v>85</v>
      </c>
      <c r="AL265" s="31">
        <f t="shared" ref="AL265:AL328" ca="1" si="91">MATCH(Y265,cum_wt,1)</f>
        <v>73</v>
      </c>
      <c r="AM265" s="31">
        <f t="shared" ref="AM265:AM328" ca="1" si="92">MATCH(Z265,cum_wt,1)</f>
        <v>45</v>
      </c>
    </row>
    <row r="266" spans="14:39">
      <c r="N266" s="26">
        <v>258</v>
      </c>
      <c r="O266" s="30">
        <f t="shared" ca="1" si="81"/>
        <v>32.991939801697896</v>
      </c>
      <c r="P266" s="30">
        <f t="shared" ca="1" si="81"/>
        <v>2.4792897909955904</v>
      </c>
      <c r="Q266" s="30">
        <f t="shared" ca="1" si="81"/>
        <v>14.599101149571364</v>
      </c>
      <c r="R266" s="30">
        <f t="shared" ca="1" si="81"/>
        <v>10.665493834772345</v>
      </c>
      <c r="S266" s="30">
        <f t="shared" ca="1" si="81"/>
        <v>11.004632964349069</v>
      </c>
      <c r="T266" s="30">
        <f t="shared" ca="1" si="81"/>
        <v>20.241148382738452</v>
      </c>
      <c r="U266" s="30">
        <f t="shared" ca="1" si="81"/>
        <v>1.5526940224378403</v>
      </c>
      <c r="V266" s="30">
        <f t="shared" ca="1" si="81"/>
        <v>28.866591720879359</v>
      </c>
      <c r="W266" s="30">
        <f t="shared" ca="1" si="81"/>
        <v>29.987272196875743</v>
      </c>
      <c r="X266" s="30">
        <f t="shared" ca="1" si="81"/>
        <v>7.7948937500426689</v>
      </c>
      <c r="Y266" s="30">
        <f t="shared" ca="1" si="81"/>
        <v>14.772070735966567</v>
      </c>
      <c r="Z266" s="30">
        <f t="shared" ca="1" si="81"/>
        <v>0.31179235785977072</v>
      </c>
      <c r="AA266" s="26">
        <v>258</v>
      </c>
      <c r="AB266" s="31">
        <f t="shared" ref="AB266:AB329" ca="1" si="93">MATCH(O266,cum_wt,1)</f>
        <v>151</v>
      </c>
      <c r="AC266" s="31">
        <f t="shared" ca="1" si="82"/>
        <v>3</v>
      </c>
      <c r="AD266" s="31">
        <f t="shared" ca="1" si="83"/>
        <v>19</v>
      </c>
      <c r="AE266" s="31">
        <f t="shared" ca="1" si="84"/>
        <v>13</v>
      </c>
      <c r="AF266" s="31">
        <f t="shared" ca="1" si="85"/>
        <v>14</v>
      </c>
      <c r="AG266" s="31">
        <f t="shared" ca="1" si="86"/>
        <v>31</v>
      </c>
      <c r="AH266" s="31">
        <f t="shared" ca="1" si="87"/>
        <v>2</v>
      </c>
      <c r="AI266" s="31">
        <f t="shared" ca="1" si="88"/>
        <v>66</v>
      </c>
      <c r="AJ266" s="31">
        <f t="shared" ca="1" si="89"/>
        <v>76</v>
      </c>
      <c r="AK266" s="31">
        <f t="shared" ca="1" si="90"/>
        <v>9</v>
      </c>
      <c r="AL266" s="31">
        <f t="shared" ca="1" si="91"/>
        <v>20</v>
      </c>
      <c r="AM266" s="31">
        <f t="shared" ca="1" si="92"/>
        <v>1</v>
      </c>
    </row>
    <row r="267" spans="14:39">
      <c r="N267" s="26">
        <v>259</v>
      </c>
      <c r="O267" s="30">
        <f t="shared" ca="1" si="81"/>
        <v>17.463063275255827</v>
      </c>
      <c r="P267" s="30">
        <f t="shared" ca="1" si="81"/>
        <v>8.3790593666351967</v>
      </c>
      <c r="Q267" s="30">
        <f t="shared" ca="1" si="81"/>
        <v>31.686717970846367</v>
      </c>
      <c r="R267" s="30">
        <f t="shared" ca="1" si="81"/>
        <v>7.0978963888857889</v>
      </c>
      <c r="S267" s="30">
        <f t="shared" ca="1" si="81"/>
        <v>25.974467072258079</v>
      </c>
      <c r="T267" s="30">
        <f t="shared" ca="1" si="81"/>
        <v>32.291139340434185</v>
      </c>
      <c r="U267" s="30">
        <f t="shared" ca="1" si="81"/>
        <v>10.123087799365511</v>
      </c>
      <c r="V267" s="30">
        <f t="shared" ca="1" si="81"/>
        <v>5.3197861271061999</v>
      </c>
      <c r="W267" s="30">
        <f t="shared" ca="1" si="81"/>
        <v>33.253614508884837</v>
      </c>
      <c r="X267" s="30">
        <f t="shared" ca="1" si="81"/>
        <v>11.0409609739333</v>
      </c>
      <c r="Y267" s="30">
        <f t="shared" ca="1" si="81"/>
        <v>29.457981414654448</v>
      </c>
      <c r="Z267" s="30">
        <f t="shared" ca="1" si="81"/>
        <v>22.142144362213596</v>
      </c>
      <c r="AA267" s="26">
        <v>259</v>
      </c>
      <c r="AB267" s="31">
        <f t="shared" ca="1" si="93"/>
        <v>25</v>
      </c>
      <c r="AC267" s="31">
        <f t="shared" ca="1" si="82"/>
        <v>10</v>
      </c>
      <c r="AD267" s="31">
        <f t="shared" ca="1" si="83"/>
        <v>99</v>
      </c>
      <c r="AE267" s="31">
        <f t="shared" ca="1" si="84"/>
        <v>8</v>
      </c>
      <c r="AF267" s="31">
        <f t="shared" ca="1" si="85"/>
        <v>50</v>
      </c>
      <c r="AG267" s="31">
        <f t="shared" ca="1" si="86"/>
        <v>114</v>
      </c>
      <c r="AH267" s="31">
        <f t="shared" ca="1" si="87"/>
        <v>12</v>
      </c>
      <c r="AI267" s="31">
        <f t="shared" ca="1" si="88"/>
        <v>6</v>
      </c>
      <c r="AJ267" s="31">
        <f t="shared" ca="1" si="89"/>
        <v>199</v>
      </c>
      <c r="AK267" s="31">
        <f t="shared" ca="1" si="90"/>
        <v>14</v>
      </c>
      <c r="AL267" s="31">
        <f t="shared" ca="1" si="91"/>
        <v>71</v>
      </c>
      <c r="AM267" s="31">
        <f t="shared" ca="1" si="92"/>
        <v>36</v>
      </c>
    </row>
    <row r="268" spans="14:39">
      <c r="N268" s="26">
        <v>260</v>
      </c>
      <c r="O268" s="30">
        <f t="shared" ca="1" si="81"/>
        <v>5.777245144051558</v>
      </c>
      <c r="P268" s="30">
        <f t="shared" ca="1" si="81"/>
        <v>13.289800353429234</v>
      </c>
      <c r="Q268" s="30">
        <f t="shared" ca="1" si="81"/>
        <v>20.616376286811622</v>
      </c>
      <c r="R268" s="30">
        <f t="shared" ca="1" si="81"/>
        <v>8.9240720170197427</v>
      </c>
      <c r="S268" s="30">
        <f t="shared" ca="1" si="81"/>
        <v>28.882253433013005</v>
      </c>
      <c r="T268" s="30">
        <f t="shared" ca="1" si="81"/>
        <v>20.887560475040715</v>
      </c>
      <c r="U268" s="30">
        <f t="shared" ca="1" si="81"/>
        <v>12.989635711073628</v>
      </c>
      <c r="V268" s="30">
        <f t="shared" ca="1" si="81"/>
        <v>4.6310891735051811</v>
      </c>
      <c r="W268" s="30">
        <f t="shared" ca="1" si="81"/>
        <v>5.3983441371094925</v>
      </c>
      <c r="X268" s="30">
        <f t="shared" ca="1" si="81"/>
        <v>3.8581874326426608</v>
      </c>
      <c r="Y268" s="30">
        <f t="shared" ca="1" si="81"/>
        <v>7.9532418495803254</v>
      </c>
      <c r="Z268" s="30">
        <f t="shared" ca="1" si="81"/>
        <v>17.400107538022834</v>
      </c>
      <c r="AA268" s="26">
        <v>260</v>
      </c>
      <c r="AB268" s="31">
        <f t="shared" ca="1" si="93"/>
        <v>7</v>
      </c>
      <c r="AC268" s="31">
        <f t="shared" ca="1" si="82"/>
        <v>17</v>
      </c>
      <c r="AD268" s="31">
        <f t="shared" ca="1" si="83"/>
        <v>32</v>
      </c>
      <c r="AE268" s="31">
        <f t="shared" ca="1" si="84"/>
        <v>11</v>
      </c>
      <c r="AF268" s="31">
        <f t="shared" ca="1" si="85"/>
        <v>67</v>
      </c>
      <c r="AG268" s="31">
        <f t="shared" ca="1" si="86"/>
        <v>33</v>
      </c>
      <c r="AH268" s="31">
        <f t="shared" ca="1" si="87"/>
        <v>17</v>
      </c>
      <c r="AI268" s="31">
        <f t="shared" ca="1" si="88"/>
        <v>5</v>
      </c>
      <c r="AJ268" s="31">
        <f t="shared" ca="1" si="89"/>
        <v>6</v>
      </c>
      <c r="AK268" s="31">
        <f t="shared" ca="1" si="90"/>
        <v>5</v>
      </c>
      <c r="AL268" s="31">
        <f t="shared" ca="1" si="91"/>
        <v>9</v>
      </c>
      <c r="AM268" s="31">
        <f t="shared" ca="1" si="92"/>
        <v>25</v>
      </c>
    </row>
    <row r="269" spans="14:39">
      <c r="N269" s="26">
        <v>261</v>
      </c>
      <c r="O269" s="30">
        <f t="shared" ref="O269:Z278" ca="1" si="94">RAND()*sumweights</f>
        <v>10.062913125625432</v>
      </c>
      <c r="P269" s="30">
        <f t="shared" ca="1" si="94"/>
        <v>25.372192886080764</v>
      </c>
      <c r="Q269" s="30">
        <f t="shared" ca="1" si="94"/>
        <v>21.412575719306325</v>
      </c>
      <c r="R269" s="30">
        <f t="shared" ca="1" si="94"/>
        <v>32.748868302019844</v>
      </c>
      <c r="S269" s="30">
        <f t="shared" ca="1" si="94"/>
        <v>5.8931751309593068</v>
      </c>
      <c r="T269" s="30">
        <f t="shared" ca="1" si="94"/>
        <v>17.068401246836586</v>
      </c>
      <c r="U269" s="30">
        <f t="shared" ca="1" si="94"/>
        <v>18.035969334039322</v>
      </c>
      <c r="V269" s="30">
        <f t="shared" ca="1" si="94"/>
        <v>5.8587471044560999</v>
      </c>
      <c r="W269" s="30">
        <f t="shared" ca="1" si="94"/>
        <v>0.13002486795205842</v>
      </c>
      <c r="X269" s="30">
        <f t="shared" ca="1" si="94"/>
        <v>32.896082308778944</v>
      </c>
      <c r="Y269" s="30">
        <f t="shared" ca="1" si="94"/>
        <v>30.418764537168546</v>
      </c>
      <c r="Z269" s="30">
        <f t="shared" ca="1" si="94"/>
        <v>16.777697918991851</v>
      </c>
      <c r="AA269" s="26">
        <v>261</v>
      </c>
      <c r="AB269" s="31">
        <f t="shared" ca="1" si="93"/>
        <v>12</v>
      </c>
      <c r="AC269" s="31">
        <f t="shared" ca="1" si="82"/>
        <v>48</v>
      </c>
      <c r="AD269" s="31">
        <f t="shared" ca="1" si="83"/>
        <v>34</v>
      </c>
      <c r="AE269" s="31">
        <f t="shared" ca="1" si="84"/>
        <v>133</v>
      </c>
      <c r="AF269" s="31">
        <f t="shared" ca="1" si="85"/>
        <v>7</v>
      </c>
      <c r="AG269" s="31">
        <f t="shared" ca="1" si="86"/>
        <v>24</v>
      </c>
      <c r="AH269" s="31">
        <f t="shared" ca="1" si="87"/>
        <v>26</v>
      </c>
      <c r="AI269" s="31">
        <f t="shared" ca="1" si="88"/>
        <v>7</v>
      </c>
      <c r="AJ269" s="31">
        <f t="shared" ca="1" si="89"/>
        <v>1</v>
      </c>
      <c r="AK269" s="31">
        <f t="shared" ca="1" si="90"/>
        <v>143</v>
      </c>
      <c r="AL269" s="31">
        <f t="shared" ca="1" si="91"/>
        <v>81</v>
      </c>
      <c r="AM269" s="31">
        <f t="shared" ca="1" si="92"/>
        <v>23</v>
      </c>
    </row>
    <row r="270" spans="14:39">
      <c r="N270" s="26">
        <v>262</v>
      </c>
      <c r="O270" s="30">
        <f t="shared" ca="1" si="94"/>
        <v>22.540956857401774</v>
      </c>
      <c r="P270" s="30">
        <f t="shared" ca="1" si="94"/>
        <v>19.032861128625544</v>
      </c>
      <c r="Q270" s="30">
        <f t="shared" ca="1" si="94"/>
        <v>25.432687212268306</v>
      </c>
      <c r="R270" s="30">
        <f t="shared" ca="1" si="94"/>
        <v>5.991132611183728</v>
      </c>
      <c r="S270" s="30">
        <f t="shared" ca="1" si="94"/>
        <v>12.041703168507697</v>
      </c>
      <c r="T270" s="30">
        <f t="shared" ca="1" si="94"/>
        <v>16.455948954318455</v>
      </c>
      <c r="U270" s="30">
        <f t="shared" ca="1" si="94"/>
        <v>1.1359539078718917</v>
      </c>
      <c r="V270" s="30">
        <f t="shared" ca="1" si="94"/>
        <v>4.4602661059102005</v>
      </c>
      <c r="W270" s="30">
        <f t="shared" ca="1" si="94"/>
        <v>15.688458066047714</v>
      </c>
      <c r="X270" s="30">
        <f t="shared" ca="1" si="94"/>
        <v>31.321614969860889</v>
      </c>
      <c r="Y270" s="30">
        <f t="shared" ca="1" si="94"/>
        <v>24.427144763157486</v>
      </c>
      <c r="Z270" s="30">
        <f t="shared" ca="1" si="94"/>
        <v>3.6923907830251981</v>
      </c>
      <c r="AA270" s="26">
        <v>262</v>
      </c>
      <c r="AB270" s="31">
        <f t="shared" ca="1" si="93"/>
        <v>38</v>
      </c>
      <c r="AC270" s="31">
        <f t="shared" ca="1" si="82"/>
        <v>28</v>
      </c>
      <c r="AD270" s="31">
        <f t="shared" ca="1" si="83"/>
        <v>48</v>
      </c>
      <c r="AE270" s="31">
        <f t="shared" ca="1" si="84"/>
        <v>7</v>
      </c>
      <c r="AF270" s="31">
        <f t="shared" ca="1" si="85"/>
        <v>15</v>
      </c>
      <c r="AG270" s="31">
        <f t="shared" ca="1" si="86"/>
        <v>23</v>
      </c>
      <c r="AH270" s="31">
        <f t="shared" ca="1" si="87"/>
        <v>2</v>
      </c>
      <c r="AI270" s="31">
        <f t="shared" ca="1" si="88"/>
        <v>5</v>
      </c>
      <c r="AJ270" s="31">
        <f t="shared" ca="1" si="89"/>
        <v>21</v>
      </c>
      <c r="AK270" s="31">
        <f t="shared" ca="1" si="90"/>
        <v>93</v>
      </c>
      <c r="AL270" s="31">
        <f t="shared" ca="1" si="91"/>
        <v>44</v>
      </c>
      <c r="AM270" s="31">
        <f t="shared" ca="1" si="92"/>
        <v>4</v>
      </c>
    </row>
    <row r="271" spans="14:39">
      <c r="N271" s="26">
        <v>263</v>
      </c>
      <c r="O271" s="30">
        <f t="shared" ca="1" si="94"/>
        <v>23.893351663901225</v>
      </c>
      <c r="P271" s="30">
        <f t="shared" ca="1" si="94"/>
        <v>16.370770419713484</v>
      </c>
      <c r="Q271" s="30">
        <f t="shared" ca="1" si="94"/>
        <v>22.440144161136203</v>
      </c>
      <c r="R271" s="30">
        <f t="shared" ca="1" si="94"/>
        <v>14.334942270529618</v>
      </c>
      <c r="S271" s="30">
        <f t="shared" ca="1" si="94"/>
        <v>1.6104723693376395</v>
      </c>
      <c r="T271" s="30">
        <f t="shared" ca="1" si="94"/>
        <v>25.489321693235144</v>
      </c>
      <c r="U271" s="30">
        <f t="shared" ca="1" si="94"/>
        <v>27.225056778041075</v>
      </c>
      <c r="V271" s="30">
        <f t="shared" ca="1" si="94"/>
        <v>22.023850045860602</v>
      </c>
      <c r="W271" s="30">
        <f t="shared" ca="1" si="94"/>
        <v>11.960574582762231</v>
      </c>
      <c r="X271" s="30">
        <f t="shared" ca="1" si="94"/>
        <v>16.951345685825054</v>
      </c>
      <c r="Y271" s="30">
        <f t="shared" ca="1" si="94"/>
        <v>21.543909828240711</v>
      </c>
      <c r="Z271" s="30">
        <f t="shared" ca="1" si="94"/>
        <v>11.346613766867385</v>
      </c>
      <c r="AA271" s="26">
        <v>263</v>
      </c>
      <c r="AB271" s="31">
        <f t="shared" ca="1" si="93"/>
        <v>42</v>
      </c>
      <c r="AC271" s="31">
        <f t="shared" ca="1" si="82"/>
        <v>23</v>
      </c>
      <c r="AD271" s="31">
        <f t="shared" ca="1" si="83"/>
        <v>37</v>
      </c>
      <c r="AE271" s="31">
        <f t="shared" ca="1" si="84"/>
        <v>19</v>
      </c>
      <c r="AF271" s="31">
        <f t="shared" ca="1" si="85"/>
        <v>2</v>
      </c>
      <c r="AG271" s="31">
        <f t="shared" ca="1" si="86"/>
        <v>48</v>
      </c>
      <c r="AH271" s="31">
        <f t="shared" ca="1" si="87"/>
        <v>56</v>
      </c>
      <c r="AI271" s="31">
        <f t="shared" ca="1" si="88"/>
        <v>36</v>
      </c>
      <c r="AJ271" s="31">
        <f t="shared" ca="1" si="89"/>
        <v>15</v>
      </c>
      <c r="AK271" s="31">
        <f t="shared" ca="1" si="90"/>
        <v>24</v>
      </c>
      <c r="AL271" s="31">
        <f t="shared" ca="1" si="91"/>
        <v>35</v>
      </c>
      <c r="AM271" s="31">
        <f t="shared" ca="1" si="92"/>
        <v>14</v>
      </c>
    </row>
    <row r="272" spans="14:39">
      <c r="N272" s="26">
        <v>264</v>
      </c>
      <c r="O272" s="30">
        <f t="shared" ca="1" si="94"/>
        <v>26.704053838522722</v>
      </c>
      <c r="P272" s="30">
        <f t="shared" ca="1" si="94"/>
        <v>0.51690337582033041</v>
      </c>
      <c r="Q272" s="30">
        <f t="shared" ca="1" si="94"/>
        <v>8.9273222391273972</v>
      </c>
      <c r="R272" s="30">
        <f t="shared" ca="1" si="94"/>
        <v>11.778665167696005</v>
      </c>
      <c r="S272" s="30">
        <f t="shared" ca="1" si="94"/>
        <v>21.165893787655577</v>
      </c>
      <c r="T272" s="30">
        <f t="shared" ca="1" si="94"/>
        <v>21.146499728141517</v>
      </c>
      <c r="U272" s="30">
        <f t="shared" ca="1" si="94"/>
        <v>19.553011252195223</v>
      </c>
      <c r="V272" s="30">
        <f t="shared" ca="1" si="94"/>
        <v>14.004853353007745</v>
      </c>
      <c r="W272" s="30">
        <f t="shared" ca="1" si="94"/>
        <v>6.837631234874026</v>
      </c>
      <c r="X272" s="30">
        <f t="shared" ca="1" si="94"/>
        <v>4.4467743366461221</v>
      </c>
      <c r="Y272" s="30">
        <f t="shared" ca="1" si="94"/>
        <v>17.670427831907826</v>
      </c>
      <c r="Z272" s="30">
        <f t="shared" ca="1" si="94"/>
        <v>0.62183904786033051</v>
      </c>
      <c r="AA272" s="26">
        <v>264</v>
      </c>
      <c r="AB272" s="31">
        <f t="shared" ca="1" si="93"/>
        <v>54</v>
      </c>
      <c r="AC272" s="31">
        <f t="shared" ca="1" si="82"/>
        <v>1</v>
      </c>
      <c r="AD272" s="31">
        <f t="shared" ca="1" si="83"/>
        <v>11</v>
      </c>
      <c r="AE272" s="31">
        <f t="shared" ca="1" si="84"/>
        <v>15</v>
      </c>
      <c r="AF272" s="31">
        <f t="shared" ca="1" si="85"/>
        <v>34</v>
      </c>
      <c r="AG272" s="31">
        <f t="shared" ca="1" si="86"/>
        <v>34</v>
      </c>
      <c r="AH272" s="31">
        <f t="shared" ca="1" si="87"/>
        <v>29</v>
      </c>
      <c r="AI272" s="31">
        <f t="shared" ca="1" si="88"/>
        <v>18</v>
      </c>
      <c r="AJ272" s="31">
        <f t="shared" ca="1" si="89"/>
        <v>8</v>
      </c>
      <c r="AK272" s="31">
        <f t="shared" ca="1" si="90"/>
        <v>5</v>
      </c>
      <c r="AL272" s="31">
        <f t="shared" ca="1" si="91"/>
        <v>25</v>
      </c>
      <c r="AM272" s="31">
        <f t="shared" ca="1" si="92"/>
        <v>1</v>
      </c>
    </row>
    <row r="273" spans="14:39">
      <c r="N273" s="26">
        <v>265</v>
      </c>
      <c r="O273" s="30">
        <f t="shared" ca="1" si="94"/>
        <v>27.386339128573123</v>
      </c>
      <c r="P273" s="30">
        <f t="shared" ca="1" si="94"/>
        <v>6.0963615366643849</v>
      </c>
      <c r="Q273" s="30">
        <f t="shared" ca="1" si="94"/>
        <v>7.5471864888224545</v>
      </c>
      <c r="R273" s="30">
        <f t="shared" ca="1" si="94"/>
        <v>25.226974547125145</v>
      </c>
      <c r="S273" s="30">
        <f t="shared" ca="1" si="94"/>
        <v>4.1909029477900228</v>
      </c>
      <c r="T273" s="30">
        <f t="shared" ca="1" si="94"/>
        <v>2.1418796930795727</v>
      </c>
      <c r="U273" s="30">
        <f t="shared" ca="1" si="94"/>
        <v>6.6031342419478936</v>
      </c>
      <c r="V273" s="30">
        <f t="shared" ca="1" si="94"/>
        <v>31.527982134727477</v>
      </c>
      <c r="W273" s="30">
        <f t="shared" ca="1" si="94"/>
        <v>6.6151257085340713</v>
      </c>
      <c r="X273" s="30">
        <f t="shared" ca="1" si="94"/>
        <v>17.957709880980914</v>
      </c>
      <c r="Y273" s="30">
        <f t="shared" ca="1" si="94"/>
        <v>7.3478813631520303</v>
      </c>
      <c r="Z273" s="30">
        <f t="shared" ca="1" si="94"/>
        <v>28.686690084222754</v>
      </c>
      <c r="AA273" s="26">
        <v>265</v>
      </c>
      <c r="AB273" s="31">
        <f t="shared" ca="1" si="93"/>
        <v>57</v>
      </c>
      <c r="AC273" s="31">
        <f t="shared" ca="1" si="82"/>
        <v>7</v>
      </c>
      <c r="AD273" s="31">
        <f t="shared" ca="1" si="83"/>
        <v>9</v>
      </c>
      <c r="AE273" s="31">
        <f t="shared" ca="1" si="84"/>
        <v>47</v>
      </c>
      <c r="AF273" s="31">
        <f t="shared" ca="1" si="85"/>
        <v>5</v>
      </c>
      <c r="AG273" s="31">
        <f t="shared" ca="1" si="86"/>
        <v>3</v>
      </c>
      <c r="AH273" s="31">
        <f t="shared" ca="1" si="87"/>
        <v>8</v>
      </c>
      <c r="AI273" s="31">
        <f t="shared" ca="1" si="88"/>
        <v>96</v>
      </c>
      <c r="AJ273" s="31">
        <f t="shared" ca="1" si="89"/>
        <v>8</v>
      </c>
      <c r="AK273" s="31">
        <f t="shared" ca="1" si="90"/>
        <v>26</v>
      </c>
      <c r="AL273" s="31">
        <f t="shared" ca="1" si="91"/>
        <v>9</v>
      </c>
      <c r="AM273" s="31">
        <f t="shared" ca="1" si="92"/>
        <v>65</v>
      </c>
    </row>
    <row r="274" spans="14:39">
      <c r="N274" s="26">
        <v>266</v>
      </c>
      <c r="O274" s="30">
        <f t="shared" ca="1" si="94"/>
        <v>17.526640363457766</v>
      </c>
      <c r="P274" s="30">
        <f t="shared" ca="1" si="94"/>
        <v>6.6697093339263054</v>
      </c>
      <c r="Q274" s="30">
        <f t="shared" ca="1" si="94"/>
        <v>31.062206259158035</v>
      </c>
      <c r="R274" s="30">
        <f t="shared" ca="1" si="94"/>
        <v>25.002530668285175</v>
      </c>
      <c r="S274" s="30">
        <f t="shared" ca="1" si="94"/>
        <v>32.039001736026236</v>
      </c>
      <c r="T274" s="30">
        <f t="shared" ca="1" si="94"/>
        <v>19.401982851697973</v>
      </c>
      <c r="U274" s="30">
        <f t="shared" ca="1" si="94"/>
        <v>11.636359329737974</v>
      </c>
      <c r="V274" s="30">
        <f t="shared" ca="1" si="94"/>
        <v>15.142466555006791</v>
      </c>
      <c r="W274" s="30">
        <f t="shared" ca="1" si="94"/>
        <v>2.6490799684459891</v>
      </c>
      <c r="X274" s="30">
        <f t="shared" ca="1" si="94"/>
        <v>19.91394452487501</v>
      </c>
      <c r="Y274" s="30">
        <f t="shared" ca="1" si="94"/>
        <v>13.477048500263002</v>
      </c>
      <c r="Z274" s="30">
        <f t="shared" ca="1" si="94"/>
        <v>4.1823591824687547</v>
      </c>
      <c r="AA274" s="26">
        <v>266</v>
      </c>
      <c r="AB274" s="31">
        <f t="shared" ca="1" si="93"/>
        <v>25</v>
      </c>
      <c r="AC274" s="31">
        <f t="shared" ca="1" si="82"/>
        <v>8</v>
      </c>
      <c r="AD274" s="31">
        <f t="shared" ca="1" si="83"/>
        <v>89</v>
      </c>
      <c r="AE274" s="31">
        <f t="shared" ca="1" si="84"/>
        <v>46</v>
      </c>
      <c r="AF274" s="31">
        <f t="shared" ca="1" si="85"/>
        <v>107</v>
      </c>
      <c r="AG274" s="31">
        <f t="shared" ca="1" si="86"/>
        <v>29</v>
      </c>
      <c r="AH274" s="31">
        <f t="shared" ca="1" si="87"/>
        <v>15</v>
      </c>
      <c r="AI274" s="31">
        <f t="shared" ca="1" si="88"/>
        <v>20</v>
      </c>
      <c r="AJ274" s="31">
        <f t="shared" ca="1" si="89"/>
        <v>3</v>
      </c>
      <c r="AK274" s="31">
        <f t="shared" ca="1" si="90"/>
        <v>30</v>
      </c>
      <c r="AL274" s="31">
        <f t="shared" ca="1" si="91"/>
        <v>18</v>
      </c>
      <c r="AM274" s="31">
        <f t="shared" ca="1" si="92"/>
        <v>5</v>
      </c>
    </row>
    <row r="275" spans="14:39">
      <c r="N275" s="26">
        <v>267</v>
      </c>
      <c r="O275" s="30">
        <f t="shared" ca="1" si="94"/>
        <v>28.071130606165131</v>
      </c>
      <c r="P275" s="30">
        <f t="shared" ca="1" si="94"/>
        <v>31.199781717564054</v>
      </c>
      <c r="Q275" s="30">
        <f t="shared" ca="1" si="94"/>
        <v>4.8002177282932443</v>
      </c>
      <c r="R275" s="30">
        <f t="shared" ca="1" si="94"/>
        <v>18.74796117150337</v>
      </c>
      <c r="S275" s="30">
        <f t="shared" ca="1" si="94"/>
        <v>12.568011832665395</v>
      </c>
      <c r="T275" s="30">
        <f t="shared" ca="1" si="94"/>
        <v>21.375241988415514</v>
      </c>
      <c r="U275" s="30">
        <f t="shared" ca="1" si="94"/>
        <v>7.1136935729487849</v>
      </c>
      <c r="V275" s="30">
        <f t="shared" ca="1" si="94"/>
        <v>19.409329556453571</v>
      </c>
      <c r="W275" s="30">
        <f t="shared" ca="1" si="94"/>
        <v>4.2118832451369697</v>
      </c>
      <c r="X275" s="30">
        <f t="shared" ca="1" si="94"/>
        <v>17.748480854398817</v>
      </c>
      <c r="Y275" s="30">
        <f t="shared" ca="1" si="94"/>
        <v>32.316534819120818</v>
      </c>
      <c r="Z275" s="30">
        <f t="shared" ca="1" si="94"/>
        <v>0.50645336843206235</v>
      </c>
      <c r="AA275" s="26">
        <v>267</v>
      </c>
      <c r="AB275" s="31">
        <f t="shared" ca="1" si="93"/>
        <v>61</v>
      </c>
      <c r="AC275" s="31">
        <f t="shared" ca="1" si="82"/>
        <v>91</v>
      </c>
      <c r="AD275" s="31">
        <f t="shared" ca="1" si="83"/>
        <v>6</v>
      </c>
      <c r="AE275" s="31">
        <f t="shared" ca="1" si="84"/>
        <v>28</v>
      </c>
      <c r="AF275" s="31">
        <f t="shared" ca="1" si="85"/>
        <v>16</v>
      </c>
      <c r="AG275" s="31">
        <f t="shared" ca="1" si="86"/>
        <v>34</v>
      </c>
      <c r="AH275" s="31">
        <f t="shared" ca="1" si="87"/>
        <v>8</v>
      </c>
      <c r="AI275" s="31">
        <f t="shared" ca="1" si="88"/>
        <v>29</v>
      </c>
      <c r="AJ275" s="31">
        <f t="shared" ca="1" si="89"/>
        <v>5</v>
      </c>
      <c r="AK275" s="31">
        <f t="shared" ca="1" si="90"/>
        <v>25</v>
      </c>
      <c r="AL275" s="31">
        <f t="shared" ca="1" si="91"/>
        <v>115</v>
      </c>
      <c r="AM275" s="31">
        <f t="shared" ca="1" si="92"/>
        <v>1</v>
      </c>
    </row>
    <row r="276" spans="14:39">
      <c r="N276" s="26">
        <v>268</v>
      </c>
      <c r="O276" s="30">
        <f t="shared" ca="1" si="94"/>
        <v>15.578228901457724</v>
      </c>
      <c r="P276" s="30">
        <f t="shared" ca="1" si="94"/>
        <v>31.333863017417098</v>
      </c>
      <c r="Q276" s="30">
        <f t="shared" ca="1" si="94"/>
        <v>12.58981055739031</v>
      </c>
      <c r="R276" s="30">
        <f t="shared" ca="1" si="94"/>
        <v>19.495717793497068</v>
      </c>
      <c r="S276" s="30">
        <f t="shared" ca="1" si="94"/>
        <v>14.606819747118214</v>
      </c>
      <c r="T276" s="30">
        <f t="shared" ca="1" si="94"/>
        <v>2.0219138206016454</v>
      </c>
      <c r="U276" s="30">
        <f t="shared" ca="1" si="94"/>
        <v>30.707081402668145</v>
      </c>
      <c r="V276" s="30">
        <f t="shared" ca="1" si="94"/>
        <v>0.97473558882692291</v>
      </c>
      <c r="W276" s="30">
        <f t="shared" ca="1" si="94"/>
        <v>14.860942781232168</v>
      </c>
      <c r="X276" s="30">
        <f t="shared" ca="1" si="94"/>
        <v>8.0670111101156685</v>
      </c>
      <c r="Y276" s="30">
        <f t="shared" ca="1" si="94"/>
        <v>5.4471799744847313</v>
      </c>
      <c r="Z276" s="30">
        <f t="shared" ca="1" si="94"/>
        <v>16.424087482174059</v>
      </c>
      <c r="AA276" s="26">
        <v>268</v>
      </c>
      <c r="AB276" s="31">
        <f t="shared" ca="1" si="93"/>
        <v>21</v>
      </c>
      <c r="AC276" s="31">
        <f t="shared" ca="1" si="82"/>
        <v>93</v>
      </c>
      <c r="AD276" s="31">
        <f t="shared" ca="1" si="83"/>
        <v>16</v>
      </c>
      <c r="AE276" s="31">
        <f t="shared" ca="1" si="84"/>
        <v>29</v>
      </c>
      <c r="AF276" s="31">
        <f t="shared" ca="1" si="85"/>
        <v>19</v>
      </c>
      <c r="AG276" s="31">
        <f t="shared" ca="1" si="86"/>
        <v>3</v>
      </c>
      <c r="AH276" s="31">
        <f t="shared" ca="1" si="87"/>
        <v>84</v>
      </c>
      <c r="AI276" s="31">
        <f t="shared" ca="1" si="88"/>
        <v>1</v>
      </c>
      <c r="AJ276" s="31">
        <f t="shared" ca="1" si="89"/>
        <v>20</v>
      </c>
      <c r="AK276" s="31">
        <f t="shared" ca="1" si="90"/>
        <v>10</v>
      </c>
      <c r="AL276" s="31">
        <f t="shared" ca="1" si="91"/>
        <v>6</v>
      </c>
      <c r="AM276" s="31">
        <f t="shared" ca="1" si="92"/>
        <v>23</v>
      </c>
    </row>
    <row r="277" spans="14:39">
      <c r="N277" s="26">
        <v>269</v>
      </c>
      <c r="O277" s="30">
        <f t="shared" ca="1" si="94"/>
        <v>9.1693347417814284</v>
      </c>
      <c r="P277" s="30">
        <f t="shared" ca="1" si="94"/>
        <v>25.059879908358461</v>
      </c>
      <c r="Q277" s="30">
        <f t="shared" ca="1" si="94"/>
        <v>11.349974831151993</v>
      </c>
      <c r="R277" s="30">
        <f t="shared" ca="1" si="94"/>
        <v>11.044773837882239</v>
      </c>
      <c r="S277" s="30">
        <f t="shared" ca="1" si="94"/>
        <v>7.2817964920633766</v>
      </c>
      <c r="T277" s="30">
        <f t="shared" ca="1" si="94"/>
        <v>27.012313314205301</v>
      </c>
      <c r="U277" s="30">
        <f t="shared" ca="1" si="94"/>
        <v>20.421698675826192</v>
      </c>
      <c r="V277" s="30">
        <f t="shared" ca="1" si="94"/>
        <v>7.7001317353893466</v>
      </c>
      <c r="W277" s="30">
        <f t="shared" ca="1" si="94"/>
        <v>29.220464582126233</v>
      </c>
      <c r="X277" s="30">
        <f t="shared" ca="1" si="94"/>
        <v>28.010267171942331</v>
      </c>
      <c r="Y277" s="30">
        <f t="shared" ca="1" si="94"/>
        <v>14.894290126102108</v>
      </c>
      <c r="Z277" s="30">
        <f t="shared" ca="1" si="94"/>
        <v>23.043214643498057</v>
      </c>
      <c r="AA277" s="26">
        <v>269</v>
      </c>
      <c r="AB277" s="31">
        <f t="shared" ca="1" si="93"/>
        <v>11</v>
      </c>
      <c r="AC277" s="31">
        <f t="shared" ca="1" si="82"/>
        <v>46</v>
      </c>
      <c r="AD277" s="31">
        <f t="shared" ca="1" si="83"/>
        <v>14</v>
      </c>
      <c r="AE277" s="31">
        <f t="shared" ca="1" si="84"/>
        <v>14</v>
      </c>
      <c r="AF277" s="31">
        <f t="shared" ca="1" si="85"/>
        <v>9</v>
      </c>
      <c r="AG277" s="31">
        <f t="shared" ca="1" si="86"/>
        <v>55</v>
      </c>
      <c r="AH277" s="31">
        <f t="shared" ca="1" si="87"/>
        <v>32</v>
      </c>
      <c r="AI277" s="31">
        <f t="shared" ca="1" si="88"/>
        <v>9</v>
      </c>
      <c r="AJ277" s="31">
        <f t="shared" ca="1" si="89"/>
        <v>69</v>
      </c>
      <c r="AK277" s="31">
        <f t="shared" ca="1" si="90"/>
        <v>61</v>
      </c>
      <c r="AL277" s="31">
        <f t="shared" ca="1" si="91"/>
        <v>20</v>
      </c>
      <c r="AM277" s="31">
        <f t="shared" ca="1" si="92"/>
        <v>39</v>
      </c>
    </row>
    <row r="278" spans="14:39">
      <c r="N278" s="26">
        <v>270</v>
      </c>
      <c r="O278" s="30">
        <f t="shared" ca="1" si="94"/>
        <v>3.6225407297416337</v>
      </c>
      <c r="P278" s="30">
        <f t="shared" ca="1" si="94"/>
        <v>31.292179001469879</v>
      </c>
      <c r="Q278" s="30">
        <f t="shared" ca="1" si="94"/>
        <v>27.713281021416957</v>
      </c>
      <c r="R278" s="30">
        <f t="shared" ca="1" si="94"/>
        <v>6.6015033930425266</v>
      </c>
      <c r="S278" s="30">
        <f t="shared" ca="1" si="94"/>
        <v>4.6097539215574335</v>
      </c>
      <c r="T278" s="30">
        <f t="shared" ca="1" si="94"/>
        <v>14.723481678293943</v>
      </c>
      <c r="U278" s="30">
        <f t="shared" ca="1" si="94"/>
        <v>17.632940757927617</v>
      </c>
      <c r="V278" s="30">
        <f t="shared" ca="1" si="94"/>
        <v>13.377301063609774</v>
      </c>
      <c r="W278" s="30">
        <f t="shared" ca="1" si="94"/>
        <v>11.228450848447716</v>
      </c>
      <c r="X278" s="30">
        <f t="shared" ca="1" si="94"/>
        <v>28.074508825781731</v>
      </c>
      <c r="Y278" s="30">
        <f t="shared" ca="1" si="94"/>
        <v>25.339681894935364</v>
      </c>
      <c r="Z278" s="30">
        <f t="shared" ca="1" si="94"/>
        <v>22.352015903194427</v>
      </c>
      <c r="AA278" s="26">
        <v>270</v>
      </c>
      <c r="AB278" s="31">
        <f t="shared" ca="1" si="93"/>
        <v>4</v>
      </c>
      <c r="AC278" s="31">
        <f t="shared" ca="1" si="82"/>
        <v>92</v>
      </c>
      <c r="AD278" s="31">
        <f t="shared" ca="1" si="83"/>
        <v>59</v>
      </c>
      <c r="AE278" s="31">
        <f t="shared" ca="1" si="84"/>
        <v>8</v>
      </c>
      <c r="AF278" s="31">
        <f t="shared" ca="1" si="85"/>
        <v>5</v>
      </c>
      <c r="AG278" s="31">
        <f t="shared" ca="1" si="86"/>
        <v>20</v>
      </c>
      <c r="AH278" s="31">
        <f t="shared" ca="1" si="87"/>
        <v>25</v>
      </c>
      <c r="AI278" s="31">
        <f t="shared" ca="1" si="88"/>
        <v>17</v>
      </c>
      <c r="AJ278" s="31">
        <f t="shared" ca="1" si="89"/>
        <v>14</v>
      </c>
      <c r="AK278" s="31">
        <f t="shared" ca="1" si="90"/>
        <v>61</v>
      </c>
      <c r="AL278" s="31">
        <f t="shared" ca="1" si="91"/>
        <v>47</v>
      </c>
      <c r="AM278" s="31">
        <f t="shared" ca="1" si="92"/>
        <v>37</v>
      </c>
    </row>
    <row r="279" spans="14:39">
      <c r="N279" s="26">
        <v>271</v>
      </c>
      <c r="O279" s="30">
        <f t="shared" ref="O279:Z288" ca="1" si="95">RAND()*sumweights</f>
        <v>15.695988081399497</v>
      </c>
      <c r="P279" s="30">
        <f t="shared" ca="1" si="95"/>
        <v>20.922671421182482</v>
      </c>
      <c r="Q279" s="30">
        <f t="shared" ca="1" si="95"/>
        <v>22.832453903866938</v>
      </c>
      <c r="R279" s="30">
        <f t="shared" ca="1" si="95"/>
        <v>10.160262410386323</v>
      </c>
      <c r="S279" s="30">
        <f t="shared" ca="1" si="95"/>
        <v>7.7266075648580763</v>
      </c>
      <c r="T279" s="30">
        <f t="shared" ca="1" si="95"/>
        <v>11.888898732329372</v>
      </c>
      <c r="U279" s="30">
        <f t="shared" ca="1" si="95"/>
        <v>28.651673727959025</v>
      </c>
      <c r="V279" s="30">
        <f t="shared" ca="1" si="95"/>
        <v>19.615286516787499</v>
      </c>
      <c r="W279" s="30">
        <f t="shared" ca="1" si="95"/>
        <v>2.838044440822705</v>
      </c>
      <c r="X279" s="30">
        <f t="shared" ca="1" si="95"/>
        <v>30.976113266319558</v>
      </c>
      <c r="Y279" s="30">
        <f t="shared" ca="1" si="95"/>
        <v>8.8203099962513019</v>
      </c>
      <c r="Z279" s="30">
        <f t="shared" ca="1" si="95"/>
        <v>13.86530232850135</v>
      </c>
      <c r="AA279" s="26">
        <v>271</v>
      </c>
      <c r="AB279" s="31">
        <f t="shared" ca="1" si="93"/>
        <v>21</v>
      </c>
      <c r="AC279" s="31">
        <f t="shared" ca="1" si="82"/>
        <v>33</v>
      </c>
      <c r="AD279" s="31">
        <f t="shared" ca="1" si="83"/>
        <v>38</v>
      </c>
      <c r="AE279" s="31">
        <f t="shared" ca="1" si="84"/>
        <v>12</v>
      </c>
      <c r="AF279" s="31">
        <f t="shared" ca="1" si="85"/>
        <v>9</v>
      </c>
      <c r="AG279" s="31">
        <f t="shared" ca="1" si="86"/>
        <v>15</v>
      </c>
      <c r="AH279" s="31">
        <f t="shared" ca="1" si="87"/>
        <v>65</v>
      </c>
      <c r="AI279" s="31">
        <f t="shared" ca="1" si="88"/>
        <v>30</v>
      </c>
      <c r="AJ279" s="31">
        <f t="shared" ca="1" si="89"/>
        <v>3</v>
      </c>
      <c r="AK279" s="31">
        <f t="shared" ca="1" si="90"/>
        <v>87</v>
      </c>
      <c r="AL279" s="31">
        <f t="shared" ca="1" si="91"/>
        <v>11</v>
      </c>
      <c r="AM279" s="31">
        <f t="shared" ca="1" si="92"/>
        <v>18</v>
      </c>
    </row>
    <row r="280" spans="14:39">
      <c r="N280" s="26">
        <v>272</v>
      </c>
      <c r="O280" s="30">
        <f t="shared" ca="1" si="95"/>
        <v>7.4530408695000894</v>
      </c>
      <c r="P280" s="30">
        <f t="shared" ca="1" si="95"/>
        <v>14.636224818549461</v>
      </c>
      <c r="Q280" s="30">
        <f t="shared" ca="1" si="95"/>
        <v>31.560573861722169</v>
      </c>
      <c r="R280" s="30">
        <f t="shared" ca="1" si="95"/>
        <v>24.195266991093707</v>
      </c>
      <c r="S280" s="30">
        <f t="shared" ca="1" si="95"/>
        <v>2.5332600765008433</v>
      </c>
      <c r="T280" s="30">
        <f t="shared" ca="1" si="95"/>
        <v>10.543062019466518</v>
      </c>
      <c r="U280" s="30">
        <f t="shared" ca="1" si="95"/>
        <v>25.594783535868078</v>
      </c>
      <c r="V280" s="30">
        <f t="shared" ca="1" si="95"/>
        <v>26.276666422081025</v>
      </c>
      <c r="W280" s="30">
        <f t="shared" ca="1" si="95"/>
        <v>16.21727889398019</v>
      </c>
      <c r="X280" s="30">
        <f t="shared" ca="1" si="95"/>
        <v>24.971836886918293</v>
      </c>
      <c r="Y280" s="30">
        <f t="shared" ca="1" si="95"/>
        <v>20.485749364222784</v>
      </c>
      <c r="Z280" s="30">
        <f t="shared" ca="1" si="95"/>
        <v>11.746220175779289</v>
      </c>
      <c r="AA280" s="26">
        <v>272</v>
      </c>
      <c r="AB280" s="31">
        <f t="shared" ca="1" si="93"/>
        <v>9</v>
      </c>
      <c r="AC280" s="31">
        <f t="shared" ca="1" si="82"/>
        <v>19</v>
      </c>
      <c r="AD280" s="31">
        <f t="shared" ca="1" si="83"/>
        <v>97</v>
      </c>
      <c r="AE280" s="31">
        <f t="shared" ca="1" si="84"/>
        <v>43</v>
      </c>
      <c r="AF280" s="31">
        <f t="shared" ca="1" si="85"/>
        <v>3</v>
      </c>
      <c r="AG280" s="31">
        <f t="shared" ca="1" si="86"/>
        <v>13</v>
      </c>
      <c r="AH280" s="31">
        <f t="shared" ca="1" si="87"/>
        <v>48</v>
      </c>
      <c r="AI280" s="31">
        <f t="shared" ca="1" si="88"/>
        <v>51</v>
      </c>
      <c r="AJ280" s="31">
        <f t="shared" ca="1" si="89"/>
        <v>22</v>
      </c>
      <c r="AK280" s="31">
        <f t="shared" ca="1" si="90"/>
        <v>46</v>
      </c>
      <c r="AL280" s="31">
        <f t="shared" ca="1" si="91"/>
        <v>32</v>
      </c>
      <c r="AM280" s="31">
        <f t="shared" ca="1" si="92"/>
        <v>15</v>
      </c>
    </row>
    <row r="281" spans="14:39">
      <c r="N281" s="26">
        <v>273</v>
      </c>
      <c r="O281" s="30">
        <f t="shared" ca="1" si="95"/>
        <v>12.47381128216186</v>
      </c>
      <c r="P281" s="30">
        <f t="shared" ca="1" si="95"/>
        <v>2.5794712655181025</v>
      </c>
      <c r="Q281" s="30">
        <f t="shared" ca="1" si="95"/>
        <v>7.367498284216885</v>
      </c>
      <c r="R281" s="30">
        <f t="shared" ca="1" si="95"/>
        <v>11.680565409391372</v>
      </c>
      <c r="S281" s="30">
        <f t="shared" ca="1" si="95"/>
        <v>31.083489445792921</v>
      </c>
      <c r="T281" s="30">
        <f t="shared" ca="1" si="95"/>
        <v>14.950719386677743</v>
      </c>
      <c r="U281" s="30">
        <f t="shared" ca="1" si="95"/>
        <v>11.967867151437945</v>
      </c>
      <c r="V281" s="30">
        <f t="shared" ca="1" si="95"/>
        <v>19.121330496900207</v>
      </c>
      <c r="W281" s="30">
        <f t="shared" ca="1" si="95"/>
        <v>18.554076958206092</v>
      </c>
      <c r="X281" s="30">
        <f t="shared" ca="1" si="95"/>
        <v>26.112722491244853</v>
      </c>
      <c r="Y281" s="30">
        <f t="shared" ca="1" si="95"/>
        <v>23.38893598060109</v>
      </c>
      <c r="Z281" s="30">
        <f t="shared" ca="1" si="95"/>
        <v>14.518640408449611</v>
      </c>
      <c r="AA281" s="26">
        <v>273</v>
      </c>
      <c r="AB281" s="31">
        <f t="shared" ca="1" si="93"/>
        <v>16</v>
      </c>
      <c r="AC281" s="31">
        <f t="shared" ca="1" si="82"/>
        <v>3</v>
      </c>
      <c r="AD281" s="31">
        <f t="shared" ca="1" si="83"/>
        <v>9</v>
      </c>
      <c r="AE281" s="31">
        <f t="shared" ca="1" si="84"/>
        <v>15</v>
      </c>
      <c r="AF281" s="31">
        <f t="shared" ca="1" si="85"/>
        <v>89</v>
      </c>
      <c r="AG281" s="31">
        <f t="shared" ca="1" si="86"/>
        <v>20</v>
      </c>
      <c r="AH281" s="31">
        <f t="shared" ca="1" si="87"/>
        <v>15</v>
      </c>
      <c r="AI281" s="31">
        <f t="shared" ca="1" si="88"/>
        <v>28</v>
      </c>
      <c r="AJ281" s="31">
        <f t="shared" ca="1" si="89"/>
        <v>27</v>
      </c>
      <c r="AK281" s="31">
        <f t="shared" ca="1" si="90"/>
        <v>51</v>
      </c>
      <c r="AL281" s="31">
        <f t="shared" ca="1" si="91"/>
        <v>40</v>
      </c>
      <c r="AM281" s="31">
        <f t="shared" ca="1" si="92"/>
        <v>19</v>
      </c>
    </row>
    <row r="282" spans="14:39">
      <c r="N282" s="26">
        <v>274</v>
      </c>
      <c r="O282" s="30">
        <f t="shared" ca="1" si="95"/>
        <v>29.292774660678617</v>
      </c>
      <c r="P282" s="30">
        <f t="shared" ca="1" si="95"/>
        <v>16.283123657197333</v>
      </c>
      <c r="Q282" s="30">
        <f t="shared" ca="1" si="95"/>
        <v>0.94776478737435332</v>
      </c>
      <c r="R282" s="30">
        <f t="shared" ca="1" si="95"/>
        <v>29.559783578914903</v>
      </c>
      <c r="S282" s="30">
        <f t="shared" ca="1" si="95"/>
        <v>11.945846739321221</v>
      </c>
      <c r="T282" s="30">
        <f t="shared" ca="1" si="95"/>
        <v>30.790860361597296</v>
      </c>
      <c r="U282" s="30">
        <f t="shared" ca="1" si="95"/>
        <v>30.459546750720392</v>
      </c>
      <c r="V282" s="30">
        <f t="shared" ca="1" si="95"/>
        <v>28.40078092356017</v>
      </c>
      <c r="W282" s="30">
        <f t="shared" ca="1" si="95"/>
        <v>11.817414163465271</v>
      </c>
      <c r="X282" s="30">
        <f t="shared" ca="1" si="95"/>
        <v>31.319576345888915</v>
      </c>
      <c r="Y282" s="30">
        <f t="shared" ca="1" si="95"/>
        <v>4.9317421657237217</v>
      </c>
      <c r="Z282" s="30">
        <f t="shared" ca="1" si="95"/>
        <v>13.740654263516511</v>
      </c>
      <c r="AA282" s="26">
        <v>274</v>
      </c>
      <c r="AB282" s="31">
        <f t="shared" ca="1" si="93"/>
        <v>70</v>
      </c>
      <c r="AC282" s="31">
        <f t="shared" ca="1" si="82"/>
        <v>23</v>
      </c>
      <c r="AD282" s="31">
        <f t="shared" ca="1" si="83"/>
        <v>1</v>
      </c>
      <c r="AE282" s="31">
        <f t="shared" ca="1" si="84"/>
        <v>72</v>
      </c>
      <c r="AF282" s="31">
        <f t="shared" ca="1" si="85"/>
        <v>15</v>
      </c>
      <c r="AG282" s="31">
        <f t="shared" ca="1" si="86"/>
        <v>85</v>
      </c>
      <c r="AH282" s="31">
        <f t="shared" ca="1" si="87"/>
        <v>81</v>
      </c>
      <c r="AI282" s="31">
        <f t="shared" ca="1" si="88"/>
        <v>63</v>
      </c>
      <c r="AJ282" s="31">
        <f t="shared" ca="1" si="89"/>
        <v>15</v>
      </c>
      <c r="AK282" s="31">
        <f t="shared" ca="1" si="90"/>
        <v>93</v>
      </c>
      <c r="AL282" s="31">
        <f t="shared" ca="1" si="91"/>
        <v>6</v>
      </c>
      <c r="AM282" s="31">
        <f t="shared" ca="1" si="92"/>
        <v>18</v>
      </c>
    </row>
    <row r="283" spans="14:39">
      <c r="N283" s="26">
        <v>275</v>
      </c>
      <c r="O283" s="30">
        <f t="shared" ca="1" si="95"/>
        <v>13.070580946655095</v>
      </c>
      <c r="P283" s="30">
        <f t="shared" ca="1" si="95"/>
        <v>24.463554241573704</v>
      </c>
      <c r="Q283" s="30">
        <f t="shared" ca="1" si="95"/>
        <v>4.8408061872441568</v>
      </c>
      <c r="R283" s="30">
        <f t="shared" ca="1" si="95"/>
        <v>21.675362258716156</v>
      </c>
      <c r="S283" s="30">
        <f t="shared" ca="1" si="95"/>
        <v>21.310507877514794</v>
      </c>
      <c r="T283" s="30">
        <f t="shared" ca="1" si="95"/>
        <v>6.8720609097917746</v>
      </c>
      <c r="U283" s="30">
        <f t="shared" ca="1" si="95"/>
        <v>11.847011889170682</v>
      </c>
      <c r="V283" s="30">
        <f t="shared" ca="1" si="95"/>
        <v>9.7178172695267762</v>
      </c>
      <c r="W283" s="30">
        <f t="shared" ca="1" si="95"/>
        <v>9.724947252141579</v>
      </c>
      <c r="X283" s="30">
        <f t="shared" ca="1" si="95"/>
        <v>4.2754637855009197</v>
      </c>
      <c r="Y283" s="30">
        <f t="shared" ca="1" si="95"/>
        <v>18.381956673389844</v>
      </c>
      <c r="Z283" s="30">
        <f t="shared" ca="1" si="95"/>
        <v>17.691430582959306</v>
      </c>
      <c r="AA283" s="26">
        <v>275</v>
      </c>
      <c r="AB283" s="31">
        <f t="shared" ca="1" si="93"/>
        <v>17</v>
      </c>
      <c r="AC283" s="31">
        <f t="shared" ca="1" si="82"/>
        <v>44</v>
      </c>
      <c r="AD283" s="31">
        <f t="shared" ca="1" si="83"/>
        <v>6</v>
      </c>
      <c r="AE283" s="31">
        <f t="shared" ca="1" si="84"/>
        <v>35</v>
      </c>
      <c r="AF283" s="31">
        <f t="shared" ca="1" si="85"/>
        <v>34</v>
      </c>
      <c r="AG283" s="31">
        <f t="shared" ca="1" si="86"/>
        <v>8</v>
      </c>
      <c r="AH283" s="31">
        <f t="shared" ca="1" si="87"/>
        <v>15</v>
      </c>
      <c r="AI283" s="31">
        <f t="shared" ca="1" si="88"/>
        <v>12</v>
      </c>
      <c r="AJ283" s="31">
        <f t="shared" ca="1" si="89"/>
        <v>12</v>
      </c>
      <c r="AK283" s="31">
        <f t="shared" ca="1" si="90"/>
        <v>5</v>
      </c>
      <c r="AL283" s="31">
        <f t="shared" ca="1" si="91"/>
        <v>27</v>
      </c>
      <c r="AM283" s="31">
        <f t="shared" ca="1" si="92"/>
        <v>25</v>
      </c>
    </row>
    <row r="284" spans="14:39">
      <c r="N284" s="26">
        <v>276</v>
      </c>
      <c r="O284" s="30">
        <f t="shared" ca="1" si="95"/>
        <v>6.6219109079715111</v>
      </c>
      <c r="P284" s="30">
        <f t="shared" ca="1" si="95"/>
        <v>11.165309697263471</v>
      </c>
      <c r="Q284" s="30">
        <f t="shared" ca="1" si="95"/>
        <v>22.026593372646637</v>
      </c>
      <c r="R284" s="30">
        <f t="shared" ca="1" si="95"/>
        <v>2.6493809321828534</v>
      </c>
      <c r="S284" s="30">
        <f t="shared" ca="1" si="95"/>
        <v>3.8588751565141792</v>
      </c>
      <c r="T284" s="30">
        <f t="shared" ca="1" si="95"/>
        <v>3.2821157954833255</v>
      </c>
      <c r="U284" s="30">
        <f t="shared" ca="1" si="95"/>
        <v>16.275892155903591</v>
      </c>
      <c r="V284" s="30">
        <f t="shared" ca="1" si="95"/>
        <v>31.74246965363513</v>
      </c>
      <c r="W284" s="30">
        <f t="shared" ca="1" si="95"/>
        <v>26.008772658061972</v>
      </c>
      <c r="X284" s="30">
        <f t="shared" ca="1" si="95"/>
        <v>31.677946966449753</v>
      </c>
      <c r="Y284" s="30">
        <f t="shared" ca="1" si="95"/>
        <v>2.6437933036064907</v>
      </c>
      <c r="Z284" s="30">
        <f t="shared" ca="1" si="95"/>
        <v>26.006256919991515</v>
      </c>
      <c r="AA284" s="26">
        <v>276</v>
      </c>
      <c r="AB284" s="31">
        <f t="shared" ca="1" si="93"/>
        <v>8</v>
      </c>
      <c r="AC284" s="31">
        <f t="shared" ca="1" si="82"/>
        <v>14</v>
      </c>
      <c r="AD284" s="31">
        <f t="shared" ca="1" si="83"/>
        <v>36</v>
      </c>
      <c r="AE284" s="31">
        <f t="shared" ca="1" si="84"/>
        <v>3</v>
      </c>
      <c r="AF284" s="31">
        <f t="shared" ca="1" si="85"/>
        <v>5</v>
      </c>
      <c r="AG284" s="31">
        <f t="shared" ca="1" si="86"/>
        <v>4</v>
      </c>
      <c r="AH284" s="31">
        <f t="shared" ca="1" si="87"/>
        <v>22</v>
      </c>
      <c r="AI284" s="31">
        <f t="shared" ca="1" si="88"/>
        <v>100</v>
      </c>
      <c r="AJ284" s="31">
        <f t="shared" ca="1" si="89"/>
        <v>50</v>
      </c>
      <c r="AK284" s="31">
        <f t="shared" ca="1" si="90"/>
        <v>99</v>
      </c>
      <c r="AL284" s="31">
        <f t="shared" ca="1" si="91"/>
        <v>3</v>
      </c>
      <c r="AM284" s="31">
        <f t="shared" ca="1" si="92"/>
        <v>50</v>
      </c>
    </row>
    <row r="285" spans="14:39">
      <c r="N285" s="26">
        <v>277</v>
      </c>
      <c r="O285" s="30">
        <f t="shared" ca="1" si="95"/>
        <v>11.551521426014562</v>
      </c>
      <c r="P285" s="30">
        <f t="shared" ca="1" si="95"/>
        <v>14.796481356996141</v>
      </c>
      <c r="Q285" s="30">
        <f t="shared" ca="1" si="95"/>
        <v>26.754640814065304</v>
      </c>
      <c r="R285" s="30">
        <f t="shared" ca="1" si="95"/>
        <v>14.175853699308176</v>
      </c>
      <c r="S285" s="30">
        <f t="shared" ca="1" si="95"/>
        <v>10.116985786413787</v>
      </c>
      <c r="T285" s="30">
        <f t="shared" ca="1" si="95"/>
        <v>4.7359771097784149</v>
      </c>
      <c r="U285" s="30">
        <f t="shared" ca="1" si="95"/>
        <v>30.248919983301175</v>
      </c>
      <c r="V285" s="30">
        <f t="shared" ca="1" si="95"/>
        <v>27.552225150083306</v>
      </c>
      <c r="W285" s="30">
        <f t="shared" ca="1" si="95"/>
        <v>6.4183793784602656</v>
      </c>
      <c r="X285" s="30">
        <f t="shared" ca="1" si="95"/>
        <v>21.389293098912173</v>
      </c>
      <c r="Y285" s="30">
        <f t="shared" ca="1" si="95"/>
        <v>16.126263153758639</v>
      </c>
      <c r="Z285" s="30">
        <f t="shared" ca="1" si="95"/>
        <v>13.091833921749874</v>
      </c>
      <c r="AA285" s="26">
        <v>277</v>
      </c>
      <c r="AB285" s="31">
        <f t="shared" ca="1" si="93"/>
        <v>14</v>
      </c>
      <c r="AC285" s="31">
        <f t="shared" ca="1" si="82"/>
        <v>20</v>
      </c>
      <c r="AD285" s="31">
        <f t="shared" ca="1" si="83"/>
        <v>54</v>
      </c>
      <c r="AE285" s="31">
        <f t="shared" ca="1" si="84"/>
        <v>19</v>
      </c>
      <c r="AF285" s="31">
        <f t="shared" ca="1" si="85"/>
        <v>12</v>
      </c>
      <c r="AG285" s="31">
        <f t="shared" ca="1" si="86"/>
        <v>6</v>
      </c>
      <c r="AH285" s="31">
        <f t="shared" ca="1" si="87"/>
        <v>79</v>
      </c>
      <c r="AI285" s="31">
        <f t="shared" ca="1" si="88"/>
        <v>58</v>
      </c>
      <c r="AJ285" s="31">
        <f t="shared" ca="1" si="89"/>
        <v>8</v>
      </c>
      <c r="AK285" s="31">
        <f t="shared" ca="1" si="90"/>
        <v>34</v>
      </c>
      <c r="AL285" s="31">
        <f t="shared" ca="1" si="91"/>
        <v>22</v>
      </c>
      <c r="AM285" s="31">
        <f t="shared" ca="1" si="92"/>
        <v>17</v>
      </c>
    </row>
    <row r="286" spans="14:39">
      <c r="N286" s="26">
        <v>278</v>
      </c>
      <c r="O286" s="30">
        <f t="shared" ca="1" si="95"/>
        <v>29.028793572345421</v>
      </c>
      <c r="P286" s="30">
        <f t="shared" ca="1" si="95"/>
        <v>31.387999949691618</v>
      </c>
      <c r="Q286" s="30">
        <f t="shared" ca="1" si="95"/>
        <v>8.3359578893868367</v>
      </c>
      <c r="R286" s="30">
        <f t="shared" ca="1" si="95"/>
        <v>11.698067411505241</v>
      </c>
      <c r="S286" s="30">
        <f t="shared" ca="1" si="95"/>
        <v>3.8870266085395251</v>
      </c>
      <c r="T286" s="30">
        <f t="shared" ca="1" si="95"/>
        <v>5.4068652638123629</v>
      </c>
      <c r="U286" s="30">
        <f t="shared" ca="1" si="95"/>
        <v>24.788260303751795</v>
      </c>
      <c r="V286" s="30">
        <f t="shared" ca="1" si="95"/>
        <v>0.16254335355800439</v>
      </c>
      <c r="W286" s="30">
        <f t="shared" ca="1" si="95"/>
        <v>3.0660626546478889</v>
      </c>
      <c r="X286" s="30">
        <f t="shared" ca="1" si="95"/>
        <v>6.4966353579136378</v>
      </c>
      <c r="Y286" s="30">
        <f t="shared" ca="1" si="95"/>
        <v>17.508449426894508</v>
      </c>
      <c r="Z286" s="30">
        <f t="shared" ca="1" si="95"/>
        <v>7.5433714677515908</v>
      </c>
      <c r="AA286" s="26">
        <v>278</v>
      </c>
      <c r="AB286" s="31">
        <f t="shared" ca="1" si="93"/>
        <v>68</v>
      </c>
      <c r="AC286" s="31">
        <f t="shared" ca="1" si="82"/>
        <v>94</v>
      </c>
      <c r="AD286" s="31">
        <f t="shared" ca="1" si="83"/>
        <v>10</v>
      </c>
      <c r="AE286" s="31">
        <f t="shared" ca="1" si="84"/>
        <v>15</v>
      </c>
      <c r="AF286" s="31">
        <f t="shared" ca="1" si="85"/>
        <v>5</v>
      </c>
      <c r="AG286" s="31">
        <f t="shared" ca="1" si="86"/>
        <v>6</v>
      </c>
      <c r="AH286" s="31">
        <f t="shared" ca="1" si="87"/>
        <v>45</v>
      </c>
      <c r="AI286" s="31">
        <f t="shared" ca="1" si="88"/>
        <v>1</v>
      </c>
      <c r="AJ286" s="31">
        <f t="shared" ca="1" si="89"/>
        <v>4</v>
      </c>
      <c r="AK286" s="31">
        <f t="shared" ca="1" si="90"/>
        <v>8</v>
      </c>
      <c r="AL286" s="31">
        <f t="shared" ca="1" si="91"/>
        <v>25</v>
      </c>
      <c r="AM286" s="31">
        <f t="shared" ca="1" si="92"/>
        <v>9</v>
      </c>
    </row>
    <row r="287" spans="14:39">
      <c r="N287" s="26">
        <v>279</v>
      </c>
      <c r="O287" s="30">
        <f t="shared" ca="1" si="95"/>
        <v>7.4697972165884519</v>
      </c>
      <c r="P287" s="30">
        <f t="shared" ca="1" si="95"/>
        <v>28.996887489095826</v>
      </c>
      <c r="Q287" s="30">
        <f t="shared" ca="1" si="95"/>
        <v>2.3500002224282737</v>
      </c>
      <c r="R287" s="30">
        <f t="shared" ca="1" si="95"/>
        <v>2.216568235862646</v>
      </c>
      <c r="S287" s="30">
        <f t="shared" ca="1" si="95"/>
        <v>9.3426032583108753</v>
      </c>
      <c r="T287" s="30">
        <f t="shared" ca="1" si="95"/>
        <v>10.000199631952094</v>
      </c>
      <c r="U287" s="30">
        <f t="shared" ca="1" si="95"/>
        <v>23.690331785475053</v>
      </c>
      <c r="V287" s="30">
        <f t="shared" ca="1" si="95"/>
        <v>14.714474210453368</v>
      </c>
      <c r="W287" s="30">
        <f t="shared" ca="1" si="95"/>
        <v>28.94411573188351</v>
      </c>
      <c r="X287" s="30">
        <f t="shared" ca="1" si="95"/>
        <v>30.095772071825472</v>
      </c>
      <c r="Y287" s="30">
        <f t="shared" ca="1" si="95"/>
        <v>23.861412621143781</v>
      </c>
      <c r="Z287" s="30">
        <f t="shared" ca="1" si="95"/>
        <v>28.584655717558899</v>
      </c>
      <c r="AA287" s="26">
        <v>279</v>
      </c>
      <c r="AB287" s="31">
        <f t="shared" ca="1" si="93"/>
        <v>9</v>
      </c>
      <c r="AC287" s="31">
        <f t="shared" ca="1" si="82"/>
        <v>67</v>
      </c>
      <c r="AD287" s="31">
        <f t="shared" ca="1" si="83"/>
        <v>3</v>
      </c>
      <c r="AE287" s="31">
        <f t="shared" ca="1" si="84"/>
        <v>3</v>
      </c>
      <c r="AF287" s="31">
        <f t="shared" ca="1" si="85"/>
        <v>11</v>
      </c>
      <c r="AG287" s="31">
        <f t="shared" ca="1" si="86"/>
        <v>12</v>
      </c>
      <c r="AH287" s="31">
        <f t="shared" ca="1" si="87"/>
        <v>41</v>
      </c>
      <c r="AI287" s="31">
        <f t="shared" ca="1" si="88"/>
        <v>20</v>
      </c>
      <c r="AJ287" s="31">
        <f t="shared" ca="1" si="89"/>
        <v>67</v>
      </c>
      <c r="AK287" s="31">
        <f t="shared" ca="1" si="90"/>
        <v>77</v>
      </c>
      <c r="AL287" s="31">
        <f t="shared" ca="1" si="91"/>
        <v>42</v>
      </c>
      <c r="AM287" s="31">
        <f t="shared" ca="1" si="92"/>
        <v>64</v>
      </c>
    </row>
    <row r="288" spans="14:39">
      <c r="N288" s="26">
        <v>280</v>
      </c>
      <c r="O288" s="30">
        <f t="shared" ca="1" si="95"/>
        <v>22.329592499266894</v>
      </c>
      <c r="P288" s="30">
        <f t="shared" ca="1" si="95"/>
        <v>17.138021085881146</v>
      </c>
      <c r="Q288" s="30">
        <f t="shared" ca="1" si="95"/>
        <v>26.300654600806368</v>
      </c>
      <c r="R288" s="30">
        <f t="shared" ca="1" si="95"/>
        <v>9.1561177170884154</v>
      </c>
      <c r="S288" s="30">
        <f t="shared" ca="1" si="95"/>
        <v>7.9603633779949083</v>
      </c>
      <c r="T288" s="30">
        <f t="shared" ca="1" si="95"/>
        <v>30.367966037865713</v>
      </c>
      <c r="U288" s="30">
        <f t="shared" ca="1" si="95"/>
        <v>11.397674063032992</v>
      </c>
      <c r="V288" s="30">
        <f t="shared" ca="1" si="95"/>
        <v>27.611705093090677</v>
      </c>
      <c r="W288" s="30">
        <f t="shared" ca="1" si="95"/>
        <v>4.2878574064535897</v>
      </c>
      <c r="X288" s="30">
        <f t="shared" ca="1" si="95"/>
        <v>17.94993016321628</v>
      </c>
      <c r="Y288" s="30">
        <f t="shared" ca="1" si="95"/>
        <v>33.191122466276916</v>
      </c>
      <c r="Z288" s="30">
        <f t="shared" ca="1" si="95"/>
        <v>10.065008708131833</v>
      </c>
      <c r="AA288" s="26">
        <v>280</v>
      </c>
      <c r="AB288" s="31">
        <f t="shared" ca="1" si="93"/>
        <v>37</v>
      </c>
      <c r="AC288" s="31">
        <f t="shared" ca="1" si="82"/>
        <v>24</v>
      </c>
      <c r="AD288" s="31">
        <f t="shared" ca="1" si="83"/>
        <v>52</v>
      </c>
      <c r="AE288" s="31">
        <f t="shared" ca="1" si="84"/>
        <v>11</v>
      </c>
      <c r="AF288" s="31">
        <f t="shared" ca="1" si="85"/>
        <v>9</v>
      </c>
      <c r="AG288" s="31">
        <f t="shared" ca="1" si="86"/>
        <v>80</v>
      </c>
      <c r="AH288" s="31">
        <f t="shared" ca="1" si="87"/>
        <v>14</v>
      </c>
      <c r="AI288" s="31">
        <f t="shared" ca="1" si="88"/>
        <v>58</v>
      </c>
      <c r="AJ288" s="31">
        <f t="shared" ca="1" si="89"/>
        <v>5</v>
      </c>
      <c r="AK288" s="31">
        <f t="shared" ca="1" si="90"/>
        <v>26</v>
      </c>
      <c r="AL288" s="31">
        <f t="shared" ca="1" si="91"/>
        <v>180</v>
      </c>
      <c r="AM288" s="31">
        <f t="shared" ca="1" si="92"/>
        <v>12</v>
      </c>
    </row>
    <row r="289" spans="14:39">
      <c r="N289" s="26">
        <v>281</v>
      </c>
      <c r="O289" s="30">
        <f t="shared" ref="O289:Z298" ca="1" si="96">RAND()*sumweights</f>
        <v>27.096164870517914</v>
      </c>
      <c r="P289" s="30">
        <f t="shared" ca="1" si="96"/>
        <v>12.299791404078059</v>
      </c>
      <c r="Q289" s="30">
        <f t="shared" ca="1" si="96"/>
        <v>19.137080231155565</v>
      </c>
      <c r="R289" s="30">
        <f t="shared" ca="1" si="96"/>
        <v>32.457209192250794</v>
      </c>
      <c r="S289" s="30">
        <f t="shared" ca="1" si="96"/>
        <v>22.275832470084424</v>
      </c>
      <c r="T289" s="30">
        <f t="shared" ca="1" si="96"/>
        <v>14.36026446888116</v>
      </c>
      <c r="U289" s="30">
        <f t="shared" ca="1" si="96"/>
        <v>1.2764881730019038</v>
      </c>
      <c r="V289" s="30">
        <f t="shared" ca="1" si="96"/>
        <v>9.567874455238579</v>
      </c>
      <c r="W289" s="30">
        <f t="shared" ca="1" si="96"/>
        <v>15.715245534529146</v>
      </c>
      <c r="X289" s="30">
        <f t="shared" ca="1" si="96"/>
        <v>8.726199642950963</v>
      </c>
      <c r="Y289" s="30">
        <f t="shared" ca="1" si="96"/>
        <v>23.327755103154523</v>
      </c>
      <c r="Z289" s="30">
        <f t="shared" ca="1" si="96"/>
        <v>19.520851490190619</v>
      </c>
      <c r="AA289" s="26">
        <v>281</v>
      </c>
      <c r="AB289" s="31">
        <f t="shared" ca="1" si="93"/>
        <v>56</v>
      </c>
      <c r="AC289" s="31">
        <f t="shared" ca="1" si="82"/>
        <v>16</v>
      </c>
      <c r="AD289" s="31">
        <f t="shared" ca="1" si="83"/>
        <v>29</v>
      </c>
      <c r="AE289" s="31">
        <f t="shared" ca="1" si="84"/>
        <v>120</v>
      </c>
      <c r="AF289" s="31">
        <f t="shared" ca="1" si="85"/>
        <v>37</v>
      </c>
      <c r="AG289" s="31">
        <f t="shared" ca="1" si="86"/>
        <v>19</v>
      </c>
      <c r="AH289" s="31">
        <f t="shared" ca="1" si="87"/>
        <v>2</v>
      </c>
      <c r="AI289" s="31">
        <f t="shared" ca="1" si="88"/>
        <v>12</v>
      </c>
      <c r="AJ289" s="31">
        <f t="shared" ca="1" si="89"/>
        <v>21</v>
      </c>
      <c r="AK289" s="31">
        <f t="shared" ca="1" si="90"/>
        <v>10</v>
      </c>
      <c r="AL289" s="31">
        <f t="shared" ca="1" si="91"/>
        <v>40</v>
      </c>
      <c r="AM289" s="31">
        <f t="shared" ca="1" si="92"/>
        <v>29</v>
      </c>
    </row>
    <row r="290" spans="14:39">
      <c r="N290" s="26">
        <v>282</v>
      </c>
      <c r="O290" s="30">
        <f t="shared" ca="1" si="96"/>
        <v>30.848229979750482</v>
      </c>
      <c r="P290" s="30">
        <f t="shared" ca="1" si="96"/>
        <v>9.9468069111775712</v>
      </c>
      <c r="Q290" s="30">
        <f t="shared" ca="1" si="96"/>
        <v>31.753999595468112</v>
      </c>
      <c r="R290" s="30">
        <f t="shared" ca="1" si="96"/>
        <v>32.67109776747477</v>
      </c>
      <c r="S290" s="30">
        <f t="shared" ca="1" si="96"/>
        <v>18.017456060551396</v>
      </c>
      <c r="T290" s="30">
        <f t="shared" ca="1" si="96"/>
        <v>17.188039280827208</v>
      </c>
      <c r="U290" s="30">
        <f t="shared" ca="1" si="96"/>
        <v>15.622039619202365</v>
      </c>
      <c r="V290" s="30">
        <f t="shared" ca="1" si="96"/>
        <v>19.998804635987074</v>
      </c>
      <c r="W290" s="30">
        <f t="shared" ca="1" si="96"/>
        <v>21.132129060149548</v>
      </c>
      <c r="X290" s="30">
        <f t="shared" ca="1" si="96"/>
        <v>1.0459289303917443</v>
      </c>
      <c r="Y290" s="30">
        <f t="shared" ca="1" si="96"/>
        <v>6.1618769573270358</v>
      </c>
      <c r="Z290" s="30">
        <f t="shared" ca="1" si="96"/>
        <v>8.9047089775688946</v>
      </c>
      <c r="AA290" s="26">
        <v>282</v>
      </c>
      <c r="AB290" s="31">
        <f t="shared" ca="1" si="93"/>
        <v>86</v>
      </c>
      <c r="AC290" s="31">
        <f t="shared" ca="1" si="82"/>
        <v>12</v>
      </c>
      <c r="AD290" s="31">
        <f t="shared" ca="1" si="83"/>
        <v>101</v>
      </c>
      <c r="AE290" s="31">
        <f t="shared" ca="1" si="84"/>
        <v>129</v>
      </c>
      <c r="AF290" s="31">
        <f t="shared" ca="1" si="85"/>
        <v>26</v>
      </c>
      <c r="AG290" s="31">
        <f t="shared" ca="1" si="86"/>
        <v>24</v>
      </c>
      <c r="AH290" s="31">
        <f t="shared" ca="1" si="87"/>
        <v>21</v>
      </c>
      <c r="AI290" s="31">
        <f t="shared" ca="1" si="88"/>
        <v>31</v>
      </c>
      <c r="AJ290" s="31">
        <f t="shared" ca="1" si="89"/>
        <v>33</v>
      </c>
      <c r="AK290" s="31">
        <f t="shared" ca="1" si="90"/>
        <v>2</v>
      </c>
      <c r="AL290" s="31">
        <f t="shared" ca="1" si="91"/>
        <v>7</v>
      </c>
      <c r="AM290" s="31">
        <f t="shared" ca="1" si="92"/>
        <v>11</v>
      </c>
    </row>
    <row r="291" spans="14:39">
      <c r="N291" s="26">
        <v>283</v>
      </c>
      <c r="O291" s="30">
        <f t="shared" ca="1" si="96"/>
        <v>23.479443891152869</v>
      </c>
      <c r="P291" s="30">
        <f t="shared" ca="1" si="96"/>
        <v>16.208178389749119</v>
      </c>
      <c r="Q291" s="30">
        <f t="shared" ca="1" si="96"/>
        <v>2.7191089814557614</v>
      </c>
      <c r="R291" s="30">
        <f t="shared" ca="1" si="96"/>
        <v>31.84785404808315</v>
      </c>
      <c r="S291" s="30">
        <f t="shared" ca="1" si="96"/>
        <v>1.2898796583603696</v>
      </c>
      <c r="T291" s="30">
        <f t="shared" ca="1" si="96"/>
        <v>3.904772635885557</v>
      </c>
      <c r="U291" s="30">
        <f t="shared" ca="1" si="96"/>
        <v>1.9842447832891892</v>
      </c>
      <c r="V291" s="30">
        <f t="shared" ca="1" si="96"/>
        <v>21.252733598765676</v>
      </c>
      <c r="W291" s="30">
        <f t="shared" ca="1" si="96"/>
        <v>32.114066397971158</v>
      </c>
      <c r="X291" s="30">
        <f t="shared" ca="1" si="96"/>
        <v>10.739762085636512</v>
      </c>
      <c r="Y291" s="30">
        <f t="shared" ca="1" si="96"/>
        <v>12.938865990871024</v>
      </c>
      <c r="Z291" s="30">
        <f t="shared" ca="1" si="96"/>
        <v>3.338711398721204</v>
      </c>
      <c r="AA291" s="26">
        <v>283</v>
      </c>
      <c r="AB291" s="31">
        <f t="shared" ca="1" si="93"/>
        <v>41</v>
      </c>
      <c r="AC291" s="31">
        <f t="shared" ca="1" si="82"/>
        <v>22</v>
      </c>
      <c r="AD291" s="31">
        <f t="shared" ca="1" si="83"/>
        <v>3</v>
      </c>
      <c r="AE291" s="31">
        <f t="shared" ca="1" si="84"/>
        <v>103</v>
      </c>
      <c r="AF291" s="31">
        <f t="shared" ca="1" si="85"/>
        <v>2</v>
      </c>
      <c r="AG291" s="31">
        <f t="shared" ca="1" si="86"/>
        <v>5</v>
      </c>
      <c r="AH291" s="31">
        <f t="shared" ca="1" si="87"/>
        <v>3</v>
      </c>
      <c r="AI291" s="31">
        <f t="shared" ca="1" si="88"/>
        <v>34</v>
      </c>
      <c r="AJ291" s="31">
        <f t="shared" ca="1" si="89"/>
        <v>109</v>
      </c>
      <c r="AK291" s="31">
        <f t="shared" ca="1" si="90"/>
        <v>13</v>
      </c>
      <c r="AL291" s="31">
        <f t="shared" ca="1" si="91"/>
        <v>17</v>
      </c>
      <c r="AM291" s="31">
        <f t="shared" ca="1" si="92"/>
        <v>4</v>
      </c>
    </row>
    <row r="292" spans="14:39">
      <c r="N292" s="26">
        <v>284</v>
      </c>
      <c r="O292" s="30">
        <f t="shared" ca="1" si="96"/>
        <v>5.2939690766018268</v>
      </c>
      <c r="P292" s="30">
        <f t="shared" ca="1" si="96"/>
        <v>4.0937925963089414</v>
      </c>
      <c r="Q292" s="30">
        <f t="shared" ca="1" si="96"/>
        <v>20.918435894332234</v>
      </c>
      <c r="R292" s="30">
        <f t="shared" ca="1" si="96"/>
        <v>9.7680511544922179</v>
      </c>
      <c r="S292" s="30">
        <f t="shared" ca="1" si="96"/>
        <v>22.925486533694304</v>
      </c>
      <c r="T292" s="30">
        <f t="shared" ca="1" si="96"/>
        <v>8.7207548949523392</v>
      </c>
      <c r="U292" s="30">
        <f t="shared" ca="1" si="96"/>
        <v>18.292672190614095</v>
      </c>
      <c r="V292" s="30">
        <f t="shared" ca="1" si="96"/>
        <v>28.474286027361927</v>
      </c>
      <c r="W292" s="30">
        <f t="shared" ca="1" si="96"/>
        <v>32.707443578690317</v>
      </c>
      <c r="X292" s="30">
        <f t="shared" ca="1" si="96"/>
        <v>8.3294765130489878</v>
      </c>
      <c r="Y292" s="30">
        <f t="shared" ca="1" si="96"/>
        <v>10.302603668789917</v>
      </c>
      <c r="Z292" s="30">
        <f t="shared" ca="1" si="96"/>
        <v>27.977368373107662</v>
      </c>
      <c r="AA292" s="26">
        <v>284</v>
      </c>
      <c r="AB292" s="31">
        <f t="shared" ca="1" si="93"/>
        <v>6</v>
      </c>
      <c r="AC292" s="31">
        <f t="shared" ca="1" si="82"/>
        <v>5</v>
      </c>
      <c r="AD292" s="31">
        <f t="shared" ca="1" si="83"/>
        <v>33</v>
      </c>
      <c r="AE292" s="31">
        <f t="shared" ca="1" si="84"/>
        <v>12</v>
      </c>
      <c r="AF292" s="31">
        <f t="shared" ca="1" si="85"/>
        <v>39</v>
      </c>
      <c r="AG292" s="31">
        <f t="shared" ca="1" si="86"/>
        <v>10</v>
      </c>
      <c r="AH292" s="31">
        <f t="shared" ca="1" si="87"/>
        <v>27</v>
      </c>
      <c r="AI292" s="31">
        <f t="shared" ca="1" si="88"/>
        <v>64</v>
      </c>
      <c r="AJ292" s="31">
        <f t="shared" ca="1" si="89"/>
        <v>131</v>
      </c>
      <c r="AK292" s="31">
        <f t="shared" ca="1" si="90"/>
        <v>10</v>
      </c>
      <c r="AL292" s="31">
        <f t="shared" ca="1" si="91"/>
        <v>13</v>
      </c>
      <c r="AM292" s="31">
        <f t="shared" ca="1" si="92"/>
        <v>61</v>
      </c>
    </row>
    <row r="293" spans="14:39">
      <c r="N293" s="26">
        <v>285</v>
      </c>
      <c r="O293" s="30">
        <f t="shared" ca="1" si="96"/>
        <v>16.668056615325451</v>
      </c>
      <c r="P293" s="30">
        <f t="shared" ca="1" si="96"/>
        <v>21.070691463600895</v>
      </c>
      <c r="Q293" s="30">
        <f t="shared" ca="1" si="96"/>
        <v>15.824047883858576</v>
      </c>
      <c r="R293" s="30">
        <f t="shared" ca="1" si="96"/>
        <v>0.36470485609292536</v>
      </c>
      <c r="S293" s="30">
        <f t="shared" ca="1" si="96"/>
        <v>9.0660974248294437</v>
      </c>
      <c r="T293" s="30">
        <f t="shared" ca="1" si="96"/>
        <v>26.162011824303253</v>
      </c>
      <c r="U293" s="30">
        <f t="shared" ca="1" si="96"/>
        <v>11.067080515249323</v>
      </c>
      <c r="V293" s="30">
        <f t="shared" ca="1" si="96"/>
        <v>12.497468790828901</v>
      </c>
      <c r="W293" s="30">
        <f t="shared" ca="1" si="96"/>
        <v>23.372560611239145</v>
      </c>
      <c r="X293" s="30">
        <f t="shared" ca="1" si="96"/>
        <v>8.1190239864343425</v>
      </c>
      <c r="Y293" s="30">
        <f t="shared" ca="1" si="96"/>
        <v>2.0927981654090861</v>
      </c>
      <c r="Z293" s="30">
        <f t="shared" ca="1" si="96"/>
        <v>29.728678607057745</v>
      </c>
      <c r="AA293" s="26">
        <v>285</v>
      </c>
      <c r="AB293" s="31">
        <f t="shared" ca="1" si="93"/>
        <v>23</v>
      </c>
      <c r="AC293" s="31">
        <f t="shared" ca="1" si="82"/>
        <v>33</v>
      </c>
      <c r="AD293" s="31">
        <f t="shared" ca="1" si="83"/>
        <v>22</v>
      </c>
      <c r="AE293" s="31">
        <f t="shared" ca="1" si="84"/>
        <v>1</v>
      </c>
      <c r="AF293" s="31">
        <f t="shared" ca="1" si="85"/>
        <v>11</v>
      </c>
      <c r="AG293" s="31">
        <f t="shared" ca="1" si="86"/>
        <v>51</v>
      </c>
      <c r="AH293" s="31">
        <f t="shared" ca="1" si="87"/>
        <v>14</v>
      </c>
      <c r="AI293" s="31">
        <f t="shared" ca="1" si="88"/>
        <v>16</v>
      </c>
      <c r="AJ293" s="31">
        <f t="shared" ca="1" si="89"/>
        <v>40</v>
      </c>
      <c r="AK293" s="31">
        <f t="shared" ca="1" si="90"/>
        <v>10</v>
      </c>
      <c r="AL293" s="31">
        <f t="shared" ca="1" si="91"/>
        <v>3</v>
      </c>
      <c r="AM293" s="31">
        <f t="shared" ca="1" si="92"/>
        <v>74</v>
      </c>
    </row>
    <row r="294" spans="14:39">
      <c r="N294" s="26">
        <v>286</v>
      </c>
      <c r="O294" s="30">
        <f t="shared" ca="1" si="96"/>
        <v>8.835132820580192</v>
      </c>
      <c r="P294" s="30">
        <f t="shared" ca="1" si="96"/>
        <v>28.448779361165585</v>
      </c>
      <c r="Q294" s="30">
        <f t="shared" ca="1" si="96"/>
        <v>27.599967542682567</v>
      </c>
      <c r="R294" s="30">
        <f t="shared" ca="1" si="96"/>
        <v>13.663487369502773</v>
      </c>
      <c r="S294" s="30">
        <f t="shared" ca="1" si="96"/>
        <v>9.2343340827431977</v>
      </c>
      <c r="T294" s="30">
        <f t="shared" ca="1" si="96"/>
        <v>24.800573142819498</v>
      </c>
      <c r="U294" s="30">
        <f t="shared" ca="1" si="96"/>
        <v>29.799805501360606</v>
      </c>
      <c r="V294" s="30">
        <f t="shared" ca="1" si="96"/>
        <v>25.880900901870604</v>
      </c>
      <c r="W294" s="30">
        <f t="shared" ca="1" si="96"/>
        <v>12.971155639424348</v>
      </c>
      <c r="X294" s="30">
        <f t="shared" ca="1" si="96"/>
        <v>7.4739720731761254</v>
      </c>
      <c r="Y294" s="30">
        <f t="shared" ca="1" si="96"/>
        <v>22.989682792069758</v>
      </c>
      <c r="Z294" s="30">
        <f t="shared" ca="1" si="96"/>
        <v>16.182500949090272</v>
      </c>
      <c r="AA294" s="26">
        <v>286</v>
      </c>
      <c r="AB294" s="31">
        <f t="shared" ca="1" si="93"/>
        <v>11</v>
      </c>
      <c r="AC294" s="31">
        <f t="shared" ca="1" si="82"/>
        <v>64</v>
      </c>
      <c r="AD294" s="31">
        <f t="shared" ca="1" si="83"/>
        <v>58</v>
      </c>
      <c r="AE294" s="31">
        <f t="shared" ca="1" si="84"/>
        <v>18</v>
      </c>
      <c r="AF294" s="31">
        <f t="shared" ca="1" si="85"/>
        <v>11</v>
      </c>
      <c r="AG294" s="31">
        <f t="shared" ca="1" si="86"/>
        <v>45</v>
      </c>
      <c r="AH294" s="31">
        <f t="shared" ca="1" si="87"/>
        <v>74</v>
      </c>
      <c r="AI294" s="31">
        <f t="shared" ca="1" si="88"/>
        <v>50</v>
      </c>
      <c r="AJ294" s="31">
        <f t="shared" ca="1" si="89"/>
        <v>17</v>
      </c>
      <c r="AK294" s="31">
        <f t="shared" ca="1" si="90"/>
        <v>9</v>
      </c>
      <c r="AL294" s="31">
        <f t="shared" ca="1" si="91"/>
        <v>39</v>
      </c>
      <c r="AM294" s="31">
        <f t="shared" ca="1" si="92"/>
        <v>22</v>
      </c>
    </row>
    <row r="295" spans="14:39">
      <c r="N295" s="26">
        <v>287</v>
      </c>
      <c r="O295" s="30">
        <f t="shared" ca="1" si="96"/>
        <v>9.4673079523903318</v>
      </c>
      <c r="P295" s="30">
        <f t="shared" ca="1" si="96"/>
        <v>21.3368453068916</v>
      </c>
      <c r="Q295" s="30">
        <f t="shared" ca="1" si="96"/>
        <v>4.6616285416260022</v>
      </c>
      <c r="R295" s="30">
        <f t="shared" ca="1" si="96"/>
        <v>21.105146854192629</v>
      </c>
      <c r="S295" s="30">
        <f t="shared" ca="1" si="96"/>
        <v>6.9587221014316079</v>
      </c>
      <c r="T295" s="30">
        <f t="shared" ca="1" si="96"/>
        <v>30.145682629771112</v>
      </c>
      <c r="U295" s="30">
        <f t="shared" ca="1" si="96"/>
        <v>27.377462803189683</v>
      </c>
      <c r="V295" s="30">
        <f t="shared" ca="1" si="96"/>
        <v>21.283204647236037</v>
      </c>
      <c r="W295" s="30">
        <f t="shared" ca="1" si="96"/>
        <v>17.995586794287092</v>
      </c>
      <c r="X295" s="30">
        <f t="shared" ca="1" si="96"/>
        <v>27.327192814635872</v>
      </c>
      <c r="Y295" s="30">
        <f t="shared" ca="1" si="96"/>
        <v>25.401751685027371</v>
      </c>
      <c r="Z295" s="30">
        <f t="shared" ca="1" si="96"/>
        <v>25.51689754803758</v>
      </c>
      <c r="AA295" s="26">
        <v>287</v>
      </c>
      <c r="AB295" s="31">
        <f t="shared" ca="1" si="93"/>
        <v>11</v>
      </c>
      <c r="AC295" s="31">
        <f t="shared" ca="1" si="82"/>
        <v>34</v>
      </c>
      <c r="AD295" s="31">
        <f t="shared" ca="1" si="83"/>
        <v>5</v>
      </c>
      <c r="AE295" s="31">
        <f t="shared" ca="1" si="84"/>
        <v>33</v>
      </c>
      <c r="AF295" s="31">
        <f t="shared" ca="1" si="85"/>
        <v>8</v>
      </c>
      <c r="AG295" s="31">
        <f t="shared" ca="1" si="86"/>
        <v>78</v>
      </c>
      <c r="AH295" s="31">
        <f t="shared" ca="1" si="87"/>
        <v>57</v>
      </c>
      <c r="AI295" s="31">
        <f t="shared" ca="1" si="88"/>
        <v>34</v>
      </c>
      <c r="AJ295" s="31">
        <f t="shared" ca="1" si="89"/>
        <v>26</v>
      </c>
      <c r="AK295" s="31">
        <f t="shared" ca="1" si="90"/>
        <v>57</v>
      </c>
      <c r="AL295" s="31">
        <f t="shared" ca="1" si="91"/>
        <v>48</v>
      </c>
      <c r="AM295" s="31">
        <f t="shared" ca="1" si="92"/>
        <v>48</v>
      </c>
    </row>
    <row r="296" spans="14:39">
      <c r="N296" s="26">
        <v>288</v>
      </c>
      <c r="O296" s="30">
        <f t="shared" ca="1" si="96"/>
        <v>31.681274621717737</v>
      </c>
      <c r="P296" s="30">
        <f t="shared" ca="1" si="96"/>
        <v>20.705492130477229</v>
      </c>
      <c r="Q296" s="30">
        <f t="shared" ca="1" si="96"/>
        <v>16.061213064269452</v>
      </c>
      <c r="R296" s="30">
        <f t="shared" ca="1" si="96"/>
        <v>7.7346645363321658</v>
      </c>
      <c r="S296" s="30">
        <f t="shared" ca="1" si="96"/>
        <v>18.966826359421145</v>
      </c>
      <c r="T296" s="30">
        <f t="shared" ca="1" si="96"/>
        <v>17.814289356053067</v>
      </c>
      <c r="U296" s="30">
        <f t="shared" ca="1" si="96"/>
        <v>29.777704191815467</v>
      </c>
      <c r="V296" s="30">
        <f t="shared" ca="1" si="96"/>
        <v>26.863677473625195</v>
      </c>
      <c r="W296" s="30">
        <f t="shared" ca="1" si="96"/>
        <v>10.392066981838957</v>
      </c>
      <c r="X296" s="30">
        <f t="shared" ca="1" si="96"/>
        <v>12.629416679926372</v>
      </c>
      <c r="Y296" s="30">
        <f t="shared" ca="1" si="96"/>
        <v>16.572565510892357</v>
      </c>
      <c r="Z296" s="30">
        <f t="shared" ca="1" si="96"/>
        <v>23.213728280873642</v>
      </c>
      <c r="AA296" s="26">
        <v>288</v>
      </c>
      <c r="AB296" s="31">
        <f t="shared" ca="1" si="93"/>
        <v>99</v>
      </c>
      <c r="AC296" s="31">
        <f t="shared" ca="1" si="82"/>
        <v>32</v>
      </c>
      <c r="AD296" s="31">
        <f t="shared" ca="1" si="83"/>
        <v>22</v>
      </c>
      <c r="AE296" s="31">
        <f t="shared" ca="1" si="84"/>
        <v>9</v>
      </c>
      <c r="AF296" s="31">
        <f t="shared" ca="1" si="85"/>
        <v>28</v>
      </c>
      <c r="AG296" s="31">
        <f t="shared" ca="1" si="86"/>
        <v>26</v>
      </c>
      <c r="AH296" s="31">
        <f t="shared" ca="1" si="87"/>
        <v>74</v>
      </c>
      <c r="AI296" s="31">
        <f t="shared" ca="1" si="88"/>
        <v>54</v>
      </c>
      <c r="AJ296" s="31">
        <f t="shared" ca="1" si="89"/>
        <v>13</v>
      </c>
      <c r="AK296" s="31">
        <f t="shared" ca="1" si="90"/>
        <v>16</v>
      </c>
      <c r="AL296" s="31">
        <f t="shared" ca="1" si="91"/>
        <v>23</v>
      </c>
      <c r="AM296" s="31">
        <f t="shared" ca="1" si="92"/>
        <v>40</v>
      </c>
    </row>
    <row r="297" spans="14:39">
      <c r="N297" s="26">
        <v>289</v>
      </c>
      <c r="O297" s="30">
        <f t="shared" ca="1" si="96"/>
        <v>3.889840698835664</v>
      </c>
      <c r="P297" s="30">
        <f t="shared" ca="1" si="96"/>
        <v>27.122973140486316</v>
      </c>
      <c r="Q297" s="30">
        <f t="shared" ca="1" si="96"/>
        <v>15.550648660019711</v>
      </c>
      <c r="R297" s="30">
        <f t="shared" ca="1" si="96"/>
        <v>29.632619999510361</v>
      </c>
      <c r="S297" s="30">
        <f t="shared" ca="1" si="96"/>
        <v>15.484519438573036</v>
      </c>
      <c r="T297" s="30">
        <f t="shared" ca="1" si="96"/>
        <v>28.845771834286992</v>
      </c>
      <c r="U297" s="30">
        <f t="shared" ca="1" si="96"/>
        <v>18.191094178581402</v>
      </c>
      <c r="V297" s="30">
        <f t="shared" ca="1" si="96"/>
        <v>1.8409633781902861</v>
      </c>
      <c r="W297" s="30">
        <f t="shared" ca="1" si="96"/>
        <v>3.3840359086741971</v>
      </c>
      <c r="X297" s="30">
        <f t="shared" ca="1" si="96"/>
        <v>29.717151806141899</v>
      </c>
      <c r="Y297" s="30">
        <f t="shared" ca="1" si="96"/>
        <v>2.9906396662472536</v>
      </c>
      <c r="Z297" s="30">
        <f t="shared" ca="1" si="96"/>
        <v>1.8741633333482575</v>
      </c>
      <c r="AA297" s="26">
        <v>289</v>
      </c>
      <c r="AB297" s="31">
        <f t="shared" ca="1" si="93"/>
        <v>5</v>
      </c>
      <c r="AC297" s="31">
        <f t="shared" ca="1" si="82"/>
        <v>56</v>
      </c>
      <c r="AD297" s="31">
        <f t="shared" ca="1" si="83"/>
        <v>21</v>
      </c>
      <c r="AE297" s="31">
        <f t="shared" ca="1" si="84"/>
        <v>73</v>
      </c>
      <c r="AF297" s="31">
        <f t="shared" ca="1" si="85"/>
        <v>21</v>
      </c>
      <c r="AG297" s="31">
        <f t="shared" ca="1" si="86"/>
        <v>66</v>
      </c>
      <c r="AH297" s="31">
        <f t="shared" ca="1" si="87"/>
        <v>26</v>
      </c>
      <c r="AI297" s="31">
        <f t="shared" ca="1" si="88"/>
        <v>2</v>
      </c>
      <c r="AJ297" s="31">
        <f t="shared" ca="1" si="89"/>
        <v>4</v>
      </c>
      <c r="AK297" s="31">
        <f t="shared" ca="1" si="90"/>
        <v>73</v>
      </c>
      <c r="AL297" s="31">
        <f t="shared" ca="1" si="91"/>
        <v>4</v>
      </c>
      <c r="AM297" s="31">
        <f t="shared" ca="1" si="92"/>
        <v>2</v>
      </c>
    </row>
    <row r="298" spans="14:39">
      <c r="N298" s="26">
        <v>290</v>
      </c>
      <c r="O298" s="30">
        <f t="shared" ca="1" si="96"/>
        <v>16.503113354397652</v>
      </c>
      <c r="P298" s="30">
        <f t="shared" ca="1" si="96"/>
        <v>30.532224528871438</v>
      </c>
      <c r="Q298" s="30">
        <f t="shared" ca="1" si="96"/>
        <v>30.5476971176749</v>
      </c>
      <c r="R298" s="30">
        <f t="shared" ca="1" si="96"/>
        <v>27.548859893861998</v>
      </c>
      <c r="S298" s="30">
        <f t="shared" ca="1" si="96"/>
        <v>5.23827757248546</v>
      </c>
      <c r="T298" s="30">
        <f t="shared" ca="1" si="96"/>
        <v>32.112499172708347</v>
      </c>
      <c r="U298" s="30">
        <f t="shared" ca="1" si="96"/>
        <v>0.99048999721184416</v>
      </c>
      <c r="V298" s="30">
        <f t="shared" ca="1" si="96"/>
        <v>32.117172450182586</v>
      </c>
      <c r="W298" s="30">
        <f t="shared" ca="1" si="96"/>
        <v>7.5733869546514878</v>
      </c>
      <c r="X298" s="30">
        <f t="shared" ca="1" si="96"/>
        <v>21.591992090427162</v>
      </c>
      <c r="Y298" s="30">
        <f t="shared" ca="1" si="96"/>
        <v>11.03843940099857</v>
      </c>
      <c r="Z298" s="30">
        <f t="shared" ca="1" si="96"/>
        <v>14.495164518521852</v>
      </c>
      <c r="AA298" s="26">
        <v>290</v>
      </c>
      <c r="AB298" s="31">
        <f t="shared" ca="1" si="93"/>
        <v>23</v>
      </c>
      <c r="AC298" s="31">
        <f t="shared" ca="1" si="82"/>
        <v>82</v>
      </c>
      <c r="AD298" s="31">
        <f t="shared" ca="1" si="83"/>
        <v>82</v>
      </c>
      <c r="AE298" s="31">
        <f t="shared" ca="1" si="84"/>
        <v>58</v>
      </c>
      <c r="AF298" s="31">
        <f t="shared" ca="1" si="85"/>
        <v>6</v>
      </c>
      <c r="AG298" s="31">
        <f t="shared" ca="1" si="86"/>
        <v>109</v>
      </c>
      <c r="AH298" s="31">
        <f t="shared" ca="1" si="87"/>
        <v>1</v>
      </c>
      <c r="AI298" s="31">
        <f t="shared" ca="1" si="88"/>
        <v>109</v>
      </c>
      <c r="AJ298" s="31">
        <f t="shared" ca="1" si="89"/>
        <v>9</v>
      </c>
      <c r="AK298" s="31">
        <f t="shared" ca="1" si="90"/>
        <v>35</v>
      </c>
      <c r="AL298" s="31">
        <f t="shared" ca="1" si="91"/>
        <v>14</v>
      </c>
      <c r="AM298" s="31">
        <f t="shared" ca="1" si="92"/>
        <v>19</v>
      </c>
    </row>
    <row r="299" spans="14:39">
      <c r="N299" s="26">
        <v>291</v>
      </c>
      <c r="O299" s="30">
        <f t="shared" ref="O299:Z308" ca="1" si="97">RAND()*sumweights</f>
        <v>6.2409112793633694</v>
      </c>
      <c r="P299" s="30">
        <f t="shared" ca="1" si="97"/>
        <v>5.4574998708292961</v>
      </c>
      <c r="Q299" s="30">
        <f t="shared" ca="1" si="97"/>
        <v>26.969182223522697</v>
      </c>
      <c r="R299" s="30">
        <f t="shared" ca="1" si="97"/>
        <v>0.30722942697386718</v>
      </c>
      <c r="S299" s="30">
        <f t="shared" ca="1" si="97"/>
        <v>1.5027430355171194</v>
      </c>
      <c r="T299" s="30">
        <f t="shared" ca="1" si="97"/>
        <v>2.8673353600631861</v>
      </c>
      <c r="U299" s="30">
        <f t="shared" ca="1" si="97"/>
        <v>16.691493992521423</v>
      </c>
      <c r="V299" s="30">
        <f t="shared" ca="1" si="97"/>
        <v>10.34674890669474</v>
      </c>
      <c r="W299" s="30">
        <f t="shared" ca="1" si="97"/>
        <v>5.3862487195991973</v>
      </c>
      <c r="X299" s="30">
        <f t="shared" ca="1" si="97"/>
        <v>1.0496391933280969</v>
      </c>
      <c r="Y299" s="30">
        <f t="shared" ca="1" si="97"/>
        <v>11.907086266262079</v>
      </c>
      <c r="Z299" s="30">
        <f t="shared" ca="1" si="97"/>
        <v>28.765251370779538</v>
      </c>
      <c r="AA299" s="26">
        <v>291</v>
      </c>
      <c r="AB299" s="31">
        <f t="shared" ca="1" si="93"/>
        <v>7</v>
      </c>
      <c r="AC299" s="31">
        <f t="shared" ca="1" si="82"/>
        <v>6</v>
      </c>
      <c r="AD299" s="31">
        <f t="shared" ca="1" si="83"/>
        <v>55</v>
      </c>
      <c r="AE299" s="31">
        <f t="shared" ca="1" si="84"/>
        <v>1</v>
      </c>
      <c r="AF299" s="31">
        <f t="shared" ca="1" si="85"/>
        <v>2</v>
      </c>
      <c r="AG299" s="31">
        <f t="shared" ca="1" si="86"/>
        <v>3</v>
      </c>
      <c r="AH299" s="31">
        <f t="shared" ca="1" si="87"/>
        <v>23</v>
      </c>
      <c r="AI299" s="31">
        <f t="shared" ca="1" si="88"/>
        <v>13</v>
      </c>
      <c r="AJ299" s="31">
        <f t="shared" ca="1" si="89"/>
        <v>6</v>
      </c>
      <c r="AK299" s="31">
        <f t="shared" ca="1" si="90"/>
        <v>2</v>
      </c>
      <c r="AL299" s="31">
        <f t="shared" ca="1" si="91"/>
        <v>15</v>
      </c>
      <c r="AM299" s="31">
        <f t="shared" ca="1" si="92"/>
        <v>66</v>
      </c>
    </row>
    <row r="300" spans="14:39">
      <c r="N300" s="26">
        <v>292</v>
      </c>
      <c r="O300" s="30">
        <f t="shared" ca="1" si="97"/>
        <v>16.333692948678511</v>
      </c>
      <c r="P300" s="30">
        <f t="shared" ca="1" si="97"/>
        <v>13.081646664768021</v>
      </c>
      <c r="Q300" s="30">
        <f t="shared" ca="1" si="97"/>
        <v>14.963953036615797</v>
      </c>
      <c r="R300" s="30">
        <f t="shared" ca="1" si="97"/>
        <v>27.096802054384884</v>
      </c>
      <c r="S300" s="30">
        <f t="shared" ca="1" si="97"/>
        <v>12.610045295214027</v>
      </c>
      <c r="T300" s="30">
        <f t="shared" ca="1" si="97"/>
        <v>9.2538225588853091</v>
      </c>
      <c r="U300" s="30">
        <f t="shared" ca="1" si="97"/>
        <v>23.582583810127293</v>
      </c>
      <c r="V300" s="30">
        <f t="shared" ca="1" si="97"/>
        <v>21.796574143171217</v>
      </c>
      <c r="W300" s="30">
        <f t="shared" ca="1" si="97"/>
        <v>1.2035872145625881</v>
      </c>
      <c r="X300" s="30">
        <f t="shared" ca="1" si="97"/>
        <v>13.869878997400694</v>
      </c>
      <c r="Y300" s="30">
        <f t="shared" ca="1" si="97"/>
        <v>25.135232678351013</v>
      </c>
      <c r="Z300" s="30">
        <f t="shared" ca="1" si="97"/>
        <v>4.9385399659590838</v>
      </c>
      <c r="AA300" s="26">
        <v>292</v>
      </c>
      <c r="AB300" s="31">
        <f t="shared" ca="1" si="93"/>
        <v>23</v>
      </c>
      <c r="AC300" s="31">
        <f t="shared" ca="1" si="82"/>
        <v>17</v>
      </c>
      <c r="AD300" s="31">
        <f t="shared" ca="1" si="83"/>
        <v>20</v>
      </c>
      <c r="AE300" s="31">
        <f t="shared" ca="1" si="84"/>
        <v>56</v>
      </c>
      <c r="AF300" s="31">
        <f t="shared" ca="1" si="85"/>
        <v>16</v>
      </c>
      <c r="AG300" s="31">
        <f t="shared" ca="1" si="86"/>
        <v>11</v>
      </c>
      <c r="AH300" s="31">
        <f t="shared" ca="1" si="87"/>
        <v>41</v>
      </c>
      <c r="AI300" s="31">
        <f t="shared" ca="1" si="88"/>
        <v>35</v>
      </c>
      <c r="AJ300" s="31">
        <f t="shared" ca="1" si="89"/>
        <v>2</v>
      </c>
      <c r="AK300" s="31">
        <f t="shared" ca="1" si="90"/>
        <v>18</v>
      </c>
      <c r="AL300" s="31">
        <f t="shared" ca="1" si="91"/>
        <v>47</v>
      </c>
      <c r="AM300" s="31">
        <f t="shared" ca="1" si="92"/>
        <v>6</v>
      </c>
    </row>
    <row r="301" spans="14:39">
      <c r="N301" s="26">
        <v>293</v>
      </c>
      <c r="O301" s="30">
        <f t="shared" ca="1" si="97"/>
        <v>28.202927223968484</v>
      </c>
      <c r="P301" s="30">
        <f t="shared" ca="1" si="97"/>
        <v>30.986091929300386</v>
      </c>
      <c r="Q301" s="30">
        <f t="shared" ca="1" si="97"/>
        <v>8.0568544795136301</v>
      </c>
      <c r="R301" s="30">
        <f t="shared" ca="1" si="97"/>
        <v>30.833179832343902</v>
      </c>
      <c r="S301" s="30">
        <f t="shared" ca="1" si="97"/>
        <v>32.191177529760388</v>
      </c>
      <c r="T301" s="30">
        <f t="shared" ca="1" si="97"/>
        <v>12.055050224285111</v>
      </c>
      <c r="U301" s="30">
        <f t="shared" ca="1" si="97"/>
        <v>7.5910732594117203</v>
      </c>
      <c r="V301" s="30">
        <f t="shared" ca="1" si="97"/>
        <v>31.115689280032949</v>
      </c>
      <c r="W301" s="30">
        <f t="shared" ca="1" si="97"/>
        <v>29.21435434429813</v>
      </c>
      <c r="X301" s="30">
        <f t="shared" ca="1" si="97"/>
        <v>13.887972223988841</v>
      </c>
      <c r="Y301" s="30">
        <f t="shared" ca="1" si="97"/>
        <v>17.039177631336926</v>
      </c>
      <c r="Z301" s="30">
        <f t="shared" ca="1" si="97"/>
        <v>16.946733294517792</v>
      </c>
      <c r="AA301" s="26">
        <v>293</v>
      </c>
      <c r="AB301" s="31">
        <f t="shared" ca="1" si="93"/>
        <v>62</v>
      </c>
      <c r="AC301" s="31">
        <f t="shared" ca="1" si="82"/>
        <v>88</v>
      </c>
      <c r="AD301" s="31">
        <f t="shared" ca="1" si="83"/>
        <v>10</v>
      </c>
      <c r="AE301" s="31">
        <f t="shared" ca="1" si="84"/>
        <v>86</v>
      </c>
      <c r="AF301" s="31">
        <f t="shared" ca="1" si="85"/>
        <v>111</v>
      </c>
      <c r="AG301" s="31">
        <f t="shared" ca="1" si="86"/>
        <v>15</v>
      </c>
      <c r="AH301" s="31">
        <f t="shared" ca="1" si="87"/>
        <v>9</v>
      </c>
      <c r="AI301" s="31">
        <f t="shared" ca="1" si="88"/>
        <v>89</v>
      </c>
      <c r="AJ301" s="31">
        <f t="shared" ca="1" si="89"/>
        <v>69</v>
      </c>
      <c r="AK301" s="31">
        <f t="shared" ca="1" si="90"/>
        <v>18</v>
      </c>
      <c r="AL301" s="31">
        <f t="shared" ca="1" si="91"/>
        <v>24</v>
      </c>
      <c r="AM301" s="31">
        <f t="shared" ca="1" si="92"/>
        <v>24</v>
      </c>
    </row>
    <row r="302" spans="14:39">
      <c r="N302" s="26">
        <v>294</v>
      </c>
      <c r="O302" s="30">
        <f t="shared" ca="1" si="97"/>
        <v>25.988122585722909</v>
      </c>
      <c r="P302" s="30">
        <f t="shared" ca="1" si="97"/>
        <v>21.537469148667512</v>
      </c>
      <c r="Q302" s="30">
        <f t="shared" ca="1" si="97"/>
        <v>14.473794069735</v>
      </c>
      <c r="R302" s="30">
        <f t="shared" ca="1" si="97"/>
        <v>14.024646757533482</v>
      </c>
      <c r="S302" s="30">
        <f t="shared" ca="1" si="97"/>
        <v>1.3193902792960432</v>
      </c>
      <c r="T302" s="30">
        <f t="shared" ca="1" si="97"/>
        <v>19.774688130186185</v>
      </c>
      <c r="U302" s="30">
        <f t="shared" ca="1" si="97"/>
        <v>25.594094124445398</v>
      </c>
      <c r="V302" s="30">
        <f t="shared" ca="1" si="97"/>
        <v>21.331815387165292</v>
      </c>
      <c r="W302" s="30">
        <f t="shared" ca="1" si="97"/>
        <v>14.93788507116575</v>
      </c>
      <c r="X302" s="30">
        <f t="shared" ca="1" si="97"/>
        <v>32.34831177837863</v>
      </c>
      <c r="Y302" s="30">
        <f t="shared" ca="1" si="97"/>
        <v>26.413133703897874</v>
      </c>
      <c r="Z302" s="30">
        <f t="shared" ca="1" si="97"/>
        <v>18.294543081573554</v>
      </c>
      <c r="AA302" s="26">
        <v>294</v>
      </c>
      <c r="AB302" s="31">
        <f t="shared" ca="1" si="93"/>
        <v>50</v>
      </c>
      <c r="AC302" s="31">
        <f t="shared" ca="1" si="82"/>
        <v>35</v>
      </c>
      <c r="AD302" s="31">
        <f t="shared" ca="1" si="83"/>
        <v>19</v>
      </c>
      <c r="AE302" s="31">
        <f t="shared" ca="1" si="84"/>
        <v>18</v>
      </c>
      <c r="AF302" s="31">
        <f t="shared" ca="1" si="85"/>
        <v>2</v>
      </c>
      <c r="AG302" s="31">
        <f t="shared" ca="1" si="86"/>
        <v>30</v>
      </c>
      <c r="AH302" s="31">
        <f t="shared" ca="1" si="87"/>
        <v>48</v>
      </c>
      <c r="AI302" s="31">
        <f t="shared" ca="1" si="88"/>
        <v>34</v>
      </c>
      <c r="AJ302" s="31">
        <f t="shared" ca="1" si="89"/>
        <v>20</v>
      </c>
      <c r="AK302" s="31">
        <f t="shared" ca="1" si="90"/>
        <v>116</v>
      </c>
      <c r="AL302" s="31">
        <f t="shared" ca="1" si="91"/>
        <v>52</v>
      </c>
      <c r="AM302" s="31">
        <f t="shared" ca="1" si="92"/>
        <v>27</v>
      </c>
    </row>
    <row r="303" spans="14:39">
      <c r="N303" s="26">
        <v>295</v>
      </c>
      <c r="O303" s="30">
        <f t="shared" ca="1" si="97"/>
        <v>14.602550066554855</v>
      </c>
      <c r="P303" s="30">
        <f t="shared" ca="1" si="97"/>
        <v>26.601913487504664</v>
      </c>
      <c r="Q303" s="30">
        <f t="shared" ca="1" si="97"/>
        <v>19.285914414125195</v>
      </c>
      <c r="R303" s="30">
        <f t="shared" ca="1" si="97"/>
        <v>5.4577714642863873</v>
      </c>
      <c r="S303" s="30">
        <f t="shared" ca="1" si="97"/>
        <v>4.6748844574418937</v>
      </c>
      <c r="T303" s="30">
        <f t="shared" ca="1" si="97"/>
        <v>15.618249607358807</v>
      </c>
      <c r="U303" s="30">
        <f t="shared" ca="1" si="97"/>
        <v>7.0912003100530745</v>
      </c>
      <c r="V303" s="30">
        <f t="shared" ca="1" si="97"/>
        <v>6.6708456855278282</v>
      </c>
      <c r="W303" s="30">
        <f t="shared" ca="1" si="97"/>
        <v>17.338294123998871</v>
      </c>
      <c r="X303" s="30">
        <f t="shared" ca="1" si="97"/>
        <v>24.410573209703685</v>
      </c>
      <c r="Y303" s="30">
        <f t="shared" ca="1" si="97"/>
        <v>31.927860032648677</v>
      </c>
      <c r="Z303" s="30">
        <f t="shared" ca="1" si="97"/>
        <v>18.851716514142545</v>
      </c>
      <c r="AA303" s="26">
        <v>295</v>
      </c>
      <c r="AB303" s="31">
        <f t="shared" ca="1" si="93"/>
        <v>19</v>
      </c>
      <c r="AC303" s="31">
        <f t="shared" ca="1" si="82"/>
        <v>53</v>
      </c>
      <c r="AD303" s="31">
        <f t="shared" ca="1" si="83"/>
        <v>29</v>
      </c>
      <c r="AE303" s="31">
        <f t="shared" ca="1" si="84"/>
        <v>6</v>
      </c>
      <c r="AF303" s="31">
        <f t="shared" ca="1" si="85"/>
        <v>5</v>
      </c>
      <c r="AG303" s="31">
        <f t="shared" ca="1" si="86"/>
        <v>21</v>
      </c>
      <c r="AH303" s="31">
        <f t="shared" ca="1" si="87"/>
        <v>8</v>
      </c>
      <c r="AI303" s="31">
        <f t="shared" ca="1" si="88"/>
        <v>8</v>
      </c>
      <c r="AJ303" s="31">
        <f t="shared" ca="1" si="89"/>
        <v>25</v>
      </c>
      <c r="AK303" s="31">
        <f t="shared" ca="1" si="90"/>
        <v>44</v>
      </c>
      <c r="AL303" s="31">
        <f t="shared" ca="1" si="91"/>
        <v>104</v>
      </c>
      <c r="AM303" s="31">
        <f t="shared" ca="1" si="92"/>
        <v>28</v>
      </c>
    </row>
    <row r="304" spans="14:39">
      <c r="N304" s="26">
        <v>296</v>
      </c>
      <c r="O304" s="30">
        <f t="shared" ca="1" si="97"/>
        <v>15.350180683261492</v>
      </c>
      <c r="P304" s="30">
        <f t="shared" ca="1" si="97"/>
        <v>19.756946923760282</v>
      </c>
      <c r="Q304" s="30">
        <f t="shared" ca="1" si="97"/>
        <v>3.5916611182636373</v>
      </c>
      <c r="R304" s="30">
        <f t="shared" ca="1" si="97"/>
        <v>14.286119958780301</v>
      </c>
      <c r="S304" s="30">
        <f t="shared" ca="1" si="97"/>
        <v>23.170664348345621</v>
      </c>
      <c r="T304" s="30">
        <f t="shared" ca="1" si="97"/>
        <v>27.570743569901911</v>
      </c>
      <c r="U304" s="30">
        <f t="shared" ca="1" si="97"/>
        <v>32.848263333765551</v>
      </c>
      <c r="V304" s="30">
        <f t="shared" ca="1" si="97"/>
        <v>9.1928103439350402</v>
      </c>
      <c r="W304" s="30">
        <f t="shared" ca="1" si="97"/>
        <v>13.377567949000666</v>
      </c>
      <c r="X304" s="30">
        <f t="shared" ca="1" si="97"/>
        <v>20.597939875549546</v>
      </c>
      <c r="Y304" s="30">
        <f t="shared" ca="1" si="97"/>
        <v>19.585037962217431</v>
      </c>
      <c r="Z304" s="30">
        <f t="shared" ca="1" si="97"/>
        <v>21.9748026789016</v>
      </c>
      <c r="AA304" s="26">
        <v>296</v>
      </c>
      <c r="AB304" s="31">
        <f t="shared" ca="1" si="93"/>
        <v>21</v>
      </c>
      <c r="AC304" s="31">
        <f t="shared" ca="1" si="82"/>
        <v>30</v>
      </c>
      <c r="AD304" s="31">
        <f t="shared" ca="1" si="83"/>
        <v>4</v>
      </c>
      <c r="AE304" s="31">
        <f t="shared" ca="1" si="84"/>
        <v>19</v>
      </c>
      <c r="AF304" s="31">
        <f t="shared" ca="1" si="85"/>
        <v>39</v>
      </c>
      <c r="AG304" s="31">
        <f t="shared" ca="1" si="86"/>
        <v>58</v>
      </c>
      <c r="AH304" s="31">
        <f t="shared" ca="1" si="87"/>
        <v>139</v>
      </c>
      <c r="AI304" s="31">
        <f t="shared" ca="1" si="88"/>
        <v>11</v>
      </c>
      <c r="AJ304" s="31">
        <f t="shared" ca="1" si="89"/>
        <v>17</v>
      </c>
      <c r="AK304" s="31">
        <f t="shared" ca="1" si="90"/>
        <v>32</v>
      </c>
      <c r="AL304" s="31">
        <f t="shared" ca="1" si="91"/>
        <v>30</v>
      </c>
      <c r="AM304" s="31">
        <f t="shared" ca="1" si="92"/>
        <v>36</v>
      </c>
    </row>
    <row r="305" spans="14:39">
      <c r="N305" s="26">
        <v>297</v>
      </c>
      <c r="O305" s="30">
        <f t="shared" ca="1" si="97"/>
        <v>30.669805740473098</v>
      </c>
      <c r="P305" s="30">
        <f t="shared" ca="1" si="97"/>
        <v>19.319685811280838</v>
      </c>
      <c r="Q305" s="30">
        <f t="shared" ca="1" si="97"/>
        <v>31.544202760479621</v>
      </c>
      <c r="R305" s="30">
        <f t="shared" ca="1" si="97"/>
        <v>21.584192581565386</v>
      </c>
      <c r="S305" s="30">
        <f t="shared" ca="1" si="97"/>
        <v>31.754678809230871</v>
      </c>
      <c r="T305" s="30">
        <f t="shared" ca="1" si="97"/>
        <v>26.616620430488773</v>
      </c>
      <c r="U305" s="30">
        <f t="shared" ca="1" si="97"/>
        <v>24.373156141458075</v>
      </c>
      <c r="V305" s="30">
        <f t="shared" ca="1" si="97"/>
        <v>3.7140328615690867</v>
      </c>
      <c r="W305" s="30">
        <f t="shared" ca="1" si="97"/>
        <v>4.4488049534386249</v>
      </c>
      <c r="X305" s="30">
        <f t="shared" ca="1" si="97"/>
        <v>13.803745354346272</v>
      </c>
      <c r="Y305" s="30">
        <f t="shared" ca="1" si="97"/>
        <v>2.5946645030060176</v>
      </c>
      <c r="Z305" s="30">
        <f t="shared" ca="1" si="97"/>
        <v>28.954376518444313</v>
      </c>
      <c r="AA305" s="26">
        <v>297</v>
      </c>
      <c r="AB305" s="31">
        <f t="shared" ca="1" si="93"/>
        <v>83</v>
      </c>
      <c r="AC305" s="31">
        <f t="shared" ca="1" si="82"/>
        <v>29</v>
      </c>
      <c r="AD305" s="31">
        <f t="shared" ca="1" si="83"/>
        <v>97</v>
      </c>
      <c r="AE305" s="31">
        <f t="shared" ca="1" si="84"/>
        <v>35</v>
      </c>
      <c r="AF305" s="31">
        <f t="shared" ca="1" si="85"/>
        <v>101</v>
      </c>
      <c r="AG305" s="31">
        <f t="shared" ca="1" si="86"/>
        <v>53</v>
      </c>
      <c r="AH305" s="31">
        <f t="shared" ca="1" si="87"/>
        <v>44</v>
      </c>
      <c r="AI305" s="31">
        <f t="shared" ca="1" si="88"/>
        <v>4</v>
      </c>
      <c r="AJ305" s="31">
        <f t="shared" ca="1" si="89"/>
        <v>5</v>
      </c>
      <c r="AK305" s="31">
        <f t="shared" ca="1" si="90"/>
        <v>18</v>
      </c>
      <c r="AL305" s="31">
        <f t="shared" ca="1" si="91"/>
        <v>3</v>
      </c>
      <c r="AM305" s="31">
        <f t="shared" ca="1" si="92"/>
        <v>67</v>
      </c>
    </row>
    <row r="306" spans="14:39">
      <c r="N306" s="26">
        <v>298</v>
      </c>
      <c r="O306" s="30">
        <f t="shared" ca="1" si="97"/>
        <v>29.292918485000609</v>
      </c>
      <c r="P306" s="30">
        <f t="shared" ca="1" si="97"/>
        <v>32.336196926507114</v>
      </c>
      <c r="Q306" s="30">
        <f t="shared" ca="1" si="97"/>
        <v>7.4402630257890952</v>
      </c>
      <c r="R306" s="30">
        <f t="shared" ca="1" si="97"/>
        <v>21.63886018292634</v>
      </c>
      <c r="S306" s="30">
        <f t="shared" ca="1" si="97"/>
        <v>15.183209753367422</v>
      </c>
      <c r="T306" s="30">
        <f t="shared" ca="1" si="97"/>
        <v>22.202756553780933</v>
      </c>
      <c r="U306" s="30">
        <f t="shared" ca="1" si="97"/>
        <v>19.800397432029285</v>
      </c>
      <c r="V306" s="30">
        <f t="shared" ca="1" si="97"/>
        <v>24.954756856902399</v>
      </c>
      <c r="W306" s="30">
        <f t="shared" ca="1" si="97"/>
        <v>20.204928535918061</v>
      </c>
      <c r="X306" s="30">
        <f t="shared" ca="1" si="97"/>
        <v>9.8768573652916931</v>
      </c>
      <c r="Y306" s="30">
        <f t="shared" ca="1" si="97"/>
        <v>4.842689683875661</v>
      </c>
      <c r="Z306" s="30">
        <f t="shared" ca="1" si="97"/>
        <v>6.4878860370872617</v>
      </c>
      <c r="AA306" s="26">
        <v>298</v>
      </c>
      <c r="AB306" s="31">
        <f t="shared" ca="1" si="93"/>
        <v>70</v>
      </c>
      <c r="AC306" s="31">
        <f t="shared" ca="1" si="82"/>
        <v>116</v>
      </c>
      <c r="AD306" s="31">
        <f t="shared" ca="1" si="83"/>
        <v>9</v>
      </c>
      <c r="AE306" s="31">
        <f t="shared" ca="1" si="84"/>
        <v>35</v>
      </c>
      <c r="AF306" s="31">
        <f t="shared" ca="1" si="85"/>
        <v>20</v>
      </c>
      <c r="AG306" s="31">
        <f t="shared" ca="1" si="86"/>
        <v>37</v>
      </c>
      <c r="AH306" s="31">
        <f t="shared" ca="1" si="87"/>
        <v>30</v>
      </c>
      <c r="AI306" s="31">
        <f t="shared" ca="1" si="88"/>
        <v>46</v>
      </c>
      <c r="AJ306" s="31">
        <f t="shared" ca="1" si="89"/>
        <v>31</v>
      </c>
      <c r="AK306" s="31">
        <f t="shared" ca="1" si="90"/>
        <v>12</v>
      </c>
      <c r="AL306" s="31">
        <f t="shared" ca="1" si="91"/>
        <v>6</v>
      </c>
      <c r="AM306" s="31">
        <f t="shared" ca="1" si="92"/>
        <v>8</v>
      </c>
    </row>
    <row r="307" spans="14:39">
      <c r="N307" s="26">
        <v>299</v>
      </c>
      <c r="O307" s="30">
        <f t="shared" ca="1" si="97"/>
        <v>14.724580868759931</v>
      </c>
      <c r="P307" s="30">
        <f t="shared" ca="1" si="97"/>
        <v>1.0107033949214814</v>
      </c>
      <c r="Q307" s="30">
        <f t="shared" ca="1" si="97"/>
        <v>9.5068207697129292</v>
      </c>
      <c r="R307" s="30">
        <f t="shared" ca="1" si="97"/>
        <v>20.378445782849834</v>
      </c>
      <c r="S307" s="30">
        <f t="shared" ca="1" si="97"/>
        <v>23.222663645632505</v>
      </c>
      <c r="T307" s="30">
        <f t="shared" ca="1" si="97"/>
        <v>13.295670525754973</v>
      </c>
      <c r="U307" s="30">
        <f t="shared" ca="1" si="97"/>
        <v>8.3764630622254934</v>
      </c>
      <c r="V307" s="30">
        <f t="shared" ca="1" si="97"/>
        <v>1.4376064175676084</v>
      </c>
      <c r="W307" s="30">
        <f t="shared" ca="1" si="97"/>
        <v>25.870329538348937</v>
      </c>
      <c r="X307" s="30">
        <f t="shared" ca="1" si="97"/>
        <v>14.369333942948014</v>
      </c>
      <c r="Y307" s="30">
        <f t="shared" ca="1" si="97"/>
        <v>9.6472714461003889E-2</v>
      </c>
      <c r="Z307" s="30">
        <f t="shared" ca="1" si="97"/>
        <v>8.3674615118369182</v>
      </c>
      <c r="AA307" s="26">
        <v>299</v>
      </c>
      <c r="AB307" s="31">
        <f t="shared" ca="1" si="93"/>
        <v>20</v>
      </c>
      <c r="AC307" s="31">
        <f t="shared" ca="1" si="82"/>
        <v>2</v>
      </c>
      <c r="AD307" s="31">
        <f t="shared" ca="1" si="83"/>
        <v>12</v>
      </c>
      <c r="AE307" s="31">
        <f t="shared" ca="1" si="84"/>
        <v>32</v>
      </c>
      <c r="AF307" s="31">
        <f t="shared" ca="1" si="85"/>
        <v>40</v>
      </c>
      <c r="AG307" s="31">
        <f t="shared" ca="1" si="86"/>
        <v>17</v>
      </c>
      <c r="AH307" s="31">
        <f t="shared" ca="1" si="87"/>
        <v>10</v>
      </c>
      <c r="AI307" s="31">
        <f t="shared" ca="1" si="88"/>
        <v>2</v>
      </c>
      <c r="AJ307" s="31">
        <f t="shared" ca="1" si="89"/>
        <v>50</v>
      </c>
      <c r="AK307" s="31">
        <f t="shared" ca="1" si="90"/>
        <v>19</v>
      </c>
      <c r="AL307" s="31">
        <f t="shared" ca="1" si="91"/>
        <v>1</v>
      </c>
      <c r="AM307" s="31">
        <f t="shared" ca="1" si="92"/>
        <v>10</v>
      </c>
    </row>
    <row r="308" spans="14:39">
      <c r="N308" s="26">
        <v>300</v>
      </c>
      <c r="O308" s="30">
        <f t="shared" ca="1" si="97"/>
        <v>17.767880723003913</v>
      </c>
      <c r="P308" s="30">
        <f t="shared" ca="1" si="97"/>
        <v>11.890228516941082</v>
      </c>
      <c r="Q308" s="30">
        <f t="shared" ca="1" si="97"/>
        <v>12.955743414017782</v>
      </c>
      <c r="R308" s="30">
        <f t="shared" ca="1" si="97"/>
        <v>27.928241582704025</v>
      </c>
      <c r="S308" s="30">
        <f t="shared" ca="1" si="97"/>
        <v>6.5574410556382077</v>
      </c>
      <c r="T308" s="30">
        <f t="shared" ca="1" si="97"/>
        <v>4.7317160411133914</v>
      </c>
      <c r="U308" s="30">
        <f t="shared" ca="1" si="97"/>
        <v>12.860053199030348</v>
      </c>
      <c r="V308" s="30">
        <f t="shared" ca="1" si="97"/>
        <v>1.5965650742896635</v>
      </c>
      <c r="W308" s="30">
        <f t="shared" ca="1" si="97"/>
        <v>24.181281011787881</v>
      </c>
      <c r="X308" s="30">
        <f t="shared" ca="1" si="97"/>
        <v>23.606105872255597</v>
      </c>
      <c r="Y308" s="30">
        <f t="shared" ca="1" si="97"/>
        <v>31.405701262638019</v>
      </c>
      <c r="Z308" s="30">
        <f t="shared" ca="1" si="97"/>
        <v>24.314731137560127</v>
      </c>
      <c r="AA308" s="26">
        <v>300</v>
      </c>
      <c r="AB308" s="31">
        <f t="shared" ca="1" si="93"/>
        <v>26</v>
      </c>
      <c r="AC308" s="31">
        <f t="shared" ca="1" si="82"/>
        <v>15</v>
      </c>
      <c r="AD308" s="31">
        <f t="shared" ca="1" si="83"/>
        <v>17</v>
      </c>
      <c r="AE308" s="31">
        <f t="shared" ca="1" si="84"/>
        <v>60</v>
      </c>
      <c r="AF308" s="31">
        <f t="shared" ca="1" si="85"/>
        <v>8</v>
      </c>
      <c r="AG308" s="31">
        <f t="shared" ca="1" si="86"/>
        <v>6</v>
      </c>
      <c r="AH308" s="31">
        <f t="shared" ca="1" si="87"/>
        <v>17</v>
      </c>
      <c r="AI308" s="31">
        <f t="shared" ca="1" si="88"/>
        <v>2</v>
      </c>
      <c r="AJ308" s="31">
        <f t="shared" ca="1" si="89"/>
        <v>43</v>
      </c>
      <c r="AK308" s="31">
        <f t="shared" ca="1" si="90"/>
        <v>41</v>
      </c>
      <c r="AL308" s="31">
        <f t="shared" ca="1" si="91"/>
        <v>94</v>
      </c>
      <c r="AM308" s="31">
        <f t="shared" ca="1" si="92"/>
        <v>43</v>
      </c>
    </row>
    <row r="309" spans="14:39">
      <c r="N309" s="26">
        <v>301</v>
      </c>
      <c r="O309" s="30">
        <f t="shared" ref="O309:Z318" ca="1" si="98">RAND()*sumweights</f>
        <v>32.108959342512435</v>
      </c>
      <c r="P309" s="30">
        <f t="shared" ca="1" si="98"/>
        <v>20.034026164047248</v>
      </c>
      <c r="Q309" s="30">
        <f t="shared" ca="1" si="98"/>
        <v>7.8136041812984685</v>
      </c>
      <c r="R309" s="30">
        <f t="shared" ca="1" si="98"/>
        <v>6.424384995173674</v>
      </c>
      <c r="S309" s="30">
        <f t="shared" ca="1" si="98"/>
        <v>10.463433753948975</v>
      </c>
      <c r="T309" s="30">
        <f t="shared" ca="1" si="98"/>
        <v>20.521996564642457</v>
      </c>
      <c r="U309" s="30">
        <f t="shared" ca="1" si="98"/>
        <v>21.045007835192024</v>
      </c>
      <c r="V309" s="30">
        <f t="shared" ca="1" si="98"/>
        <v>7.0747851661417025</v>
      </c>
      <c r="W309" s="30">
        <f t="shared" ca="1" si="98"/>
        <v>1.4077653032631197</v>
      </c>
      <c r="X309" s="30">
        <f t="shared" ca="1" si="98"/>
        <v>20.718837502197619</v>
      </c>
      <c r="Y309" s="30">
        <f t="shared" ca="1" si="98"/>
        <v>16.603745288311927</v>
      </c>
      <c r="Z309" s="30">
        <f t="shared" ca="1" si="98"/>
        <v>15.560116332627482</v>
      </c>
      <c r="AA309" s="26">
        <v>301</v>
      </c>
      <c r="AB309" s="31">
        <f t="shared" ca="1" si="93"/>
        <v>109</v>
      </c>
      <c r="AC309" s="31">
        <f t="shared" ca="1" si="82"/>
        <v>31</v>
      </c>
      <c r="AD309" s="31">
        <f t="shared" ca="1" si="83"/>
        <v>9</v>
      </c>
      <c r="AE309" s="31">
        <f t="shared" ca="1" si="84"/>
        <v>8</v>
      </c>
      <c r="AF309" s="31">
        <f t="shared" ca="1" si="85"/>
        <v>13</v>
      </c>
      <c r="AG309" s="31">
        <f t="shared" ca="1" si="86"/>
        <v>32</v>
      </c>
      <c r="AH309" s="31">
        <f t="shared" ca="1" si="87"/>
        <v>33</v>
      </c>
      <c r="AI309" s="31">
        <f t="shared" ca="1" si="88"/>
        <v>8</v>
      </c>
      <c r="AJ309" s="31">
        <f t="shared" ca="1" si="89"/>
        <v>2</v>
      </c>
      <c r="AK309" s="31">
        <f t="shared" ca="1" si="90"/>
        <v>32</v>
      </c>
      <c r="AL309" s="31">
        <f t="shared" ca="1" si="91"/>
        <v>23</v>
      </c>
      <c r="AM309" s="31">
        <f t="shared" ca="1" si="92"/>
        <v>21</v>
      </c>
    </row>
    <row r="310" spans="14:39">
      <c r="N310" s="26">
        <v>302</v>
      </c>
      <c r="O310" s="30">
        <f t="shared" ca="1" si="98"/>
        <v>16.158554620998284</v>
      </c>
      <c r="P310" s="30">
        <f t="shared" ca="1" si="98"/>
        <v>15.037635298606224</v>
      </c>
      <c r="Q310" s="30">
        <f t="shared" ca="1" si="98"/>
        <v>25.58585466786446</v>
      </c>
      <c r="R310" s="30">
        <f t="shared" ca="1" si="98"/>
        <v>3.2256559609858644</v>
      </c>
      <c r="S310" s="30">
        <f t="shared" ca="1" si="98"/>
        <v>28.074442583851084</v>
      </c>
      <c r="T310" s="30">
        <f t="shared" ca="1" si="98"/>
        <v>26.113181529404425</v>
      </c>
      <c r="U310" s="30">
        <f t="shared" ca="1" si="98"/>
        <v>4.7591116621711071</v>
      </c>
      <c r="V310" s="30">
        <f t="shared" ca="1" si="98"/>
        <v>11.875919822203478</v>
      </c>
      <c r="W310" s="30">
        <f t="shared" ca="1" si="98"/>
        <v>28.380361854854439</v>
      </c>
      <c r="X310" s="30">
        <f t="shared" ca="1" si="98"/>
        <v>25.457385266763644</v>
      </c>
      <c r="Y310" s="30">
        <f t="shared" ca="1" si="98"/>
        <v>6.4913285667092753</v>
      </c>
      <c r="Z310" s="30">
        <f t="shared" ca="1" si="98"/>
        <v>21.817342861490857</v>
      </c>
      <c r="AA310" s="26">
        <v>302</v>
      </c>
      <c r="AB310" s="31">
        <f t="shared" ca="1" si="93"/>
        <v>22</v>
      </c>
      <c r="AC310" s="31">
        <f t="shared" ca="1" si="82"/>
        <v>20</v>
      </c>
      <c r="AD310" s="31">
        <f t="shared" ca="1" si="83"/>
        <v>48</v>
      </c>
      <c r="AE310" s="31">
        <f t="shared" ca="1" si="84"/>
        <v>4</v>
      </c>
      <c r="AF310" s="31">
        <f t="shared" ca="1" si="85"/>
        <v>61</v>
      </c>
      <c r="AG310" s="31">
        <f t="shared" ca="1" si="86"/>
        <v>51</v>
      </c>
      <c r="AH310" s="31">
        <f t="shared" ca="1" si="87"/>
        <v>6</v>
      </c>
      <c r="AI310" s="31">
        <f t="shared" ca="1" si="88"/>
        <v>15</v>
      </c>
      <c r="AJ310" s="31">
        <f t="shared" ca="1" si="89"/>
        <v>63</v>
      </c>
      <c r="AK310" s="31">
        <f t="shared" ca="1" si="90"/>
        <v>48</v>
      </c>
      <c r="AL310" s="31">
        <f t="shared" ca="1" si="91"/>
        <v>8</v>
      </c>
      <c r="AM310" s="31">
        <f t="shared" ca="1" si="92"/>
        <v>35</v>
      </c>
    </row>
    <row r="311" spans="14:39">
      <c r="N311" s="26">
        <v>303</v>
      </c>
      <c r="O311" s="30">
        <f t="shared" ca="1" si="98"/>
        <v>19.288845513264775</v>
      </c>
      <c r="P311" s="30">
        <f t="shared" ca="1" si="98"/>
        <v>6.2454515432247373</v>
      </c>
      <c r="Q311" s="30">
        <f t="shared" ca="1" si="98"/>
        <v>0.37424771099278303</v>
      </c>
      <c r="R311" s="30">
        <f t="shared" ca="1" si="98"/>
        <v>10.278465764633353</v>
      </c>
      <c r="S311" s="30">
        <f t="shared" ca="1" si="98"/>
        <v>0.14655383191465307</v>
      </c>
      <c r="T311" s="30">
        <f t="shared" ca="1" si="98"/>
        <v>30.759706016467039</v>
      </c>
      <c r="U311" s="30">
        <f t="shared" ca="1" si="98"/>
        <v>7.1253589556084167</v>
      </c>
      <c r="V311" s="30">
        <f t="shared" ca="1" si="98"/>
        <v>14.329946532317992</v>
      </c>
      <c r="W311" s="30">
        <f t="shared" ca="1" si="98"/>
        <v>0.81130356071941423</v>
      </c>
      <c r="X311" s="30">
        <f t="shared" ca="1" si="98"/>
        <v>18.978089767772786</v>
      </c>
      <c r="Y311" s="30">
        <f t="shared" ca="1" si="98"/>
        <v>1.3939180835934306</v>
      </c>
      <c r="Z311" s="30">
        <f t="shared" ca="1" si="98"/>
        <v>15.013691482993259</v>
      </c>
      <c r="AA311" s="26">
        <v>303</v>
      </c>
      <c r="AB311" s="31">
        <f t="shared" ca="1" si="93"/>
        <v>29</v>
      </c>
      <c r="AC311" s="31">
        <f t="shared" ca="1" si="82"/>
        <v>7</v>
      </c>
      <c r="AD311" s="31">
        <f t="shared" ca="1" si="83"/>
        <v>1</v>
      </c>
      <c r="AE311" s="31">
        <f t="shared" ca="1" si="84"/>
        <v>13</v>
      </c>
      <c r="AF311" s="31">
        <f t="shared" ca="1" si="85"/>
        <v>1</v>
      </c>
      <c r="AG311" s="31">
        <f t="shared" ca="1" si="86"/>
        <v>85</v>
      </c>
      <c r="AH311" s="31">
        <f t="shared" ca="1" si="87"/>
        <v>8</v>
      </c>
      <c r="AI311" s="31">
        <f t="shared" ca="1" si="88"/>
        <v>19</v>
      </c>
      <c r="AJ311" s="31">
        <f t="shared" ca="1" si="89"/>
        <v>1</v>
      </c>
      <c r="AK311" s="31">
        <f t="shared" ca="1" si="90"/>
        <v>28</v>
      </c>
      <c r="AL311" s="31">
        <f t="shared" ca="1" si="91"/>
        <v>2</v>
      </c>
      <c r="AM311" s="31">
        <f t="shared" ca="1" si="92"/>
        <v>20</v>
      </c>
    </row>
    <row r="312" spans="14:39">
      <c r="N312" s="26">
        <v>304</v>
      </c>
      <c r="O312" s="30">
        <f t="shared" ca="1" si="98"/>
        <v>23.807777657368725</v>
      </c>
      <c r="P312" s="30">
        <f t="shared" ca="1" si="98"/>
        <v>23.113318963861257</v>
      </c>
      <c r="Q312" s="30">
        <f t="shared" ca="1" si="98"/>
        <v>23.350076600081142</v>
      </c>
      <c r="R312" s="30">
        <f t="shared" ca="1" si="98"/>
        <v>0.37901182433170744</v>
      </c>
      <c r="S312" s="30">
        <f t="shared" ca="1" si="98"/>
        <v>9.8092417097141773</v>
      </c>
      <c r="T312" s="30">
        <f t="shared" ca="1" si="98"/>
        <v>1.937488204432452</v>
      </c>
      <c r="U312" s="30">
        <f t="shared" ca="1" si="98"/>
        <v>31.957858609981802</v>
      </c>
      <c r="V312" s="30">
        <f t="shared" ca="1" si="98"/>
        <v>23.947536066566755</v>
      </c>
      <c r="W312" s="30">
        <f t="shared" ca="1" si="98"/>
        <v>32.375370512079272</v>
      </c>
      <c r="X312" s="30">
        <f t="shared" ca="1" si="98"/>
        <v>31.711356342645818</v>
      </c>
      <c r="Y312" s="30">
        <f t="shared" ca="1" si="98"/>
        <v>17.605377497378427</v>
      </c>
      <c r="Z312" s="30">
        <f t="shared" ca="1" si="98"/>
        <v>3.4116237760858488E-2</v>
      </c>
      <c r="AA312" s="26">
        <v>304</v>
      </c>
      <c r="AB312" s="31">
        <f t="shared" ca="1" si="93"/>
        <v>42</v>
      </c>
      <c r="AC312" s="31">
        <f t="shared" ca="1" si="82"/>
        <v>39</v>
      </c>
      <c r="AD312" s="31">
        <f t="shared" ca="1" si="83"/>
        <v>40</v>
      </c>
      <c r="AE312" s="31">
        <f t="shared" ca="1" si="84"/>
        <v>1</v>
      </c>
      <c r="AF312" s="31">
        <f t="shared" ca="1" si="85"/>
        <v>12</v>
      </c>
      <c r="AG312" s="31">
        <f t="shared" ca="1" si="86"/>
        <v>2</v>
      </c>
      <c r="AH312" s="31">
        <f t="shared" ca="1" si="87"/>
        <v>105</v>
      </c>
      <c r="AI312" s="31">
        <f t="shared" ca="1" si="88"/>
        <v>42</v>
      </c>
      <c r="AJ312" s="31">
        <f t="shared" ca="1" si="89"/>
        <v>117</v>
      </c>
      <c r="AK312" s="31">
        <f t="shared" ca="1" si="90"/>
        <v>100</v>
      </c>
      <c r="AL312" s="31">
        <f t="shared" ca="1" si="91"/>
        <v>25</v>
      </c>
      <c r="AM312" s="31">
        <f t="shared" ca="1" si="92"/>
        <v>1</v>
      </c>
    </row>
    <row r="313" spans="14:39">
      <c r="N313" s="26">
        <v>305</v>
      </c>
      <c r="O313" s="30">
        <f t="shared" ca="1" si="98"/>
        <v>22.564822520148052</v>
      </c>
      <c r="P313" s="30">
        <f t="shared" ca="1" si="98"/>
        <v>31.990261841222509</v>
      </c>
      <c r="Q313" s="30">
        <f t="shared" ca="1" si="98"/>
        <v>15.648447593171218</v>
      </c>
      <c r="R313" s="30">
        <f t="shared" ca="1" si="98"/>
        <v>6.4783733314433904</v>
      </c>
      <c r="S313" s="30">
        <f t="shared" ca="1" si="98"/>
        <v>4.4345896585144846</v>
      </c>
      <c r="T313" s="30">
        <f t="shared" ca="1" si="98"/>
        <v>29.660327195813494</v>
      </c>
      <c r="U313" s="30">
        <f t="shared" ca="1" si="98"/>
        <v>3.4704177810000862</v>
      </c>
      <c r="V313" s="30">
        <f t="shared" ca="1" si="98"/>
        <v>27.419330042657712</v>
      </c>
      <c r="W313" s="30">
        <f t="shared" ca="1" si="98"/>
        <v>3.7194979537803023</v>
      </c>
      <c r="X313" s="30">
        <f t="shared" ca="1" si="98"/>
        <v>13.401580685260594</v>
      </c>
      <c r="Y313" s="30">
        <f t="shared" ca="1" si="98"/>
        <v>9.023339250733482</v>
      </c>
      <c r="Z313" s="30">
        <f t="shared" ca="1" si="98"/>
        <v>7.4636967385771973</v>
      </c>
      <c r="AA313" s="26">
        <v>305</v>
      </c>
      <c r="AB313" s="31">
        <f t="shared" ca="1" si="93"/>
        <v>38</v>
      </c>
      <c r="AC313" s="31">
        <f t="shared" ca="1" si="82"/>
        <v>106</v>
      </c>
      <c r="AD313" s="31">
        <f t="shared" ca="1" si="83"/>
        <v>21</v>
      </c>
      <c r="AE313" s="31">
        <f t="shared" ca="1" si="84"/>
        <v>8</v>
      </c>
      <c r="AF313" s="31">
        <f t="shared" ca="1" si="85"/>
        <v>5</v>
      </c>
      <c r="AG313" s="31">
        <f t="shared" ca="1" si="86"/>
        <v>73</v>
      </c>
      <c r="AH313" s="31">
        <f t="shared" ca="1" si="87"/>
        <v>4</v>
      </c>
      <c r="AI313" s="31">
        <f t="shared" ca="1" si="88"/>
        <v>57</v>
      </c>
      <c r="AJ313" s="31">
        <f t="shared" ca="1" si="89"/>
        <v>4</v>
      </c>
      <c r="AK313" s="31">
        <f t="shared" ca="1" si="90"/>
        <v>17</v>
      </c>
      <c r="AL313" s="31">
        <f t="shared" ca="1" si="91"/>
        <v>11</v>
      </c>
      <c r="AM313" s="31">
        <f t="shared" ca="1" si="92"/>
        <v>9</v>
      </c>
    </row>
    <row r="314" spans="14:39">
      <c r="N314" s="26">
        <v>306</v>
      </c>
      <c r="O314" s="30">
        <f t="shared" ca="1" si="98"/>
        <v>15.45442806886328</v>
      </c>
      <c r="P314" s="30">
        <f t="shared" ca="1" si="98"/>
        <v>23.743272030760465</v>
      </c>
      <c r="Q314" s="30">
        <f t="shared" ca="1" si="98"/>
        <v>2.6263569838379213</v>
      </c>
      <c r="R314" s="30">
        <f t="shared" ca="1" si="98"/>
        <v>0.47232032300460303</v>
      </c>
      <c r="S314" s="30">
        <f t="shared" ca="1" si="98"/>
        <v>3.6885347216287432</v>
      </c>
      <c r="T314" s="30">
        <f t="shared" ca="1" si="98"/>
        <v>20.931123226601358</v>
      </c>
      <c r="U314" s="30">
        <f t="shared" ca="1" si="98"/>
        <v>22.399527433725755</v>
      </c>
      <c r="V314" s="30">
        <f t="shared" ca="1" si="98"/>
        <v>9.0780655120603129</v>
      </c>
      <c r="W314" s="30">
        <f t="shared" ca="1" si="98"/>
        <v>16.393555342634045</v>
      </c>
      <c r="X314" s="30">
        <f t="shared" ca="1" si="98"/>
        <v>30.633649140401275</v>
      </c>
      <c r="Y314" s="30">
        <f t="shared" ca="1" si="98"/>
        <v>33.257030196646269</v>
      </c>
      <c r="Z314" s="30">
        <f t="shared" ca="1" si="98"/>
        <v>10.575287621810052</v>
      </c>
      <c r="AA314" s="26">
        <v>306</v>
      </c>
      <c r="AB314" s="31">
        <f t="shared" ca="1" si="93"/>
        <v>21</v>
      </c>
      <c r="AC314" s="31">
        <f t="shared" ca="1" si="82"/>
        <v>41</v>
      </c>
      <c r="AD314" s="31">
        <f t="shared" ca="1" si="83"/>
        <v>3</v>
      </c>
      <c r="AE314" s="31">
        <f t="shared" ca="1" si="84"/>
        <v>1</v>
      </c>
      <c r="AF314" s="31">
        <f t="shared" ca="1" si="85"/>
        <v>4</v>
      </c>
      <c r="AG314" s="31">
        <f t="shared" ca="1" si="86"/>
        <v>33</v>
      </c>
      <c r="AH314" s="31">
        <f t="shared" ca="1" si="87"/>
        <v>37</v>
      </c>
      <c r="AI314" s="31">
        <f t="shared" ca="1" si="88"/>
        <v>11</v>
      </c>
      <c r="AJ314" s="31">
        <f t="shared" ca="1" si="89"/>
        <v>23</v>
      </c>
      <c r="AK314" s="31">
        <f t="shared" ca="1" si="90"/>
        <v>83</v>
      </c>
      <c r="AL314" s="31">
        <f t="shared" ca="1" si="91"/>
        <v>200</v>
      </c>
      <c r="AM314" s="31">
        <f t="shared" ca="1" si="92"/>
        <v>13</v>
      </c>
    </row>
    <row r="315" spans="14:39">
      <c r="N315" s="26">
        <v>307</v>
      </c>
      <c r="O315" s="30">
        <f t="shared" ca="1" si="98"/>
        <v>27.742876855039007</v>
      </c>
      <c r="P315" s="30">
        <f t="shared" ca="1" si="98"/>
        <v>4.7841421317807677</v>
      </c>
      <c r="Q315" s="30">
        <f t="shared" ca="1" si="98"/>
        <v>2.3682638053836409</v>
      </c>
      <c r="R315" s="30">
        <f t="shared" ca="1" si="98"/>
        <v>22.787918257811214</v>
      </c>
      <c r="S315" s="30">
        <f t="shared" ca="1" si="98"/>
        <v>30.811048268856439</v>
      </c>
      <c r="T315" s="30">
        <f t="shared" ca="1" si="98"/>
        <v>20.039557327017931</v>
      </c>
      <c r="U315" s="30">
        <f t="shared" ca="1" si="98"/>
        <v>7.7999846064828411</v>
      </c>
      <c r="V315" s="30">
        <f t="shared" ca="1" si="98"/>
        <v>11.097303590053873</v>
      </c>
      <c r="W315" s="30">
        <f t="shared" ca="1" si="98"/>
        <v>14.358210490636134</v>
      </c>
      <c r="X315" s="30">
        <f t="shared" ca="1" si="98"/>
        <v>27.526183578310189</v>
      </c>
      <c r="Y315" s="30">
        <f t="shared" ca="1" si="98"/>
        <v>24.487933154740453</v>
      </c>
      <c r="Z315" s="30">
        <f t="shared" ca="1" si="98"/>
        <v>4.9022871059538371</v>
      </c>
      <c r="AA315" s="26">
        <v>307</v>
      </c>
      <c r="AB315" s="31">
        <f t="shared" ca="1" si="93"/>
        <v>59</v>
      </c>
      <c r="AC315" s="31">
        <f t="shared" ca="1" si="82"/>
        <v>6</v>
      </c>
      <c r="AD315" s="31">
        <f t="shared" ca="1" si="83"/>
        <v>3</v>
      </c>
      <c r="AE315" s="31">
        <f t="shared" ca="1" si="84"/>
        <v>38</v>
      </c>
      <c r="AF315" s="31">
        <f t="shared" ca="1" si="85"/>
        <v>85</v>
      </c>
      <c r="AG315" s="31">
        <f t="shared" ca="1" si="86"/>
        <v>31</v>
      </c>
      <c r="AH315" s="31">
        <f t="shared" ca="1" si="87"/>
        <v>9</v>
      </c>
      <c r="AI315" s="31">
        <f t="shared" ca="1" si="88"/>
        <v>14</v>
      </c>
      <c r="AJ315" s="31">
        <f t="shared" ca="1" si="89"/>
        <v>19</v>
      </c>
      <c r="AK315" s="31">
        <f t="shared" ca="1" si="90"/>
        <v>58</v>
      </c>
      <c r="AL315" s="31">
        <f t="shared" ca="1" si="91"/>
        <v>44</v>
      </c>
      <c r="AM315" s="31">
        <f t="shared" ca="1" si="92"/>
        <v>6</v>
      </c>
    </row>
    <row r="316" spans="14:39">
      <c r="N316" s="26">
        <v>308</v>
      </c>
      <c r="O316" s="30">
        <f t="shared" ca="1" si="98"/>
        <v>28.719575121075351</v>
      </c>
      <c r="P316" s="30">
        <f t="shared" ca="1" si="98"/>
        <v>18.264646146266024</v>
      </c>
      <c r="Q316" s="30">
        <f t="shared" ca="1" si="98"/>
        <v>18.935201278786895</v>
      </c>
      <c r="R316" s="30">
        <f t="shared" ca="1" si="98"/>
        <v>27.607408206455855</v>
      </c>
      <c r="S316" s="30">
        <f t="shared" ca="1" si="98"/>
        <v>6.6240508761864474</v>
      </c>
      <c r="T316" s="30">
        <f t="shared" ca="1" si="98"/>
        <v>13.010767179936979</v>
      </c>
      <c r="U316" s="30">
        <f t="shared" ca="1" si="98"/>
        <v>26.261904399824985</v>
      </c>
      <c r="V316" s="30">
        <f t="shared" ca="1" si="98"/>
        <v>2.2041467003363522</v>
      </c>
      <c r="W316" s="30">
        <f t="shared" ca="1" si="98"/>
        <v>14.195757332489853</v>
      </c>
      <c r="X316" s="30">
        <f t="shared" ca="1" si="98"/>
        <v>11.360158541164772</v>
      </c>
      <c r="Y316" s="30">
        <f t="shared" ca="1" si="98"/>
        <v>2.8333828573452187</v>
      </c>
      <c r="Z316" s="30">
        <f t="shared" ca="1" si="98"/>
        <v>23.070573794991667</v>
      </c>
      <c r="AA316" s="26">
        <v>308</v>
      </c>
      <c r="AB316" s="31">
        <f t="shared" ca="1" si="93"/>
        <v>65</v>
      </c>
      <c r="AC316" s="31">
        <f t="shared" ca="1" si="82"/>
        <v>27</v>
      </c>
      <c r="AD316" s="31">
        <f t="shared" ca="1" si="83"/>
        <v>28</v>
      </c>
      <c r="AE316" s="31">
        <f t="shared" ca="1" si="84"/>
        <v>58</v>
      </c>
      <c r="AF316" s="31">
        <f t="shared" ca="1" si="85"/>
        <v>8</v>
      </c>
      <c r="AG316" s="31">
        <f t="shared" ca="1" si="86"/>
        <v>17</v>
      </c>
      <c r="AH316" s="31">
        <f t="shared" ca="1" si="87"/>
        <v>51</v>
      </c>
      <c r="AI316" s="31">
        <f t="shared" ca="1" si="88"/>
        <v>3</v>
      </c>
      <c r="AJ316" s="31">
        <f t="shared" ca="1" si="89"/>
        <v>19</v>
      </c>
      <c r="AK316" s="31">
        <f t="shared" ca="1" si="90"/>
        <v>14</v>
      </c>
      <c r="AL316" s="31">
        <f t="shared" ca="1" si="91"/>
        <v>3</v>
      </c>
      <c r="AM316" s="31">
        <f t="shared" ca="1" si="92"/>
        <v>39</v>
      </c>
    </row>
    <row r="317" spans="14:39">
      <c r="N317" s="26">
        <v>309</v>
      </c>
      <c r="O317" s="30">
        <f t="shared" ca="1" si="98"/>
        <v>22.385860763136041</v>
      </c>
      <c r="P317" s="30">
        <f t="shared" ca="1" si="98"/>
        <v>26.973565649650897</v>
      </c>
      <c r="Q317" s="30">
        <f t="shared" ca="1" si="98"/>
        <v>18.919203302280401</v>
      </c>
      <c r="R317" s="30">
        <f t="shared" ca="1" si="98"/>
        <v>11.068758440780593</v>
      </c>
      <c r="S317" s="30">
        <f t="shared" ca="1" si="98"/>
        <v>20.121270455410325</v>
      </c>
      <c r="T317" s="30">
        <f t="shared" ca="1" si="98"/>
        <v>30.990839932025128</v>
      </c>
      <c r="U317" s="30">
        <f t="shared" ca="1" si="98"/>
        <v>12.814631032626135</v>
      </c>
      <c r="V317" s="30">
        <f t="shared" ca="1" si="98"/>
        <v>9.3322448268439793</v>
      </c>
      <c r="W317" s="30">
        <f t="shared" ca="1" si="98"/>
        <v>27.02218579988136</v>
      </c>
      <c r="X317" s="30">
        <f t="shared" ca="1" si="98"/>
        <v>33.264325439244715</v>
      </c>
      <c r="Y317" s="30">
        <f t="shared" ca="1" si="98"/>
        <v>8.194937398577741</v>
      </c>
      <c r="Z317" s="30">
        <f t="shared" ca="1" si="98"/>
        <v>13.03069483967959</v>
      </c>
      <c r="AA317" s="26">
        <v>309</v>
      </c>
      <c r="AB317" s="31">
        <f t="shared" ca="1" si="93"/>
        <v>37</v>
      </c>
      <c r="AC317" s="31">
        <f t="shared" ca="1" si="82"/>
        <v>55</v>
      </c>
      <c r="AD317" s="31">
        <f t="shared" ca="1" si="83"/>
        <v>28</v>
      </c>
      <c r="AE317" s="31">
        <f t="shared" ca="1" si="84"/>
        <v>14</v>
      </c>
      <c r="AF317" s="31">
        <f t="shared" ca="1" si="85"/>
        <v>31</v>
      </c>
      <c r="AG317" s="31">
        <f t="shared" ca="1" si="86"/>
        <v>88</v>
      </c>
      <c r="AH317" s="31">
        <f t="shared" ca="1" si="87"/>
        <v>16</v>
      </c>
      <c r="AI317" s="31">
        <f t="shared" ca="1" si="88"/>
        <v>11</v>
      </c>
      <c r="AJ317" s="31">
        <f t="shared" ca="1" si="89"/>
        <v>55</v>
      </c>
      <c r="AK317" s="31">
        <f t="shared" ca="1" si="90"/>
        <v>203</v>
      </c>
      <c r="AL317" s="31">
        <f t="shared" ca="1" si="91"/>
        <v>10</v>
      </c>
      <c r="AM317" s="31">
        <f t="shared" ca="1" si="92"/>
        <v>17</v>
      </c>
    </row>
    <row r="318" spans="14:39">
      <c r="N318" s="26">
        <v>310</v>
      </c>
      <c r="O318" s="30">
        <f t="shared" ca="1" si="98"/>
        <v>13.811675618704918</v>
      </c>
      <c r="P318" s="30">
        <f t="shared" ca="1" si="98"/>
        <v>14.030221367831171</v>
      </c>
      <c r="Q318" s="30">
        <f t="shared" ca="1" si="98"/>
        <v>8.8975177995335493</v>
      </c>
      <c r="R318" s="30">
        <f t="shared" ca="1" si="98"/>
        <v>20.203737965107379</v>
      </c>
      <c r="S318" s="30">
        <f t="shared" ca="1" si="98"/>
        <v>7.5989686140132893</v>
      </c>
      <c r="T318" s="30">
        <f t="shared" ca="1" si="98"/>
        <v>29.299761781841294</v>
      </c>
      <c r="U318" s="30">
        <f t="shared" ca="1" si="98"/>
        <v>2.7971576030644627</v>
      </c>
      <c r="V318" s="30">
        <f t="shared" ca="1" si="98"/>
        <v>14.420671009901596</v>
      </c>
      <c r="W318" s="30">
        <f t="shared" ca="1" si="98"/>
        <v>7.422462545125927</v>
      </c>
      <c r="X318" s="30">
        <f t="shared" ca="1" si="98"/>
        <v>22.893048368034435</v>
      </c>
      <c r="Y318" s="30">
        <f t="shared" ca="1" si="98"/>
        <v>10.923782237905124</v>
      </c>
      <c r="Z318" s="30">
        <f t="shared" ca="1" si="98"/>
        <v>15.688923125085216</v>
      </c>
      <c r="AA318" s="26">
        <v>310</v>
      </c>
      <c r="AB318" s="31">
        <f t="shared" ca="1" si="93"/>
        <v>18</v>
      </c>
      <c r="AC318" s="31">
        <f t="shared" ca="1" si="82"/>
        <v>18</v>
      </c>
      <c r="AD318" s="31">
        <f t="shared" ca="1" si="83"/>
        <v>11</v>
      </c>
      <c r="AE318" s="31">
        <f t="shared" ca="1" si="84"/>
        <v>31</v>
      </c>
      <c r="AF318" s="31">
        <f t="shared" ca="1" si="85"/>
        <v>9</v>
      </c>
      <c r="AG318" s="31">
        <f t="shared" ca="1" si="86"/>
        <v>70</v>
      </c>
      <c r="AH318" s="31">
        <f t="shared" ca="1" si="87"/>
        <v>3</v>
      </c>
      <c r="AI318" s="31">
        <f t="shared" ca="1" si="88"/>
        <v>19</v>
      </c>
      <c r="AJ318" s="31">
        <f t="shared" ca="1" si="89"/>
        <v>9</v>
      </c>
      <c r="AK318" s="31">
        <f t="shared" ca="1" si="90"/>
        <v>39</v>
      </c>
      <c r="AL318" s="31">
        <f t="shared" ca="1" si="91"/>
        <v>14</v>
      </c>
      <c r="AM318" s="31">
        <f t="shared" ca="1" si="92"/>
        <v>21</v>
      </c>
    </row>
    <row r="319" spans="14:39">
      <c r="N319" s="26">
        <v>311</v>
      </c>
      <c r="O319" s="30">
        <f t="shared" ref="O319:Z328" ca="1" si="99">RAND()*sumweights</f>
        <v>3.6568789453572466</v>
      </c>
      <c r="P319" s="30">
        <f t="shared" ca="1" si="99"/>
        <v>21.647995353207644</v>
      </c>
      <c r="Q319" s="30">
        <f t="shared" ca="1" si="99"/>
        <v>33.043457611011981</v>
      </c>
      <c r="R319" s="30">
        <f t="shared" ca="1" si="99"/>
        <v>13.589937077575735</v>
      </c>
      <c r="S319" s="30">
        <f t="shared" ca="1" si="99"/>
        <v>30.208875906505543</v>
      </c>
      <c r="T319" s="30">
        <f t="shared" ca="1" si="99"/>
        <v>8.7150109698188771</v>
      </c>
      <c r="U319" s="30">
        <f t="shared" ca="1" si="99"/>
        <v>27.223202142335143</v>
      </c>
      <c r="V319" s="30">
        <f t="shared" ca="1" si="99"/>
        <v>24.262719926645914</v>
      </c>
      <c r="W319" s="30">
        <f t="shared" ca="1" si="99"/>
        <v>33.196773074817614</v>
      </c>
      <c r="X319" s="30">
        <f t="shared" ca="1" si="99"/>
        <v>8.5058425500072889</v>
      </c>
      <c r="Y319" s="30">
        <f t="shared" ca="1" si="99"/>
        <v>12.244907688380593</v>
      </c>
      <c r="Z319" s="30">
        <f t="shared" ca="1" si="99"/>
        <v>17.843789160220538</v>
      </c>
      <c r="AA319" s="26">
        <v>311</v>
      </c>
      <c r="AB319" s="31">
        <f t="shared" ca="1" si="93"/>
        <v>4</v>
      </c>
      <c r="AC319" s="31">
        <f t="shared" ca="1" si="82"/>
        <v>35</v>
      </c>
      <c r="AD319" s="31">
        <f t="shared" ca="1" si="83"/>
        <v>156</v>
      </c>
      <c r="AE319" s="31">
        <f t="shared" ca="1" si="84"/>
        <v>18</v>
      </c>
      <c r="AF319" s="31">
        <f t="shared" ca="1" si="85"/>
        <v>78</v>
      </c>
      <c r="AG319" s="31">
        <f t="shared" ca="1" si="86"/>
        <v>10</v>
      </c>
      <c r="AH319" s="31">
        <f t="shared" ca="1" si="87"/>
        <v>56</v>
      </c>
      <c r="AI319" s="31">
        <f t="shared" ca="1" si="88"/>
        <v>43</v>
      </c>
      <c r="AJ319" s="31">
        <f t="shared" ca="1" si="89"/>
        <v>181</v>
      </c>
      <c r="AK319" s="31">
        <f t="shared" ca="1" si="90"/>
        <v>10</v>
      </c>
      <c r="AL319" s="31">
        <f t="shared" ca="1" si="91"/>
        <v>16</v>
      </c>
      <c r="AM319" s="31">
        <f t="shared" ca="1" si="92"/>
        <v>26</v>
      </c>
    </row>
    <row r="320" spans="14:39">
      <c r="N320" s="26">
        <v>312</v>
      </c>
      <c r="O320" s="30">
        <f t="shared" ca="1" si="99"/>
        <v>21.523245646657614</v>
      </c>
      <c r="P320" s="30">
        <f t="shared" ca="1" si="99"/>
        <v>2.1334151916923334</v>
      </c>
      <c r="Q320" s="30">
        <f t="shared" ca="1" si="99"/>
        <v>3.4168967415950529</v>
      </c>
      <c r="R320" s="30">
        <f t="shared" ca="1" si="99"/>
        <v>23.901751907874353</v>
      </c>
      <c r="S320" s="30">
        <f t="shared" ca="1" si="99"/>
        <v>4.3101554217392763</v>
      </c>
      <c r="T320" s="30">
        <f t="shared" ca="1" si="99"/>
        <v>13.8139882837954</v>
      </c>
      <c r="U320" s="30">
        <f t="shared" ca="1" si="99"/>
        <v>19.02581811376783</v>
      </c>
      <c r="V320" s="30">
        <f t="shared" ca="1" si="99"/>
        <v>19.193121155678845</v>
      </c>
      <c r="W320" s="30">
        <f t="shared" ca="1" si="99"/>
        <v>0.83888677890182639</v>
      </c>
      <c r="X320" s="30">
        <f t="shared" ca="1" si="99"/>
        <v>24.093428591301691</v>
      </c>
      <c r="Y320" s="30">
        <f t="shared" ca="1" si="99"/>
        <v>29.029554401529246</v>
      </c>
      <c r="Z320" s="30">
        <f t="shared" ca="1" si="99"/>
        <v>22.813297991283477</v>
      </c>
      <c r="AA320" s="26">
        <v>312</v>
      </c>
      <c r="AB320" s="31">
        <f t="shared" ca="1" si="93"/>
        <v>35</v>
      </c>
      <c r="AC320" s="31">
        <f t="shared" ca="1" si="82"/>
        <v>3</v>
      </c>
      <c r="AD320" s="31">
        <f t="shared" ca="1" si="83"/>
        <v>4</v>
      </c>
      <c r="AE320" s="31">
        <f t="shared" ca="1" si="84"/>
        <v>42</v>
      </c>
      <c r="AF320" s="31">
        <f t="shared" ca="1" si="85"/>
        <v>5</v>
      </c>
      <c r="AG320" s="31">
        <f t="shared" ca="1" si="86"/>
        <v>18</v>
      </c>
      <c r="AH320" s="31">
        <f t="shared" ca="1" si="87"/>
        <v>28</v>
      </c>
      <c r="AI320" s="31">
        <f t="shared" ca="1" si="88"/>
        <v>29</v>
      </c>
      <c r="AJ320" s="31">
        <f t="shared" ca="1" si="89"/>
        <v>1</v>
      </c>
      <c r="AK320" s="31">
        <f t="shared" ca="1" si="90"/>
        <v>43</v>
      </c>
      <c r="AL320" s="31">
        <f t="shared" ca="1" si="91"/>
        <v>68</v>
      </c>
      <c r="AM320" s="31">
        <f t="shared" ca="1" si="92"/>
        <v>38</v>
      </c>
    </row>
    <row r="321" spans="14:39">
      <c r="N321" s="26">
        <v>313</v>
      </c>
      <c r="O321" s="30">
        <f t="shared" ca="1" si="99"/>
        <v>7.3342414975497894</v>
      </c>
      <c r="P321" s="30">
        <f t="shared" ca="1" si="99"/>
        <v>21.819783552131192</v>
      </c>
      <c r="Q321" s="30">
        <f t="shared" ca="1" si="99"/>
        <v>13.047413016669747</v>
      </c>
      <c r="R321" s="30">
        <f t="shared" ca="1" si="99"/>
        <v>28.963556809079012</v>
      </c>
      <c r="S321" s="30">
        <f t="shared" ca="1" si="99"/>
        <v>12.069339080337336</v>
      </c>
      <c r="T321" s="30">
        <f t="shared" ca="1" si="99"/>
        <v>21.931715048207288</v>
      </c>
      <c r="U321" s="30">
        <f t="shared" ca="1" si="99"/>
        <v>11.312129783542938</v>
      </c>
      <c r="V321" s="30">
        <f t="shared" ca="1" si="99"/>
        <v>22.048915213783321</v>
      </c>
      <c r="W321" s="30">
        <f t="shared" ca="1" si="99"/>
        <v>26.453231519345191</v>
      </c>
      <c r="X321" s="30">
        <f t="shared" ca="1" si="99"/>
        <v>12.550475221426028</v>
      </c>
      <c r="Y321" s="30">
        <f t="shared" ca="1" si="99"/>
        <v>1.2329063853858706</v>
      </c>
      <c r="Z321" s="30">
        <f t="shared" ca="1" si="99"/>
        <v>27.918318701811828</v>
      </c>
      <c r="AA321" s="26">
        <v>313</v>
      </c>
      <c r="AB321" s="31">
        <f t="shared" ca="1" si="93"/>
        <v>9</v>
      </c>
      <c r="AC321" s="31">
        <f t="shared" ca="1" si="82"/>
        <v>35</v>
      </c>
      <c r="AD321" s="31">
        <f t="shared" ca="1" si="83"/>
        <v>17</v>
      </c>
      <c r="AE321" s="31">
        <f t="shared" ca="1" si="84"/>
        <v>67</v>
      </c>
      <c r="AF321" s="31">
        <f t="shared" ca="1" si="85"/>
        <v>15</v>
      </c>
      <c r="AG321" s="31">
        <f t="shared" ca="1" si="86"/>
        <v>36</v>
      </c>
      <c r="AH321" s="31">
        <f t="shared" ca="1" si="87"/>
        <v>14</v>
      </c>
      <c r="AI321" s="31">
        <f t="shared" ca="1" si="88"/>
        <v>36</v>
      </c>
      <c r="AJ321" s="31">
        <f t="shared" ca="1" si="89"/>
        <v>52</v>
      </c>
      <c r="AK321" s="31">
        <f t="shared" ca="1" si="90"/>
        <v>16</v>
      </c>
      <c r="AL321" s="31">
        <f t="shared" ca="1" si="91"/>
        <v>2</v>
      </c>
      <c r="AM321" s="31">
        <f t="shared" ca="1" si="92"/>
        <v>60</v>
      </c>
    </row>
    <row r="322" spans="14:39">
      <c r="N322" s="26">
        <v>314</v>
      </c>
      <c r="O322" s="30">
        <f t="shared" ca="1" si="99"/>
        <v>6.3509570399220374</v>
      </c>
      <c r="P322" s="30">
        <f t="shared" ca="1" si="99"/>
        <v>4.9209200333978398</v>
      </c>
      <c r="Q322" s="30">
        <f t="shared" ca="1" si="99"/>
        <v>14.383782236634991</v>
      </c>
      <c r="R322" s="30">
        <f t="shared" ca="1" si="99"/>
        <v>25.501908654379051</v>
      </c>
      <c r="S322" s="30">
        <f t="shared" ca="1" si="99"/>
        <v>25.001602159662063</v>
      </c>
      <c r="T322" s="30">
        <f t="shared" ca="1" si="99"/>
        <v>22.107143739335406</v>
      </c>
      <c r="U322" s="30">
        <f t="shared" ca="1" si="99"/>
        <v>29.509298595860987</v>
      </c>
      <c r="V322" s="30">
        <f t="shared" ca="1" si="99"/>
        <v>30.204966876769486</v>
      </c>
      <c r="W322" s="30">
        <f t="shared" ca="1" si="99"/>
        <v>18.272357491638303</v>
      </c>
      <c r="X322" s="30">
        <f t="shared" ca="1" si="99"/>
        <v>5.6565501143302406</v>
      </c>
      <c r="Y322" s="30">
        <f t="shared" ca="1" si="99"/>
        <v>31.528756288805965</v>
      </c>
      <c r="Z322" s="30">
        <f t="shared" ca="1" si="99"/>
        <v>29.512166209414062</v>
      </c>
      <c r="AA322" s="26">
        <v>314</v>
      </c>
      <c r="AB322" s="31">
        <f t="shared" ca="1" si="93"/>
        <v>7</v>
      </c>
      <c r="AC322" s="31">
        <f t="shared" ca="1" si="82"/>
        <v>6</v>
      </c>
      <c r="AD322" s="31">
        <f t="shared" ca="1" si="83"/>
        <v>19</v>
      </c>
      <c r="AE322" s="31">
        <f t="shared" ca="1" si="84"/>
        <v>48</v>
      </c>
      <c r="AF322" s="31">
        <f t="shared" ca="1" si="85"/>
        <v>46</v>
      </c>
      <c r="AG322" s="31">
        <f t="shared" ca="1" si="86"/>
        <v>36</v>
      </c>
      <c r="AH322" s="31">
        <f t="shared" ca="1" si="87"/>
        <v>72</v>
      </c>
      <c r="AI322" s="31">
        <f t="shared" ca="1" si="88"/>
        <v>78</v>
      </c>
      <c r="AJ322" s="31">
        <f t="shared" ca="1" si="89"/>
        <v>27</v>
      </c>
      <c r="AK322" s="31">
        <f t="shared" ca="1" si="90"/>
        <v>7</v>
      </c>
      <c r="AL322" s="31">
        <f t="shared" ca="1" si="91"/>
        <v>96</v>
      </c>
      <c r="AM322" s="31">
        <f t="shared" ca="1" si="92"/>
        <v>72</v>
      </c>
    </row>
    <row r="323" spans="14:39">
      <c r="N323" s="26">
        <v>315</v>
      </c>
      <c r="O323" s="30">
        <f t="shared" ca="1" si="99"/>
        <v>0.89793728788454907</v>
      </c>
      <c r="P323" s="30">
        <f t="shared" ca="1" si="99"/>
        <v>4.0386236664397792</v>
      </c>
      <c r="Q323" s="30">
        <f t="shared" ca="1" si="99"/>
        <v>32.03731020183595</v>
      </c>
      <c r="R323" s="30">
        <f t="shared" ca="1" si="99"/>
        <v>28.237177965795698</v>
      </c>
      <c r="S323" s="30">
        <f t="shared" ca="1" si="99"/>
        <v>7.2379582802891651</v>
      </c>
      <c r="T323" s="30">
        <f t="shared" ca="1" si="99"/>
        <v>16.979577125062697</v>
      </c>
      <c r="U323" s="30">
        <f t="shared" ca="1" si="99"/>
        <v>8.8194033065636717</v>
      </c>
      <c r="V323" s="30">
        <f t="shared" ca="1" si="99"/>
        <v>27.348191559382279</v>
      </c>
      <c r="W323" s="30">
        <f t="shared" ca="1" si="99"/>
        <v>15.864194219205924</v>
      </c>
      <c r="X323" s="30">
        <f t="shared" ca="1" si="99"/>
        <v>12.787231756765435</v>
      </c>
      <c r="Y323" s="30">
        <f t="shared" ca="1" si="99"/>
        <v>16.660152757607595</v>
      </c>
      <c r="Z323" s="30">
        <f t="shared" ca="1" si="99"/>
        <v>10.000894569067338</v>
      </c>
      <c r="AA323" s="26">
        <v>315</v>
      </c>
      <c r="AB323" s="31">
        <f t="shared" ca="1" si="93"/>
        <v>1</v>
      </c>
      <c r="AC323" s="31">
        <f t="shared" ca="1" si="82"/>
        <v>5</v>
      </c>
      <c r="AD323" s="31">
        <f t="shared" ca="1" si="83"/>
        <v>107</v>
      </c>
      <c r="AE323" s="31">
        <f t="shared" ca="1" si="84"/>
        <v>62</v>
      </c>
      <c r="AF323" s="31">
        <f t="shared" ca="1" si="85"/>
        <v>9</v>
      </c>
      <c r="AG323" s="31">
        <f t="shared" ca="1" si="86"/>
        <v>24</v>
      </c>
      <c r="AH323" s="31">
        <f t="shared" ca="1" si="87"/>
        <v>11</v>
      </c>
      <c r="AI323" s="31">
        <f t="shared" ca="1" si="88"/>
        <v>57</v>
      </c>
      <c r="AJ323" s="31">
        <f t="shared" ca="1" si="89"/>
        <v>22</v>
      </c>
      <c r="AK323" s="31">
        <f t="shared" ca="1" si="90"/>
        <v>16</v>
      </c>
      <c r="AL323" s="31">
        <f t="shared" ca="1" si="91"/>
        <v>23</v>
      </c>
      <c r="AM323" s="31">
        <f t="shared" ca="1" si="92"/>
        <v>12</v>
      </c>
    </row>
    <row r="324" spans="14:39">
      <c r="N324" s="26">
        <v>316</v>
      </c>
      <c r="O324" s="30">
        <f t="shared" ca="1" si="99"/>
        <v>13.450767790183978</v>
      </c>
      <c r="P324" s="30">
        <f t="shared" ca="1" si="99"/>
        <v>12.035560001865166</v>
      </c>
      <c r="Q324" s="30">
        <f t="shared" ca="1" si="99"/>
        <v>28.164924204305343</v>
      </c>
      <c r="R324" s="30">
        <f t="shared" ca="1" si="99"/>
        <v>30.420272034166288</v>
      </c>
      <c r="S324" s="30">
        <f t="shared" ca="1" si="99"/>
        <v>17.779121096162655</v>
      </c>
      <c r="T324" s="30">
        <f t="shared" ca="1" si="99"/>
        <v>19.98610443503625</v>
      </c>
      <c r="U324" s="30">
        <f t="shared" ca="1" si="99"/>
        <v>21.099293312900308</v>
      </c>
      <c r="V324" s="30">
        <f t="shared" ca="1" si="99"/>
        <v>25.755807975829775</v>
      </c>
      <c r="W324" s="30">
        <f t="shared" ca="1" si="99"/>
        <v>21.056794534935793</v>
      </c>
      <c r="X324" s="30">
        <f t="shared" ca="1" si="99"/>
        <v>23.005939718846214</v>
      </c>
      <c r="Y324" s="30">
        <f t="shared" ca="1" si="99"/>
        <v>19.225755987931905</v>
      </c>
      <c r="Z324" s="30">
        <f t="shared" ca="1" si="99"/>
        <v>20.384527279193446</v>
      </c>
      <c r="AA324" s="26">
        <v>316</v>
      </c>
      <c r="AB324" s="31">
        <f t="shared" ca="1" si="93"/>
        <v>17</v>
      </c>
      <c r="AC324" s="31">
        <f t="shared" ca="1" si="82"/>
        <v>15</v>
      </c>
      <c r="AD324" s="31">
        <f t="shared" ca="1" si="83"/>
        <v>62</v>
      </c>
      <c r="AE324" s="31">
        <f t="shared" ca="1" si="84"/>
        <v>81</v>
      </c>
      <c r="AF324" s="31">
        <f t="shared" ca="1" si="85"/>
        <v>26</v>
      </c>
      <c r="AG324" s="31">
        <f t="shared" ca="1" si="86"/>
        <v>31</v>
      </c>
      <c r="AH324" s="31">
        <f t="shared" ca="1" si="87"/>
        <v>33</v>
      </c>
      <c r="AI324" s="31">
        <f t="shared" ca="1" si="88"/>
        <v>49</v>
      </c>
      <c r="AJ324" s="31">
        <f t="shared" ca="1" si="89"/>
        <v>33</v>
      </c>
      <c r="AK324" s="31">
        <f t="shared" ca="1" si="90"/>
        <v>39</v>
      </c>
      <c r="AL324" s="31">
        <f t="shared" ca="1" si="91"/>
        <v>29</v>
      </c>
      <c r="AM324" s="31">
        <f t="shared" ca="1" si="92"/>
        <v>32</v>
      </c>
    </row>
    <row r="325" spans="14:39">
      <c r="N325" s="26">
        <v>317</v>
      </c>
      <c r="O325" s="30">
        <f t="shared" ca="1" si="99"/>
        <v>10.620625296007079</v>
      </c>
      <c r="P325" s="30">
        <f t="shared" ca="1" si="99"/>
        <v>8.9300479667812098</v>
      </c>
      <c r="Q325" s="30">
        <f t="shared" ca="1" si="99"/>
        <v>17.675147758850922</v>
      </c>
      <c r="R325" s="30">
        <f t="shared" ca="1" si="99"/>
        <v>7.1121149691504604</v>
      </c>
      <c r="S325" s="30">
        <f t="shared" ca="1" si="99"/>
        <v>9.588385819009595</v>
      </c>
      <c r="T325" s="30">
        <f t="shared" ca="1" si="99"/>
        <v>2.6579517593004187</v>
      </c>
      <c r="U325" s="30">
        <f t="shared" ca="1" si="99"/>
        <v>17.83656512671952</v>
      </c>
      <c r="V325" s="30">
        <f t="shared" ca="1" si="99"/>
        <v>8.8927056163139984</v>
      </c>
      <c r="W325" s="30">
        <f t="shared" ca="1" si="99"/>
        <v>0.16362889837265898</v>
      </c>
      <c r="X325" s="30">
        <f t="shared" ca="1" si="99"/>
        <v>10.827829709682675</v>
      </c>
      <c r="Y325" s="30">
        <f t="shared" ca="1" si="99"/>
        <v>15.011899093524013</v>
      </c>
      <c r="Z325" s="30">
        <f t="shared" ca="1" si="99"/>
        <v>14.254741707572808</v>
      </c>
      <c r="AA325" s="26">
        <v>317</v>
      </c>
      <c r="AB325" s="31">
        <f t="shared" ca="1" si="93"/>
        <v>13</v>
      </c>
      <c r="AC325" s="31">
        <f t="shared" ca="1" si="82"/>
        <v>11</v>
      </c>
      <c r="AD325" s="31">
        <f t="shared" ca="1" si="83"/>
        <v>25</v>
      </c>
      <c r="AE325" s="31">
        <f t="shared" ca="1" si="84"/>
        <v>8</v>
      </c>
      <c r="AF325" s="31">
        <f t="shared" ca="1" si="85"/>
        <v>12</v>
      </c>
      <c r="AG325" s="31">
        <f t="shared" ca="1" si="86"/>
        <v>3</v>
      </c>
      <c r="AH325" s="31">
        <f t="shared" ca="1" si="87"/>
        <v>26</v>
      </c>
      <c r="AI325" s="31">
        <f t="shared" ca="1" si="88"/>
        <v>11</v>
      </c>
      <c r="AJ325" s="31">
        <f t="shared" ca="1" si="89"/>
        <v>1</v>
      </c>
      <c r="AK325" s="31">
        <f t="shared" ca="1" si="90"/>
        <v>13</v>
      </c>
      <c r="AL325" s="31">
        <f t="shared" ca="1" si="91"/>
        <v>20</v>
      </c>
      <c r="AM325" s="31">
        <f t="shared" ca="1" si="92"/>
        <v>19</v>
      </c>
    </row>
    <row r="326" spans="14:39">
      <c r="N326" s="26">
        <v>318</v>
      </c>
      <c r="O326" s="30">
        <f t="shared" ca="1" si="99"/>
        <v>23.767948949685149</v>
      </c>
      <c r="P326" s="30">
        <f t="shared" ca="1" si="99"/>
        <v>7.8327052956719445</v>
      </c>
      <c r="Q326" s="30">
        <f t="shared" ca="1" si="99"/>
        <v>25.918354239376093</v>
      </c>
      <c r="R326" s="30">
        <f t="shared" ca="1" si="99"/>
        <v>9.701255198613536</v>
      </c>
      <c r="S326" s="30">
        <f t="shared" ca="1" si="99"/>
        <v>9.8792619263693933</v>
      </c>
      <c r="T326" s="30">
        <f t="shared" ca="1" si="99"/>
        <v>7.6733353117899936</v>
      </c>
      <c r="U326" s="30">
        <f t="shared" ca="1" si="99"/>
        <v>7.541956219473219</v>
      </c>
      <c r="V326" s="30">
        <f t="shared" ca="1" si="99"/>
        <v>28.991999591972402</v>
      </c>
      <c r="W326" s="30">
        <f t="shared" ca="1" si="99"/>
        <v>13.034282224825928</v>
      </c>
      <c r="X326" s="30">
        <f t="shared" ca="1" si="99"/>
        <v>30.439019616229253</v>
      </c>
      <c r="Y326" s="30">
        <f t="shared" ca="1" si="99"/>
        <v>3.1046204059131002</v>
      </c>
      <c r="Z326" s="30">
        <f t="shared" ca="1" si="99"/>
        <v>9.3977954403134447</v>
      </c>
      <c r="AA326" s="26">
        <v>318</v>
      </c>
      <c r="AB326" s="31">
        <f t="shared" ca="1" si="93"/>
        <v>41</v>
      </c>
      <c r="AC326" s="31">
        <f t="shared" ca="1" si="82"/>
        <v>9</v>
      </c>
      <c r="AD326" s="31">
        <f t="shared" ca="1" si="83"/>
        <v>50</v>
      </c>
      <c r="AE326" s="31">
        <f t="shared" ca="1" si="84"/>
        <v>12</v>
      </c>
      <c r="AF326" s="31">
        <f t="shared" ca="1" si="85"/>
        <v>12</v>
      </c>
      <c r="AG326" s="31">
        <f t="shared" ca="1" si="86"/>
        <v>9</v>
      </c>
      <c r="AH326" s="31">
        <f t="shared" ca="1" si="87"/>
        <v>9</v>
      </c>
      <c r="AI326" s="31">
        <f t="shared" ca="1" si="88"/>
        <v>67</v>
      </c>
      <c r="AJ326" s="31">
        <f t="shared" ca="1" si="89"/>
        <v>17</v>
      </c>
      <c r="AK326" s="31">
        <f t="shared" ca="1" si="90"/>
        <v>81</v>
      </c>
      <c r="AL326" s="31">
        <f t="shared" ca="1" si="91"/>
        <v>4</v>
      </c>
      <c r="AM326" s="31">
        <f t="shared" ca="1" si="92"/>
        <v>11</v>
      </c>
    </row>
    <row r="327" spans="14:39">
      <c r="N327" s="26">
        <v>319</v>
      </c>
      <c r="O327" s="30">
        <f t="shared" ca="1" si="99"/>
        <v>29.911794003818471</v>
      </c>
      <c r="P327" s="30">
        <f t="shared" ca="1" si="99"/>
        <v>24.911992163937768</v>
      </c>
      <c r="Q327" s="30">
        <f t="shared" ca="1" si="99"/>
        <v>11.119533006399131</v>
      </c>
      <c r="R327" s="30">
        <f t="shared" ca="1" si="99"/>
        <v>16.322656397915235</v>
      </c>
      <c r="S327" s="30">
        <f t="shared" ca="1" si="99"/>
        <v>7.7907831147082822</v>
      </c>
      <c r="T327" s="30">
        <f t="shared" ca="1" si="99"/>
        <v>19.027413175674504</v>
      </c>
      <c r="U327" s="30">
        <f t="shared" ca="1" si="99"/>
        <v>15.631827971343798</v>
      </c>
      <c r="V327" s="30">
        <f t="shared" ca="1" si="99"/>
        <v>13.964096361368606</v>
      </c>
      <c r="W327" s="30">
        <f t="shared" ca="1" si="99"/>
        <v>13.393953730156838</v>
      </c>
      <c r="X327" s="30">
        <f t="shared" ca="1" si="99"/>
        <v>3.5929442433686845</v>
      </c>
      <c r="Y327" s="30">
        <f t="shared" ca="1" si="99"/>
        <v>15.360674250941226</v>
      </c>
      <c r="Z327" s="30">
        <f t="shared" ca="1" si="99"/>
        <v>28.33192208528699</v>
      </c>
      <c r="AA327" s="26">
        <v>319</v>
      </c>
      <c r="AB327" s="31">
        <f t="shared" ca="1" si="93"/>
        <v>75</v>
      </c>
      <c r="AC327" s="31">
        <f t="shared" ca="1" si="82"/>
        <v>46</v>
      </c>
      <c r="AD327" s="31">
        <f t="shared" ca="1" si="83"/>
        <v>14</v>
      </c>
      <c r="AE327" s="31">
        <f t="shared" ca="1" si="84"/>
        <v>23</v>
      </c>
      <c r="AF327" s="31">
        <f t="shared" ca="1" si="85"/>
        <v>9</v>
      </c>
      <c r="AG327" s="31">
        <f t="shared" ca="1" si="86"/>
        <v>28</v>
      </c>
      <c r="AH327" s="31">
        <f t="shared" ca="1" si="87"/>
        <v>21</v>
      </c>
      <c r="AI327" s="31">
        <f t="shared" ca="1" si="88"/>
        <v>18</v>
      </c>
      <c r="AJ327" s="31">
        <f t="shared" ca="1" si="89"/>
        <v>17</v>
      </c>
      <c r="AK327" s="31">
        <f t="shared" ca="1" si="90"/>
        <v>4</v>
      </c>
      <c r="AL327" s="31">
        <f t="shared" ca="1" si="91"/>
        <v>21</v>
      </c>
      <c r="AM327" s="31">
        <f t="shared" ca="1" si="92"/>
        <v>63</v>
      </c>
    </row>
    <row r="328" spans="14:39">
      <c r="N328" s="26">
        <v>320</v>
      </c>
      <c r="O328" s="30">
        <f t="shared" ca="1" si="99"/>
        <v>14.508319850803403</v>
      </c>
      <c r="P328" s="30">
        <f t="shared" ca="1" si="99"/>
        <v>7.2676373237654763</v>
      </c>
      <c r="Q328" s="30">
        <f t="shared" ca="1" si="99"/>
        <v>8.6753224858688256</v>
      </c>
      <c r="R328" s="30">
        <f t="shared" ca="1" si="99"/>
        <v>6.7432172774435992</v>
      </c>
      <c r="S328" s="30">
        <f t="shared" ca="1" si="99"/>
        <v>5.7060431863114056</v>
      </c>
      <c r="T328" s="30">
        <f t="shared" ca="1" si="99"/>
        <v>11.737388141861668</v>
      </c>
      <c r="U328" s="30">
        <f t="shared" ca="1" si="99"/>
        <v>33.05534044750322</v>
      </c>
      <c r="V328" s="30">
        <f t="shared" ca="1" si="99"/>
        <v>9.96512247898095</v>
      </c>
      <c r="W328" s="30">
        <f t="shared" ca="1" si="99"/>
        <v>0.70979892424574764</v>
      </c>
      <c r="X328" s="30">
        <f t="shared" ca="1" si="99"/>
        <v>25.504960362719839</v>
      </c>
      <c r="Y328" s="30">
        <f t="shared" ca="1" si="99"/>
        <v>19.673812463740319</v>
      </c>
      <c r="Z328" s="30">
        <f t="shared" ca="1" si="99"/>
        <v>32.370645907841457</v>
      </c>
      <c r="AA328" s="26">
        <v>320</v>
      </c>
      <c r="AB328" s="31">
        <f t="shared" ca="1" si="93"/>
        <v>19</v>
      </c>
      <c r="AC328" s="31">
        <f t="shared" ca="1" si="82"/>
        <v>9</v>
      </c>
      <c r="AD328" s="31">
        <f t="shared" ca="1" si="83"/>
        <v>10</v>
      </c>
      <c r="AE328" s="31">
        <f t="shared" ca="1" si="84"/>
        <v>8</v>
      </c>
      <c r="AF328" s="31">
        <f t="shared" ca="1" si="85"/>
        <v>7</v>
      </c>
      <c r="AG328" s="31">
        <f t="shared" ca="1" si="86"/>
        <v>15</v>
      </c>
      <c r="AH328" s="31">
        <f t="shared" ca="1" si="87"/>
        <v>158</v>
      </c>
      <c r="AI328" s="31">
        <f t="shared" ca="1" si="88"/>
        <v>12</v>
      </c>
      <c r="AJ328" s="31">
        <f t="shared" ca="1" si="89"/>
        <v>1</v>
      </c>
      <c r="AK328" s="31">
        <f t="shared" ca="1" si="90"/>
        <v>48</v>
      </c>
      <c r="AL328" s="31">
        <f t="shared" ca="1" si="91"/>
        <v>30</v>
      </c>
      <c r="AM328" s="31">
        <f t="shared" ca="1" si="92"/>
        <v>117</v>
      </c>
    </row>
    <row r="329" spans="14:39">
      <c r="N329" s="26">
        <v>321</v>
      </c>
      <c r="O329" s="30">
        <f t="shared" ref="O329:Z338" ca="1" si="100">RAND()*sumweights</f>
        <v>7.1294910952346253</v>
      </c>
      <c r="P329" s="30">
        <f t="shared" ca="1" si="100"/>
        <v>27.847100337244722</v>
      </c>
      <c r="Q329" s="30">
        <f t="shared" ca="1" si="100"/>
        <v>6.2198126678106362</v>
      </c>
      <c r="R329" s="30">
        <f t="shared" ca="1" si="100"/>
        <v>21.838232269060107</v>
      </c>
      <c r="S329" s="30">
        <f t="shared" ca="1" si="100"/>
        <v>14.426565588823999</v>
      </c>
      <c r="T329" s="30">
        <f t="shared" ca="1" si="100"/>
        <v>22.287872918498195</v>
      </c>
      <c r="U329" s="30">
        <f t="shared" ca="1" si="100"/>
        <v>5.486070419791945</v>
      </c>
      <c r="V329" s="30">
        <f t="shared" ca="1" si="100"/>
        <v>21.923816820019407</v>
      </c>
      <c r="W329" s="30">
        <f t="shared" ca="1" si="100"/>
        <v>16.061538176151647</v>
      </c>
      <c r="X329" s="30">
        <f t="shared" ca="1" si="100"/>
        <v>28.17802848150497</v>
      </c>
      <c r="Y329" s="30">
        <f t="shared" ca="1" si="100"/>
        <v>5.6036002266517828</v>
      </c>
      <c r="Z329" s="30">
        <f t="shared" ca="1" si="100"/>
        <v>26.848400190720277</v>
      </c>
      <c r="AA329" s="26">
        <v>321</v>
      </c>
      <c r="AB329" s="31">
        <f t="shared" ca="1" si="93"/>
        <v>8</v>
      </c>
      <c r="AC329" s="31">
        <f t="shared" ref="AC329:AC392" ca="1" si="101">MATCH(P329,cum_wt,1)</f>
        <v>60</v>
      </c>
      <c r="AD329" s="31">
        <f t="shared" ref="AD329:AD392" ca="1" si="102">MATCH(Q329,cum_wt,1)</f>
        <v>7</v>
      </c>
      <c r="AE329" s="31">
        <f t="shared" ref="AE329:AE392" ca="1" si="103">MATCH(R329,cum_wt,1)</f>
        <v>35</v>
      </c>
      <c r="AF329" s="31">
        <f t="shared" ref="AF329:AF392" ca="1" si="104">MATCH(S329,cum_wt,1)</f>
        <v>19</v>
      </c>
      <c r="AG329" s="31">
        <f t="shared" ref="AG329:AG392" ca="1" si="105">MATCH(T329,cum_wt,1)</f>
        <v>37</v>
      </c>
      <c r="AH329" s="31">
        <f t="shared" ref="AH329:AH392" ca="1" si="106">MATCH(U329,cum_wt,1)</f>
        <v>6</v>
      </c>
      <c r="AI329" s="31">
        <f t="shared" ref="AI329:AI392" ca="1" si="107">MATCH(V329,cum_wt,1)</f>
        <v>36</v>
      </c>
      <c r="AJ329" s="31">
        <f t="shared" ref="AJ329:AJ392" ca="1" si="108">MATCH(W329,cum_wt,1)</f>
        <v>22</v>
      </c>
      <c r="AK329" s="31">
        <f t="shared" ref="AK329:AK392" ca="1" si="109">MATCH(X329,cum_wt,1)</f>
        <v>62</v>
      </c>
      <c r="AL329" s="31">
        <f t="shared" ref="AL329:AL392" ca="1" si="110">MATCH(Y329,cum_wt,1)</f>
        <v>7</v>
      </c>
      <c r="AM329" s="31">
        <f t="shared" ref="AM329:AM392" ca="1" si="111">MATCH(Z329,cum_wt,1)</f>
        <v>54</v>
      </c>
    </row>
    <row r="330" spans="14:39">
      <c r="N330" s="26">
        <v>322</v>
      </c>
      <c r="O330" s="30">
        <f t="shared" ca="1" si="100"/>
        <v>31.874040682312213</v>
      </c>
      <c r="P330" s="30">
        <f t="shared" ca="1" si="100"/>
        <v>21.762390034163015</v>
      </c>
      <c r="Q330" s="30">
        <f t="shared" ca="1" si="100"/>
        <v>3.0637396164804489</v>
      </c>
      <c r="R330" s="30">
        <f t="shared" ca="1" si="100"/>
        <v>18.463413406340344</v>
      </c>
      <c r="S330" s="30">
        <f t="shared" ca="1" si="100"/>
        <v>26.147573827427415</v>
      </c>
      <c r="T330" s="30">
        <f t="shared" ca="1" si="100"/>
        <v>24.158671958979841</v>
      </c>
      <c r="U330" s="30">
        <f t="shared" ca="1" si="100"/>
        <v>15.821262786686621</v>
      </c>
      <c r="V330" s="30">
        <f t="shared" ca="1" si="100"/>
        <v>11.850912420318281</v>
      </c>
      <c r="W330" s="30">
        <f t="shared" ca="1" si="100"/>
        <v>29.84395653035676</v>
      </c>
      <c r="X330" s="30">
        <f t="shared" ca="1" si="100"/>
        <v>0.78586024511051822</v>
      </c>
      <c r="Y330" s="30">
        <f t="shared" ca="1" si="100"/>
        <v>28.521004675953758</v>
      </c>
      <c r="Z330" s="30">
        <f t="shared" ca="1" si="100"/>
        <v>26.550133918779483</v>
      </c>
      <c r="AA330" s="26">
        <v>322</v>
      </c>
      <c r="AB330" s="31">
        <f t="shared" ref="AB330:AB393" ca="1" si="112">MATCH(O330,cum_wt,1)</f>
        <v>103</v>
      </c>
      <c r="AC330" s="31">
        <f t="shared" ca="1" si="101"/>
        <v>35</v>
      </c>
      <c r="AD330" s="31">
        <f t="shared" ca="1" si="102"/>
        <v>4</v>
      </c>
      <c r="AE330" s="31">
        <f t="shared" ca="1" si="103"/>
        <v>27</v>
      </c>
      <c r="AF330" s="31">
        <f t="shared" ca="1" si="104"/>
        <v>51</v>
      </c>
      <c r="AG330" s="31">
        <f t="shared" ca="1" si="105"/>
        <v>43</v>
      </c>
      <c r="AH330" s="31">
        <f t="shared" ca="1" si="106"/>
        <v>22</v>
      </c>
      <c r="AI330" s="31">
        <f t="shared" ca="1" si="107"/>
        <v>15</v>
      </c>
      <c r="AJ330" s="31">
        <f t="shared" ca="1" si="108"/>
        <v>75</v>
      </c>
      <c r="AK330" s="31">
        <f t="shared" ca="1" si="109"/>
        <v>1</v>
      </c>
      <c r="AL330" s="31">
        <f t="shared" ca="1" si="110"/>
        <v>64</v>
      </c>
      <c r="AM330" s="31">
        <f t="shared" ca="1" si="111"/>
        <v>53</v>
      </c>
    </row>
    <row r="331" spans="14:39">
      <c r="N331" s="26">
        <v>323</v>
      </c>
      <c r="O331" s="30">
        <f t="shared" ca="1" si="100"/>
        <v>2.8855964396777258</v>
      </c>
      <c r="P331" s="30">
        <f t="shared" ca="1" si="100"/>
        <v>30.150454830140323</v>
      </c>
      <c r="Q331" s="30">
        <f t="shared" ca="1" si="100"/>
        <v>19.157757441254397</v>
      </c>
      <c r="R331" s="30">
        <f t="shared" ca="1" si="100"/>
        <v>6.3410219294654349</v>
      </c>
      <c r="S331" s="30">
        <f t="shared" ca="1" si="100"/>
        <v>6.0985768053135674</v>
      </c>
      <c r="T331" s="30">
        <f t="shared" ca="1" si="100"/>
        <v>8.0557229557880952</v>
      </c>
      <c r="U331" s="30">
        <f t="shared" ca="1" si="100"/>
        <v>16.698681297903622</v>
      </c>
      <c r="V331" s="30">
        <f t="shared" ca="1" si="100"/>
        <v>12.083867720408417</v>
      </c>
      <c r="W331" s="30">
        <f t="shared" ca="1" si="100"/>
        <v>15.62907013344917</v>
      </c>
      <c r="X331" s="30">
        <f t="shared" ca="1" si="100"/>
        <v>3.3901981067642648</v>
      </c>
      <c r="Y331" s="30">
        <f t="shared" ca="1" si="100"/>
        <v>20.029103902041062</v>
      </c>
      <c r="Z331" s="30">
        <f t="shared" ca="1" si="100"/>
        <v>4.6849852558046488</v>
      </c>
      <c r="AA331" s="26">
        <v>323</v>
      </c>
      <c r="AB331" s="31">
        <f t="shared" ca="1" si="112"/>
        <v>3</v>
      </c>
      <c r="AC331" s="31">
        <f t="shared" ca="1" si="101"/>
        <v>78</v>
      </c>
      <c r="AD331" s="31">
        <f t="shared" ca="1" si="102"/>
        <v>29</v>
      </c>
      <c r="AE331" s="31">
        <f t="shared" ca="1" si="103"/>
        <v>7</v>
      </c>
      <c r="AF331" s="31">
        <f t="shared" ca="1" si="104"/>
        <v>7</v>
      </c>
      <c r="AG331" s="31">
        <f t="shared" ca="1" si="105"/>
        <v>10</v>
      </c>
      <c r="AH331" s="31">
        <f t="shared" ca="1" si="106"/>
        <v>23</v>
      </c>
      <c r="AI331" s="31">
        <f t="shared" ca="1" si="107"/>
        <v>15</v>
      </c>
      <c r="AJ331" s="31">
        <f t="shared" ca="1" si="108"/>
        <v>21</v>
      </c>
      <c r="AK331" s="31">
        <f t="shared" ca="1" si="109"/>
        <v>4</v>
      </c>
      <c r="AL331" s="31">
        <f t="shared" ca="1" si="110"/>
        <v>31</v>
      </c>
      <c r="AM331" s="31">
        <f t="shared" ca="1" si="111"/>
        <v>5</v>
      </c>
    </row>
    <row r="332" spans="14:39">
      <c r="N332" s="26">
        <v>324</v>
      </c>
      <c r="O332" s="30">
        <f t="shared" ca="1" si="100"/>
        <v>9.0598094638742879</v>
      </c>
      <c r="P332" s="30">
        <f t="shared" ca="1" si="100"/>
        <v>14.904430231065271</v>
      </c>
      <c r="Q332" s="30">
        <f t="shared" ca="1" si="100"/>
        <v>9.8048772597087996</v>
      </c>
      <c r="R332" s="30">
        <f t="shared" ca="1" si="100"/>
        <v>32.844435019439231</v>
      </c>
      <c r="S332" s="30">
        <f t="shared" ca="1" si="100"/>
        <v>32.152017227149123</v>
      </c>
      <c r="T332" s="30">
        <f t="shared" ca="1" si="100"/>
        <v>3.1175701097401216</v>
      </c>
      <c r="U332" s="30">
        <f t="shared" ca="1" si="100"/>
        <v>14.092489898965095</v>
      </c>
      <c r="V332" s="30">
        <f t="shared" ca="1" si="100"/>
        <v>4.9511512165757727</v>
      </c>
      <c r="W332" s="30">
        <f t="shared" ca="1" si="100"/>
        <v>7.3612705187979737</v>
      </c>
      <c r="X332" s="30">
        <f t="shared" ca="1" si="100"/>
        <v>23.797051827557656</v>
      </c>
      <c r="Y332" s="30">
        <f t="shared" ca="1" si="100"/>
        <v>1.8983854109408296</v>
      </c>
      <c r="Z332" s="30">
        <f t="shared" ca="1" si="100"/>
        <v>24.7796014784257</v>
      </c>
      <c r="AA332" s="26">
        <v>324</v>
      </c>
      <c r="AB332" s="31">
        <f t="shared" ca="1" si="112"/>
        <v>11</v>
      </c>
      <c r="AC332" s="31">
        <f t="shared" ca="1" si="101"/>
        <v>20</v>
      </c>
      <c r="AD332" s="31">
        <f t="shared" ca="1" si="102"/>
        <v>12</v>
      </c>
      <c r="AE332" s="31">
        <f t="shared" ca="1" si="103"/>
        <v>139</v>
      </c>
      <c r="AF332" s="31">
        <f t="shared" ca="1" si="104"/>
        <v>110</v>
      </c>
      <c r="AG332" s="31">
        <f t="shared" ca="1" si="105"/>
        <v>4</v>
      </c>
      <c r="AH332" s="31">
        <f t="shared" ca="1" si="106"/>
        <v>19</v>
      </c>
      <c r="AI332" s="31">
        <f t="shared" ca="1" si="107"/>
        <v>6</v>
      </c>
      <c r="AJ332" s="31">
        <f t="shared" ca="1" si="108"/>
        <v>9</v>
      </c>
      <c r="AK332" s="31">
        <f t="shared" ca="1" si="109"/>
        <v>42</v>
      </c>
      <c r="AL332" s="31">
        <f t="shared" ca="1" si="110"/>
        <v>2</v>
      </c>
      <c r="AM332" s="31">
        <f t="shared" ca="1" si="111"/>
        <v>45</v>
      </c>
    </row>
    <row r="333" spans="14:39">
      <c r="N333" s="26">
        <v>325</v>
      </c>
      <c r="O333" s="30">
        <f t="shared" ca="1" si="100"/>
        <v>0.20363668185691416</v>
      </c>
      <c r="P333" s="30">
        <f t="shared" ca="1" si="100"/>
        <v>1.8010271308327728</v>
      </c>
      <c r="Q333" s="30">
        <f t="shared" ca="1" si="100"/>
        <v>11.699739908872781</v>
      </c>
      <c r="R333" s="30">
        <f t="shared" ca="1" si="100"/>
        <v>17.109867939183896</v>
      </c>
      <c r="S333" s="30">
        <f t="shared" ca="1" si="100"/>
        <v>23.953823176591495</v>
      </c>
      <c r="T333" s="30">
        <f t="shared" ca="1" si="100"/>
        <v>20.87454384958998</v>
      </c>
      <c r="U333" s="30">
        <f t="shared" ca="1" si="100"/>
        <v>21.445022641513223</v>
      </c>
      <c r="V333" s="30">
        <f t="shared" ca="1" si="100"/>
        <v>26.974670813277648</v>
      </c>
      <c r="W333" s="30">
        <f t="shared" ca="1" si="100"/>
        <v>13.765962270637502</v>
      </c>
      <c r="X333" s="30">
        <f t="shared" ca="1" si="100"/>
        <v>15.342854531509815</v>
      </c>
      <c r="Y333" s="30">
        <f t="shared" ca="1" si="100"/>
        <v>0.27589121950368029</v>
      </c>
      <c r="Z333" s="30">
        <f t="shared" ca="1" si="100"/>
        <v>20.127905608145305</v>
      </c>
      <c r="AA333" s="26">
        <v>325</v>
      </c>
      <c r="AB333" s="31">
        <f t="shared" ca="1" si="112"/>
        <v>1</v>
      </c>
      <c r="AC333" s="31">
        <f t="shared" ca="1" si="101"/>
        <v>2</v>
      </c>
      <c r="AD333" s="31">
        <f t="shared" ca="1" si="102"/>
        <v>15</v>
      </c>
      <c r="AE333" s="31">
        <f t="shared" ca="1" si="103"/>
        <v>24</v>
      </c>
      <c r="AF333" s="31">
        <f t="shared" ca="1" si="104"/>
        <v>42</v>
      </c>
      <c r="AG333" s="31">
        <f t="shared" ca="1" si="105"/>
        <v>33</v>
      </c>
      <c r="AH333" s="31">
        <f t="shared" ca="1" si="106"/>
        <v>34</v>
      </c>
      <c r="AI333" s="31">
        <f t="shared" ca="1" si="107"/>
        <v>55</v>
      </c>
      <c r="AJ333" s="31">
        <f t="shared" ca="1" si="108"/>
        <v>18</v>
      </c>
      <c r="AK333" s="31">
        <f t="shared" ca="1" si="109"/>
        <v>21</v>
      </c>
      <c r="AL333" s="31">
        <f t="shared" ca="1" si="110"/>
        <v>1</v>
      </c>
      <c r="AM333" s="31">
        <f t="shared" ca="1" si="111"/>
        <v>31</v>
      </c>
    </row>
    <row r="334" spans="14:39">
      <c r="N334" s="26">
        <v>326</v>
      </c>
      <c r="O334" s="30">
        <f t="shared" ca="1" si="100"/>
        <v>10.8978327743375</v>
      </c>
      <c r="P334" s="30">
        <f t="shared" ca="1" si="100"/>
        <v>18.367312328605031</v>
      </c>
      <c r="Q334" s="30">
        <f t="shared" ca="1" si="100"/>
        <v>14.903297771823782</v>
      </c>
      <c r="R334" s="30">
        <f t="shared" ca="1" si="100"/>
        <v>16.76450978194093</v>
      </c>
      <c r="S334" s="30">
        <f t="shared" ca="1" si="100"/>
        <v>33.149363618931254</v>
      </c>
      <c r="T334" s="30">
        <f t="shared" ca="1" si="100"/>
        <v>26.805852200652144</v>
      </c>
      <c r="U334" s="30">
        <f t="shared" ca="1" si="100"/>
        <v>3.1421279926778771</v>
      </c>
      <c r="V334" s="30">
        <f t="shared" ca="1" si="100"/>
        <v>13.024587148265148</v>
      </c>
      <c r="W334" s="30">
        <f t="shared" ca="1" si="100"/>
        <v>24.223683257069247</v>
      </c>
      <c r="X334" s="30">
        <f t="shared" ca="1" si="100"/>
        <v>23.060119881836659</v>
      </c>
      <c r="Y334" s="30">
        <f t="shared" ca="1" si="100"/>
        <v>5.7762021630765057</v>
      </c>
      <c r="Z334" s="30">
        <f t="shared" ca="1" si="100"/>
        <v>15.877296994340368</v>
      </c>
      <c r="AA334" s="26">
        <v>326</v>
      </c>
      <c r="AB334" s="31">
        <f t="shared" ca="1" si="112"/>
        <v>13</v>
      </c>
      <c r="AC334" s="31">
        <f t="shared" ca="1" si="101"/>
        <v>27</v>
      </c>
      <c r="AD334" s="31">
        <f t="shared" ca="1" si="102"/>
        <v>20</v>
      </c>
      <c r="AE334" s="31">
        <f t="shared" ca="1" si="103"/>
        <v>23</v>
      </c>
      <c r="AF334" s="31">
        <f t="shared" ca="1" si="104"/>
        <v>171</v>
      </c>
      <c r="AG334" s="31">
        <f t="shared" ca="1" si="105"/>
        <v>54</v>
      </c>
      <c r="AH334" s="31">
        <f t="shared" ca="1" si="106"/>
        <v>4</v>
      </c>
      <c r="AI334" s="31">
        <f t="shared" ca="1" si="107"/>
        <v>17</v>
      </c>
      <c r="AJ334" s="31">
        <f t="shared" ca="1" si="108"/>
        <v>43</v>
      </c>
      <c r="AK334" s="31">
        <f t="shared" ca="1" si="109"/>
        <v>39</v>
      </c>
      <c r="AL334" s="31">
        <f t="shared" ca="1" si="110"/>
        <v>7</v>
      </c>
      <c r="AM334" s="31">
        <f t="shared" ca="1" si="111"/>
        <v>22</v>
      </c>
    </row>
    <row r="335" spans="14:39">
      <c r="N335" s="26">
        <v>327</v>
      </c>
      <c r="O335" s="30">
        <f t="shared" ca="1" si="100"/>
        <v>26.075243277171424</v>
      </c>
      <c r="P335" s="30">
        <f t="shared" ca="1" si="100"/>
        <v>13.350155710891068</v>
      </c>
      <c r="Q335" s="30">
        <f t="shared" ca="1" si="100"/>
        <v>29.000285636868842</v>
      </c>
      <c r="R335" s="30">
        <f t="shared" ca="1" si="100"/>
        <v>5.9933663815096256</v>
      </c>
      <c r="S335" s="30">
        <f t="shared" ca="1" si="100"/>
        <v>4.6753942823962946</v>
      </c>
      <c r="T335" s="30">
        <f t="shared" ca="1" si="100"/>
        <v>17.703644253440601</v>
      </c>
      <c r="U335" s="30">
        <f t="shared" ca="1" si="100"/>
        <v>23.26728837847639</v>
      </c>
      <c r="V335" s="30">
        <f t="shared" ca="1" si="100"/>
        <v>9.0794656868246104</v>
      </c>
      <c r="W335" s="30">
        <f t="shared" ca="1" si="100"/>
        <v>12.072395008192332</v>
      </c>
      <c r="X335" s="30">
        <f t="shared" ca="1" si="100"/>
        <v>18.64102563514535</v>
      </c>
      <c r="Y335" s="30">
        <f t="shared" ca="1" si="100"/>
        <v>21.941279158832081</v>
      </c>
      <c r="Z335" s="30">
        <f t="shared" ca="1" si="100"/>
        <v>7.0992082648299437</v>
      </c>
      <c r="AA335" s="26">
        <v>327</v>
      </c>
      <c r="AB335" s="31">
        <f t="shared" ca="1" si="112"/>
        <v>51</v>
      </c>
      <c r="AC335" s="31">
        <f t="shared" ca="1" si="101"/>
        <v>17</v>
      </c>
      <c r="AD335" s="31">
        <f t="shared" ca="1" si="102"/>
        <v>67</v>
      </c>
      <c r="AE335" s="31">
        <f t="shared" ca="1" si="103"/>
        <v>7</v>
      </c>
      <c r="AF335" s="31">
        <f t="shared" ca="1" si="104"/>
        <v>5</v>
      </c>
      <c r="AG335" s="31">
        <f t="shared" ca="1" si="105"/>
        <v>25</v>
      </c>
      <c r="AH335" s="31">
        <f t="shared" ca="1" si="106"/>
        <v>40</v>
      </c>
      <c r="AI335" s="31">
        <f t="shared" ca="1" si="107"/>
        <v>11</v>
      </c>
      <c r="AJ335" s="31">
        <f t="shared" ca="1" si="108"/>
        <v>15</v>
      </c>
      <c r="AK335" s="31">
        <f t="shared" ca="1" si="109"/>
        <v>27</v>
      </c>
      <c r="AL335" s="31">
        <f t="shared" ca="1" si="110"/>
        <v>36</v>
      </c>
      <c r="AM335" s="31">
        <f t="shared" ca="1" si="111"/>
        <v>8</v>
      </c>
    </row>
    <row r="336" spans="14:39">
      <c r="N336" s="26">
        <v>328</v>
      </c>
      <c r="O336" s="30">
        <f t="shared" ca="1" si="100"/>
        <v>1.9276358203458779</v>
      </c>
      <c r="P336" s="30">
        <f t="shared" ca="1" si="100"/>
        <v>12.578392493128339</v>
      </c>
      <c r="Q336" s="30">
        <f t="shared" ca="1" si="100"/>
        <v>17.998257452186554</v>
      </c>
      <c r="R336" s="30">
        <f t="shared" ca="1" si="100"/>
        <v>11.36218950141545</v>
      </c>
      <c r="S336" s="30">
        <f t="shared" ca="1" si="100"/>
        <v>17.261718935163834</v>
      </c>
      <c r="T336" s="30">
        <f t="shared" ca="1" si="100"/>
        <v>30.485545962272315</v>
      </c>
      <c r="U336" s="30">
        <f t="shared" ca="1" si="100"/>
        <v>0.78204223177829091</v>
      </c>
      <c r="V336" s="30">
        <f t="shared" ca="1" si="100"/>
        <v>8.2927627299393762</v>
      </c>
      <c r="W336" s="30">
        <f t="shared" ca="1" si="100"/>
        <v>25.323236365018932</v>
      </c>
      <c r="X336" s="30">
        <f t="shared" ca="1" si="100"/>
        <v>10.721183357859418</v>
      </c>
      <c r="Y336" s="30">
        <f t="shared" ca="1" si="100"/>
        <v>24.66468732526338</v>
      </c>
      <c r="Z336" s="30">
        <f t="shared" ca="1" si="100"/>
        <v>8.5200428242740855</v>
      </c>
      <c r="AA336" s="26">
        <v>328</v>
      </c>
      <c r="AB336" s="31">
        <f t="shared" ca="1" si="112"/>
        <v>2</v>
      </c>
      <c r="AC336" s="31">
        <f t="shared" ca="1" si="101"/>
        <v>16</v>
      </c>
      <c r="AD336" s="31">
        <f t="shared" ca="1" si="102"/>
        <v>26</v>
      </c>
      <c r="AE336" s="31">
        <f t="shared" ca="1" si="103"/>
        <v>14</v>
      </c>
      <c r="AF336" s="31">
        <f t="shared" ca="1" si="104"/>
        <v>24</v>
      </c>
      <c r="AG336" s="31">
        <f t="shared" ca="1" si="105"/>
        <v>81</v>
      </c>
      <c r="AH336" s="31">
        <f t="shared" ca="1" si="106"/>
        <v>1</v>
      </c>
      <c r="AI336" s="31">
        <f t="shared" ca="1" si="107"/>
        <v>10</v>
      </c>
      <c r="AJ336" s="31">
        <f t="shared" ca="1" si="108"/>
        <v>47</v>
      </c>
      <c r="AK336" s="31">
        <f t="shared" ca="1" si="109"/>
        <v>13</v>
      </c>
      <c r="AL336" s="31">
        <f t="shared" ca="1" si="110"/>
        <v>45</v>
      </c>
      <c r="AM336" s="31">
        <f t="shared" ca="1" si="111"/>
        <v>10</v>
      </c>
    </row>
    <row r="337" spans="14:39">
      <c r="N337" s="26">
        <v>329</v>
      </c>
      <c r="O337" s="30">
        <f t="shared" ca="1" si="100"/>
        <v>32.056175732863345</v>
      </c>
      <c r="P337" s="30">
        <f t="shared" ca="1" si="100"/>
        <v>30.581695567253171</v>
      </c>
      <c r="Q337" s="30">
        <f t="shared" ca="1" si="100"/>
        <v>27.790127044363466</v>
      </c>
      <c r="R337" s="30">
        <f t="shared" ca="1" si="100"/>
        <v>30.943878841373735</v>
      </c>
      <c r="S337" s="30">
        <f t="shared" ca="1" si="100"/>
        <v>17.667441707081288</v>
      </c>
      <c r="T337" s="30">
        <f t="shared" ca="1" si="100"/>
        <v>17.036880339389242</v>
      </c>
      <c r="U337" s="30">
        <f t="shared" ca="1" si="100"/>
        <v>7.364654268129013</v>
      </c>
      <c r="V337" s="30">
        <f t="shared" ca="1" si="100"/>
        <v>21.660807657114582</v>
      </c>
      <c r="W337" s="30">
        <f t="shared" ca="1" si="100"/>
        <v>13.799182449380806</v>
      </c>
      <c r="X337" s="30">
        <f t="shared" ca="1" si="100"/>
        <v>9.5200034501451096</v>
      </c>
      <c r="Y337" s="30">
        <f t="shared" ca="1" si="100"/>
        <v>23.927377032684536</v>
      </c>
      <c r="Z337" s="30">
        <f t="shared" ca="1" si="100"/>
        <v>3.0405363752177101</v>
      </c>
      <c r="AA337" s="26">
        <v>329</v>
      </c>
      <c r="AB337" s="31">
        <f t="shared" ca="1" si="112"/>
        <v>108</v>
      </c>
      <c r="AC337" s="31">
        <f t="shared" ca="1" si="101"/>
        <v>82</v>
      </c>
      <c r="AD337" s="31">
        <f t="shared" ca="1" si="102"/>
        <v>59</v>
      </c>
      <c r="AE337" s="31">
        <f t="shared" ca="1" si="103"/>
        <v>87</v>
      </c>
      <c r="AF337" s="31">
        <f t="shared" ca="1" si="104"/>
        <v>25</v>
      </c>
      <c r="AG337" s="31">
        <f t="shared" ca="1" si="105"/>
        <v>24</v>
      </c>
      <c r="AH337" s="31">
        <f t="shared" ca="1" si="106"/>
        <v>9</v>
      </c>
      <c r="AI337" s="31">
        <f t="shared" ca="1" si="107"/>
        <v>35</v>
      </c>
      <c r="AJ337" s="31">
        <f t="shared" ca="1" si="108"/>
        <v>18</v>
      </c>
      <c r="AK337" s="31">
        <f t="shared" ca="1" si="109"/>
        <v>12</v>
      </c>
      <c r="AL337" s="31">
        <f t="shared" ca="1" si="110"/>
        <v>42</v>
      </c>
      <c r="AM337" s="31">
        <f t="shared" ca="1" si="111"/>
        <v>4</v>
      </c>
    </row>
    <row r="338" spans="14:39">
      <c r="N338" s="26">
        <v>330</v>
      </c>
      <c r="O338" s="30">
        <f t="shared" ca="1" si="100"/>
        <v>7.5707944176208777</v>
      </c>
      <c r="P338" s="30">
        <f t="shared" ca="1" si="100"/>
        <v>8.2521671632607152</v>
      </c>
      <c r="Q338" s="30">
        <f t="shared" ca="1" si="100"/>
        <v>23.786075150601643</v>
      </c>
      <c r="R338" s="30">
        <f t="shared" ca="1" si="100"/>
        <v>30.395008734072345</v>
      </c>
      <c r="S338" s="30">
        <f t="shared" ca="1" si="100"/>
        <v>18.232376129975183</v>
      </c>
      <c r="T338" s="30">
        <f t="shared" ca="1" si="100"/>
        <v>17.831201873071539</v>
      </c>
      <c r="U338" s="30">
        <f t="shared" ca="1" si="100"/>
        <v>24.83486286602437</v>
      </c>
      <c r="V338" s="30">
        <f t="shared" ca="1" si="100"/>
        <v>23.626131227185592</v>
      </c>
      <c r="W338" s="30">
        <f t="shared" ca="1" si="100"/>
        <v>16.195111155953622</v>
      </c>
      <c r="X338" s="30">
        <f t="shared" ca="1" si="100"/>
        <v>5.4716076578104085</v>
      </c>
      <c r="Y338" s="30">
        <f t="shared" ca="1" si="100"/>
        <v>13.163876509121891</v>
      </c>
      <c r="Z338" s="30">
        <f t="shared" ca="1" si="100"/>
        <v>6.3759498402444157</v>
      </c>
      <c r="AA338" s="26">
        <v>330</v>
      </c>
      <c r="AB338" s="31">
        <f t="shared" ca="1" si="112"/>
        <v>9</v>
      </c>
      <c r="AC338" s="31">
        <f t="shared" ca="1" si="101"/>
        <v>10</v>
      </c>
      <c r="AD338" s="31">
        <f t="shared" ca="1" si="102"/>
        <v>42</v>
      </c>
      <c r="AE338" s="31">
        <f t="shared" ca="1" si="103"/>
        <v>80</v>
      </c>
      <c r="AF338" s="31">
        <f t="shared" ca="1" si="104"/>
        <v>26</v>
      </c>
      <c r="AG338" s="31">
        <f t="shared" ca="1" si="105"/>
        <v>26</v>
      </c>
      <c r="AH338" s="31">
        <f t="shared" ca="1" si="106"/>
        <v>45</v>
      </c>
      <c r="AI338" s="31">
        <f t="shared" ca="1" si="107"/>
        <v>41</v>
      </c>
      <c r="AJ338" s="31">
        <f t="shared" ca="1" si="108"/>
        <v>22</v>
      </c>
      <c r="AK338" s="31">
        <f t="shared" ca="1" si="109"/>
        <v>6</v>
      </c>
      <c r="AL338" s="31">
        <f t="shared" ca="1" si="110"/>
        <v>17</v>
      </c>
      <c r="AM338" s="31">
        <f t="shared" ca="1" si="111"/>
        <v>7</v>
      </c>
    </row>
    <row r="339" spans="14:39">
      <c r="N339" s="26">
        <v>331</v>
      </c>
      <c r="O339" s="30">
        <f t="shared" ref="O339:Z348" ca="1" si="113">RAND()*sumweights</f>
        <v>21.989847133965554</v>
      </c>
      <c r="P339" s="30">
        <f t="shared" ca="1" si="113"/>
        <v>8.6121581832216894</v>
      </c>
      <c r="Q339" s="30">
        <f t="shared" ca="1" si="113"/>
        <v>5.3021222470031502</v>
      </c>
      <c r="R339" s="30">
        <f t="shared" ca="1" si="113"/>
        <v>27.100151456644877</v>
      </c>
      <c r="S339" s="30">
        <f t="shared" ca="1" si="113"/>
        <v>16.463978986468966</v>
      </c>
      <c r="T339" s="30">
        <f t="shared" ca="1" si="113"/>
        <v>15.766587370198176</v>
      </c>
      <c r="U339" s="30">
        <f t="shared" ca="1" si="113"/>
        <v>10.11388426425726</v>
      </c>
      <c r="V339" s="30">
        <f t="shared" ca="1" si="113"/>
        <v>15.304464857458697</v>
      </c>
      <c r="W339" s="30">
        <f t="shared" ca="1" si="113"/>
        <v>18.455876539724034</v>
      </c>
      <c r="X339" s="30">
        <f t="shared" ca="1" si="113"/>
        <v>23.655296853819642</v>
      </c>
      <c r="Y339" s="30">
        <f t="shared" ca="1" si="113"/>
        <v>30.551135833082363</v>
      </c>
      <c r="Z339" s="30">
        <f t="shared" ca="1" si="113"/>
        <v>11.029981853167932</v>
      </c>
      <c r="AA339" s="26">
        <v>331</v>
      </c>
      <c r="AB339" s="31">
        <f t="shared" ca="1" si="112"/>
        <v>36</v>
      </c>
      <c r="AC339" s="31">
        <f t="shared" ca="1" si="101"/>
        <v>10</v>
      </c>
      <c r="AD339" s="31">
        <f t="shared" ca="1" si="102"/>
        <v>6</v>
      </c>
      <c r="AE339" s="31">
        <f t="shared" ca="1" si="103"/>
        <v>56</v>
      </c>
      <c r="AF339" s="31">
        <f t="shared" ca="1" si="104"/>
        <v>23</v>
      </c>
      <c r="AG339" s="31">
        <f t="shared" ca="1" si="105"/>
        <v>22</v>
      </c>
      <c r="AH339" s="31">
        <f t="shared" ca="1" si="106"/>
        <v>12</v>
      </c>
      <c r="AI339" s="31">
        <f t="shared" ca="1" si="107"/>
        <v>21</v>
      </c>
      <c r="AJ339" s="31">
        <f t="shared" ca="1" si="108"/>
        <v>27</v>
      </c>
      <c r="AK339" s="31">
        <f t="shared" ca="1" si="109"/>
        <v>41</v>
      </c>
      <c r="AL339" s="31">
        <f t="shared" ca="1" si="110"/>
        <v>82</v>
      </c>
      <c r="AM339" s="31">
        <f t="shared" ca="1" si="111"/>
        <v>14</v>
      </c>
    </row>
    <row r="340" spans="14:39">
      <c r="N340" s="26">
        <v>332</v>
      </c>
      <c r="O340" s="30">
        <f t="shared" ca="1" si="113"/>
        <v>22.27799589754509</v>
      </c>
      <c r="P340" s="30">
        <f t="shared" ca="1" si="113"/>
        <v>32.07218206654143</v>
      </c>
      <c r="Q340" s="30">
        <f t="shared" ca="1" si="113"/>
        <v>20.065921651306081</v>
      </c>
      <c r="R340" s="30">
        <f t="shared" ca="1" si="113"/>
        <v>20.474332585802241</v>
      </c>
      <c r="S340" s="30">
        <f t="shared" ca="1" si="113"/>
        <v>7.664567652474136</v>
      </c>
      <c r="T340" s="30">
        <f t="shared" ca="1" si="113"/>
        <v>6.887693214957892</v>
      </c>
      <c r="U340" s="30">
        <f t="shared" ca="1" si="113"/>
        <v>3.4845466293736393</v>
      </c>
      <c r="V340" s="30">
        <f t="shared" ca="1" si="113"/>
        <v>8.2463680136822468</v>
      </c>
      <c r="W340" s="30">
        <f t="shared" ca="1" si="113"/>
        <v>7.5976932161680342</v>
      </c>
      <c r="X340" s="30">
        <f t="shared" ca="1" si="113"/>
        <v>11.6831711187629</v>
      </c>
      <c r="Y340" s="30">
        <f t="shared" ca="1" si="113"/>
        <v>21.950068083706121</v>
      </c>
      <c r="Z340" s="30">
        <f t="shared" ca="1" si="113"/>
        <v>3.1787892543705145</v>
      </c>
      <c r="AA340" s="26">
        <v>332</v>
      </c>
      <c r="AB340" s="31">
        <f t="shared" ca="1" si="112"/>
        <v>37</v>
      </c>
      <c r="AC340" s="31">
        <f t="shared" ca="1" si="101"/>
        <v>108</v>
      </c>
      <c r="AD340" s="31">
        <f t="shared" ca="1" si="102"/>
        <v>31</v>
      </c>
      <c r="AE340" s="31">
        <f t="shared" ca="1" si="103"/>
        <v>32</v>
      </c>
      <c r="AF340" s="31">
        <f t="shared" ca="1" si="104"/>
        <v>9</v>
      </c>
      <c r="AG340" s="31">
        <f t="shared" ca="1" si="105"/>
        <v>8</v>
      </c>
      <c r="AH340" s="31">
        <f t="shared" ca="1" si="106"/>
        <v>4</v>
      </c>
      <c r="AI340" s="31">
        <f t="shared" ca="1" si="107"/>
        <v>10</v>
      </c>
      <c r="AJ340" s="31">
        <f t="shared" ca="1" si="108"/>
        <v>9</v>
      </c>
      <c r="AK340" s="31">
        <f t="shared" ca="1" si="109"/>
        <v>15</v>
      </c>
      <c r="AL340" s="31">
        <f t="shared" ca="1" si="110"/>
        <v>36</v>
      </c>
      <c r="AM340" s="31">
        <f t="shared" ca="1" si="111"/>
        <v>4</v>
      </c>
    </row>
    <row r="341" spans="14:39">
      <c r="N341" s="26">
        <v>333</v>
      </c>
      <c r="O341" s="30">
        <f t="shared" ca="1" si="113"/>
        <v>14.639203809793933</v>
      </c>
      <c r="P341" s="30">
        <f t="shared" ca="1" si="113"/>
        <v>10.910523060398466</v>
      </c>
      <c r="Q341" s="30">
        <f t="shared" ca="1" si="113"/>
        <v>22.042413211703757</v>
      </c>
      <c r="R341" s="30">
        <f t="shared" ca="1" si="113"/>
        <v>22.692969636241958</v>
      </c>
      <c r="S341" s="30">
        <f t="shared" ca="1" si="113"/>
        <v>6.3742707463672286</v>
      </c>
      <c r="T341" s="30">
        <f t="shared" ca="1" si="113"/>
        <v>13.437576859435849</v>
      </c>
      <c r="U341" s="30">
        <f t="shared" ca="1" si="113"/>
        <v>4.6467104416339273</v>
      </c>
      <c r="V341" s="30">
        <f t="shared" ca="1" si="113"/>
        <v>13.801006803894101</v>
      </c>
      <c r="W341" s="30">
        <f t="shared" ca="1" si="113"/>
        <v>21.151129081212996</v>
      </c>
      <c r="X341" s="30">
        <f t="shared" ca="1" si="113"/>
        <v>31.752716777289947</v>
      </c>
      <c r="Y341" s="30">
        <f t="shared" ca="1" si="113"/>
        <v>2.3408573655546441</v>
      </c>
      <c r="Z341" s="30">
        <f t="shared" ca="1" si="113"/>
        <v>8.9508455190499419</v>
      </c>
      <c r="AA341" s="26">
        <v>333</v>
      </c>
      <c r="AB341" s="31">
        <f t="shared" ca="1" si="112"/>
        <v>19</v>
      </c>
      <c r="AC341" s="31">
        <f t="shared" ca="1" si="101"/>
        <v>14</v>
      </c>
      <c r="AD341" s="31">
        <f t="shared" ca="1" si="102"/>
        <v>36</v>
      </c>
      <c r="AE341" s="31">
        <f t="shared" ca="1" si="103"/>
        <v>38</v>
      </c>
      <c r="AF341" s="31">
        <f t="shared" ca="1" si="104"/>
        <v>7</v>
      </c>
      <c r="AG341" s="31">
        <f t="shared" ca="1" si="105"/>
        <v>17</v>
      </c>
      <c r="AH341" s="31">
        <f t="shared" ca="1" si="106"/>
        <v>5</v>
      </c>
      <c r="AI341" s="31">
        <f t="shared" ca="1" si="107"/>
        <v>18</v>
      </c>
      <c r="AJ341" s="31">
        <f t="shared" ca="1" si="108"/>
        <v>34</v>
      </c>
      <c r="AK341" s="31">
        <f t="shared" ca="1" si="109"/>
        <v>101</v>
      </c>
      <c r="AL341" s="31">
        <f t="shared" ca="1" si="110"/>
        <v>3</v>
      </c>
      <c r="AM341" s="31">
        <f t="shared" ca="1" si="111"/>
        <v>11</v>
      </c>
    </row>
    <row r="342" spans="14:39">
      <c r="N342" s="26">
        <v>334</v>
      </c>
      <c r="O342" s="30">
        <f t="shared" ca="1" si="113"/>
        <v>24.438863384368933</v>
      </c>
      <c r="P342" s="30">
        <f t="shared" ca="1" si="113"/>
        <v>26.170171025709525</v>
      </c>
      <c r="Q342" s="30">
        <f t="shared" ca="1" si="113"/>
        <v>8.2408830200089938</v>
      </c>
      <c r="R342" s="30">
        <f t="shared" ca="1" si="113"/>
        <v>0.98162480522377515</v>
      </c>
      <c r="S342" s="30">
        <f t="shared" ca="1" si="113"/>
        <v>25.881573056584969</v>
      </c>
      <c r="T342" s="30">
        <f t="shared" ca="1" si="113"/>
        <v>4.4348400570982571</v>
      </c>
      <c r="U342" s="30">
        <f t="shared" ca="1" si="113"/>
        <v>8.1520139691079301</v>
      </c>
      <c r="V342" s="30">
        <f t="shared" ca="1" si="113"/>
        <v>1.3036221362922851</v>
      </c>
      <c r="W342" s="30">
        <f t="shared" ca="1" si="113"/>
        <v>12.76537070976384</v>
      </c>
      <c r="X342" s="30">
        <f t="shared" ca="1" si="113"/>
        <v>33.149613833262734</v>
      </c>
      <c r="Y342" s="30">
        <f t="shared" ca="1" si="113"/>
        <v>20.152809723921898</v>
      </c>
      <c r="Z342" s="30">
        <f t="shared" ca="1" si="113"/>
        <v>2.5663215789426852</v>
      </c>
      <c r="AA342" s="26">
        <v>334</v>
      </c>
      <c r="AB342" s="31">
        <f t="shared" ca="1" si="112"/>
        <v>44</v>
      </c>
      <c r="AC342" s="31">
        <f t="shared" ca="1" si="101"/>
        <v>51</v>
      </c>
      <c r="AD342" s="31">
        <f t="shared" ca="1" si="102"/>
        <v>10</v>
      </c>
      <c r="AE342" s="31">
        <f t="shared" ca="1" si="103"/>
        <v>1</v>
      </c>
      <c r="AF342" s="31">
        <f t="shared" ca="1" si="104"/>
        <v>50</v>
      </c>
      <c r="AG342" s="31">
        <f t="shared" ca="1" si="105"/>
        <v>5</v>
      </c>
      <c r="AH342" s="31">
        <f t="shared" ca="1" si="106"/>
        <v>10</v>
      </c>
      <c r="AI342" s="31">
        <f t="shared" ca="1" si="107"/>
        <v>2</v>
      </c>
      <c r="AJ342" s="31">
        <f t="shared" ca="1" si="108"/>
        <v>16</v>
      </c>
      <c r="AK342" s="31">
        <f t="shared" ca="1" si="109"/>
        <v>171</v>
      </c>
      <c r="AL342" s="31">
        <f t="shared" ca="1" si="110"/>
        <v>31</v>
      </c>
      <c r="AM342" s="31">
        <f t="shared" ca="1" si="111"/>
        <v>3</v>
      </c>
    </row>
    <row r="343" spans="14:39">
      <c r="N343" s="26">
        <v>335</v>
      </c>
      <c r="O343" s="30">
        <f t="shared" ca="1" si="113"/>
        <v>16.729388181232018</v>
      </c>
      <c r="P343" s="30">
        <f t="shared" ca="1" si="113"/>
        <v>29.853726879145817</v>
      </c>
      <c r="Q343" s="30">
        <f t="shared" ca="1" si="113"/>
        <v>31.919639385141899</v>
      </c>
      <c r="R343" s="30">
        <f t="shared" ca="1" si="113"/>
        <v>0.71696420980368925</v>
      </c>
      <c r="S343" s="30">
        <f t="shared" ca="1" si="113"/>
        <v>25.94275004689483</v>
      </c>
      <c r="T343" s="30">
        <f t="shared" ca="1" si="113"/>
        <v>0.69305027256368923</v>
      </c>
      <c r="U343" s="30">
        <f t="shared" ca="1" si="113"/>
        <v>17.33382136214728</v>
      </c>
      <c r="V343" s="30">
        <f t="shared" ca="1" si="113"/>
        <v>14.341394188940665</v>
      </c>
      <c r="W343" s="30">
        <f t="shared" ca="1" si="113"/>
        <v>17.319788920511414</v>
      </c>
      <c r="X343" s="30">
        <f t="shared" ca="1" si="113"/>
        <v>6.9724246801863252</v>
      </c>
      <c r="Y343" s="30">
        <f t="shared" ca="1" si="113"/>
        <v>30.691286102456555</v>
      </c>
      <c r="Z343" s="30">
        <f t="shared" ca="1" si="113"/>
        <v>8.4328671477121855</v>
      </c>
      <c r="AA343" s="26">
        <v>335</v>
      </c>
      <c r="AB343" s="31">
        <f t="shared" ca="1" si="112"/>
        <v>23</v>
      </c>
      <c r="AC343" s="31">
        <f t="shared" ca="1" si="101"/>
        <v>75</v>
      </c>
      <c r="AD343" s="31">
        <f t="shared" ca="1" si="102"/>
        <v>104</v>
      </c>
      <c r="AE343" s="31">
        <f t="shared" ca="1" si="103"/>
        <v>1</v>
      </c>
      <c r="AF343" s="31">
        <f t="shared" ca="1" si="104"/>
        <v>50</v>
      </c>
      <c r="AG343" s="31">
        <f t="shared" ca="1" si="105"/>
        <v>1</v>
      </c>
      <c r="AH343" s="31">
        <f t="shared" ca="1" si="106"/>
        <v>25</v>
      </c>
      <c r="AI343" s="31">
        <f t="shared" ca="1" si="107"/>
        <v>19</v>
      </c>
      <c r="AJ343" s="31">
        <f t="shared" ca="1" si="108"/>
        <v>25</v>
      </c>
      <c r="AK343" s="31">
        <f t="shared" ca="1" si="109"/>
        <v>8</v>
      </c>
      <c r="AL343" s="31">
        <f t="shared" ca="1" si="110"/>
        <v>84</v>
      </c>
      <c r="AM343" s="31">
        <f t="shared" ca="1" si="111"/>
        <v>10</v>
      </c>
    </row>
    <row r="344" spans="14:39">
      <c r="N344" s="26">
        <v>336</v>
      </c>
      <c r="O344" s="30">
        <f t="shared" ca="1" si="113"/>
        <v>5.5314847417373096</v>
      </c>
      <c r="P344" s="30">
        <f t="shared" ca="1" si="113"/>
        <v>7.0575921409125533</v>
      </c>
      <c r="Q344" s="30">
        <f t="shared" ca="1" si="113"/>
        <v>18.312357879075375</v>
      </c>
      <c r="R344" s="30">
        <f t="shared" ca="1" si="113"/>
        <v>31.518454951191796</v>
      </c>
      <c r="S344" s="30">
        <f t="shared" ca="1" si="113"/>
        <v>8.0295257193731864</v>
      </c>
      <c r="T344" s="30">
        <f t="shared" ca="1" si="113"/>
        <v>2.3949817949551102</v>
      </c>
      <c r="U344" s="30">
        <f t="shared" ca="1" si="113"/>
        <v>15.948585747121401</v>
      </c>
      <c r="V344" s="30">
        <f t="shared" ca="1" si="113"/>
        <v>8.1133958771654822</v>
      </c>
      <c r="W344" s="30">
        <f t="shared" ca="1" si="113"/>
        <v>8.4085703582600519</v>
      </c>
      <c r="X344" s="30">
        <f t="shared" ca="1" si="113"/>
        <v>28.741704542655583</v>
      </c>
      <c r="Y344" s="30">
        <f t="shared" ca="1" si="113"/>
        <v>15.59380794366419</v>
      </c>
      <c r="Z344" s="30">
        <f t="shared" ca="1" si="113"/>
        <v>25.467304062019874</v>
      </c>
      <c r="AA344" s="26">
        <v>336</v>
      </c>
      <c r="AB344" s="31">
        <f t="shared" ca="1" si="112"/>
        <v>6</v>
      </c>
      <c r="AC344" s="31">
        <f t="shared" ca="1" si="101"/>
        <v>8</v>
      </c>
      <c r="AD344" s="31">
        <f t="shared" ca="1" si="102"/>
        <v>27</v>
      </c>
      <c r="AE344" s="31">
        <f t="shared" ca="1" si="103"/>
        <v>96</v>
      </c>
      <c r="AF344" s="31">
        <f t="shared" ca="1" si="104"/>
        <v>10</v>
      </c>
      <c r="AG344" s="31">
        <f t="shared" ca="1" si="105"/>
        <v>3</v>
      </c>
      <c r="AH344" s="31">
        <f t="shared" ca="1" si="106"/>
        <v>22</v>
      </c>
      <c r="AI344" s="31">
        <f t="shared" ca="1" si="107"/>
        <v>10</v>
      </c>
      <c r="AJ344" s="31">
        <f t="shared" ca="1" si="108"/>
        <v>10</v>
      </c>
      <c r="AK344" s="31">
        <f t="shared" ca="1" si="109"/>
        <v>66</v>
      </c>
      <c r="AL344" s="31">
        <f t="shared" ca="1" si="110"/>
        <v>21</v>
      </c>
      <c r="AM344" s="31">
        <f t="shared" ca="1" si="111"/>
        <v>48</v>
      </c>
    </row>
    <row r="345" spans="14:39">
      <c r="N345" s="26">
        <v>337</v>
      </c>
      <c r="O345" s="30">
        <f t="shared" ca="1" si="113"/>
        <v>7.689565590633392</v>
      </c>
      <c r="P345" s="30">
        <f t="shared" ca="1" si="113"/>
        <v>7.9496602162982235</v>
      </c>
      <c r="Q345" s="30">
        <f t="shared" ca="1" si="113"/>
        <v>17.141542721973298</v>
      </c>
      <c r="R345" s="30">
        <f t="shared" ca="1" si="113"/>
        <v>14.353826634953235</v>
      </c>
      <c r="S345" s="30">
        <f t="shared" ca="1" si="113"/>
        <v>19.485857501979289</v>
      </c>
      <c r="T345" s="30">
        <f t="shared" ca="1" si="113"/>
        <v>14.625540804635733</v>
      </c>
      <c r="U345" s="30">
        <f t="shared" ca="1" si="113"/>
        <v>7.3543236121356559</v>
      </c>
      <c r="V345" s="30">
        <f t="shared" ca="1" si="113"/>
        <v>22.420076318273271</v>
      </c>
      <c r="W345" s="30">
        <f t="shared" ca="1" si="113"/>
        <v>10.342006893783045</v>
      </c>
      <c r="X345" s="30">
        <f t="shared" ca="1" si="113"/>
        <v>8.443531602232035</v>
      </c>
      <c r="Y345" s="30">
        <f t="shared" ca="1" si="113"/>
        <v>21.565165560876594</v>
      </c>
      <c r="Z345" s="30">
        <f t="shared" ca="1" si="113"/>
        <v>19.828978630317852</v>
      </c>
      <c r="AA345" s="26">
        <v>337</v>
      </c>
      <c r="AB345" s="31">
        <f t="shared" ca="1" si="112"/>
        <v>9</v>
      </c>
      <c r="AC345" s="31">
        <f t="shared" ca="1" si="101"/>
        <v>9</v>
      </c>
      <c r="AD345" s="31">
        <f t="shared" ca="1" si="102"/>
        <v>24</v>
      </c>
      <c r="AE345" s="31">
        <f t="shared" ca="1" si="103"/>
        <v>19</v>
      </c>
      <c r="AF345" s="31">
        <f t="shared" ca="1" si="104"/>
        <v>29</v>
      </c>
      <c r="AG345" s="31">
        <f t="shared" ca="1" si="105"/>
        <v>19</v>
      </c>
      <c r="AH345" s="31">
        <f t="shared" ca="1" si="106"/>
        <v>9</v>
      </c>
      <c r="AI345" s="31">
        <f t="shared" ca="1" si="107"/>
        <v>37</v>
      </c>
      <c r="AJ345" s="31">
        <f t="shared" ca="1" si="108"/>
        <v>13</v>
      </c>
      <c r="AK345" s="31">
        <f t="shared" ca="1" si="109"/>
        <v>10</v>
      </c>
      <c r="AL345" s="31">
        <f t="shared" ca="1" si="110"/>
        <v>35</v>
      </c>
      <c r="AM345" s="31">
        <f t="shared" ca="1" si="111"/>
        <v>30</v>
      </c>
    </row>
    <row r="346" spans="14:39">
      <c r="N346" s="26">
        <v>338</v>
      </c>
      <c r="O346" s="30">
        <f t="shared" ca="1" si="113"/>
        <v>3.8051484326417717</v>
      </c>
      <c r="P346" s="30">
        <f t="shared" ca="1" si="113"/>
        <v>17.880062691419134</v>
      </c>
      <c r="Q346" s="30">
        <f t="shared" ca="1" si="113"/>
        <v>17.129838843399369</v>
      </c>
      <c r="R346" s="30">
        <f t="shared" ca="1" si="113"/>
        <v>30.089879162526927</v>
      </c>
      <c r="S346" s="30">
        <f t="shared" ca="1" si="113"/>
        <v>17.669207376394514</v>
      </c>
      <c r="T346" s="30">
        <f t="shared" ca="1" si="113"/>
        <v>31.130890259160541</v>
      </c>
      <c r="U346" s="30">
        <f t="shared" ca="1" si="113"/>
        <v>12.110936281224438</v>
      </c>
      <c r="V346" s="30">
        <f t="shared" ca="1" si="113"/>
        <v>10.318616745987601</v>
      </c>
      <c r="W346" s="30">
        <f t="shared" ca="1" si="113"/>
        <v>4.6200997420155367</v>
      </c>
      <c r="X346" s="30">
        <f t="shared" ca="1" si="113"/>
        <v>32.032678710512819</v>
      </c>
      <c r="Y346" s="30">
        <f t="shared" ca="1" si="113"/>
        <v>4.7692414201422153</v>
      </c>
      <c r="Z346" s="30">
        <f t="shared" ca="1" si="113"/>
        <v>8.0665535259176337</v>
      </c>
      <c r="AA346" s="26">
        <v>338</v>
      </c>
      <c r="AB346" s="31">
        <f t="shared" ca="1" si="112"/>
        <v>4</v>
      </c>
      <c r="AC346" s="31">
        <f t="shared" ca="1" si="101"/>
        <v>26</v>
      </c>
      <c r="AD346" s="31">
        <f t="shared" ca="1" si="102"/>
        <v>24</v>
      </c>
      <c r="AE346" s="31">
        <f t="shared" ca="1" si="103"/>
        <v>77</v>
      </c>
      <c r="AF346" s="31">
        <f t="shared" ca="1" si="104"/>
        <v>25</v>
      </c>
      <c r="AG346" s="31">
        <f t="shared" ca="1" si="105"/>
        <v>90</v>
      </c>
      <c r="AH346" s="31">
        <f t="shared" ca="1" si="106"/>
        <v>15</v>
      </c>
      <c r="AI346" s="31">
        <f t="shared" ca="1" si="107"/>
        <v>13</v>
      </c>
      <c r="AJ346" s="31">
        <f t="shared" ca="1" si="108"/>
        <v>5</v>
      </c>
      <c r="AK346" s="31">
        <f t="shared" ca="1" si="109"/>
        <v>107</v>
      </c>
      <c r="AL346" s="31">
        <f t="shared" ca="1" si="110"/>
        <v>6</v>
      </c>
      <c r="AM346" s="31">
        <f t="shared" ca="1" si="111"/>
        <v>10</v>
      </c>
    </row>
    <row r="347" spans="14:39">
      <c r="N347" s="26">
        <v>339</v>
      </c>
      <c r="O347" s="30">
        <f t="shared" ca="1" si="113"/>
        <v>14.056344384247785</v>
      </c>
      <c r="P347" s="30">
        <f t="shared" ca="1" si="113"/>
        <v>25.192012926444381</v>
      </c>
      <c r="Q347" s="30">
        <f t="shared" ca="1" si="113"/>
        <v>32.066976393318811</v>
      </c>
      <c r="R347" s="30">
        <f t="shared" ca="1" si="113"/>
        <v>12.79670128014331</v>
      </c>
      <c r="S347" s="30">
        <f t="shared" ca="1" si="113"/>
        <v>28.076044698627079</v>
      </c>
      <c r="T347" s="30">
        <f t="shared" ca="1" si="113"/>
        <v>27.860929325118594</v>
      </c>
      <c r="U347" s="30">
        <f t="shared" ca="1" si="113"/>
        <v>22.002755371512279</v>
      </c>
      <c r="V347" s="30">
        <f t="shared" ca="1" si="113"/>
        <v>25.899222131120354</v>
      </c>
      <c r="W347" s="30">
        <f t="shared" ca="1" si="113"/>
        <v>19.345817785991162</v>
      </c>
      <c r="X347" s="30">
        <f t="shared" ca="1" si="113"/>
        <v>5.1093305152973407</v>
      </c>
      <c r="Y347" s="30">
        <f t="shared" ca="1" si="113"/>
        <v>29.077187138430446</v>
      </c>
      <c r="Z347" s="30">
        <f t="shared" ca="1" si="113"/>
        <v>5.0028394613318374</v>
      </c>
      <c r="AA347" s="26">
        <v>339</v>
      </c>
      <c r="AB347" s="31">
        <f t="shared" ca="1" si="112"/>
        <v>18</v>
      </c>
      <c r="AC347" s="31">
        <f t="shared" ca="1" si="101"/>
        <v>47</v>
      </c>
      <c r="AD347" s="31">
        <f t="shared" ca="1" si="102"/>
        <v>108</v>
      </c>
      <c r="AE347" s="31">
        <f t="shared" ca="1" si="103"/>
        <v>16</v>
      </c>
      <c r="AF347" s="31">
        <f t="shared" ca="1" si="104"/>
        <v>61</v>
      </c>
      <c r="AG347" s="31">
        <f t="shared" ca="1" si="105"/>
        <v>60</v>
      </c>
      <c r="AH347" s="31">
        <f t="shared" ca="1" si="106"/>
        <v>36</v>
      </c>
      <c r="AI347" s="31">
        <f t="shared" ca="1" si="107"/>
        <v>50</v>
      </c>
      <c r="AJ347" s="31">
        <f t="shared" ca="1" si="108"/>
        <v>29</v>
      </c>
      <c r="AK347" s="31">
        <f t="shared" ca="1" si="109"/>
        <v>6</v>
      </c>
      <c r="AL347" s="31">
        <f t="shared" ca="1" si="110"/>
        <v>68</v>
      </c>
      <c r="AM347" s="31">
        <f t="shared" ca="1" si="111"/>
        <v>6</v>
      </c>
    </row>
    <row r="348" spans="14:39">
      <c r="N348" s="26">
        <v>340</v>
      </c>
      <c r="O348" s="30">
        <f t="shared" ca="1" si="113"/>
        <v>24.602168987832229</v>
      </c>
      <c r="P348" s="30">
        <f t="shared" ca="1" si="113"/>
        <v>18.990497291556466</v>
      </c>
      <c r="Q348" s="30">
        <f t="shared" ca="1" si="113"/>
        <v>16.449650159811636</v>
      </c>
      <c r="R348" s="30">
        <f t="shared" ca="1" si="113"/>
        <v>18.605171076314601</v>
      </c>
      <c r="S348" s="30">
        <f t="shared" ca="1" si="113"/>
        <v>15.472278457100042</v>
      </c>
      <c r="T348" s="30">
        <f t="shared" ca="1" si="113"/>
        <v>25.795152425586537</v>
      </c>
      <c r="U348" s="30">
        <f t="shared" ca="1" si="113"/>
        <v>23.842900187580302</v>
      </c>
      <c r="V348" s="30">
        <f t="shared" ca="1" si="113"/>
        <v>31.306685640174358</v>
      </c>
      <c r="W348" s="30">
        <f t="shared" ca="1" si="113"/>
        <v>12.896501844727307</v>
      </c>
      <c r="X348" s="30">
        <f t="shared" ca="1" si="113"/>
        <v>9.7294607644878361</v>
      </c>
      <c r="Y348" s="30">
        <f t="shared" ca="1" si="113"/>
        <v>2.7798730428711189</v>
      </c>
      <c r="Z348" s="30">
        <f t="shared" ca="1" si="113"/>
        <v>9.8864780274197201</v>
      </c>
      <c r="AA348" s="26">
        <v>340</v>
      </c>
      <c r="AB348" s="31">
        <f t="shared" ca="1" si="112"/>
        <v>44</v>
      </c>
      <c r="AC348" s="31">
        <f t="shared" ca="1" si="101"/>
        <v>28</v>
      </c>
      <c r="AD348" s="31">
        <f t="shared" ca="1" si="102"/>
        <v>23</v>
      </c>
      <c r="AE348" s="31">
        <f t="shared" ca="1" si="103"/>
        <v>27</v>
      </c>
      <c r="AF348" s="31">
        <f t="shared" ca="1" si="104"/>
        <v>21</v>
      </c>
      <c r="AG348" s="31">
        <f t="shared" ca="1" si="105"/>
        <v>49</v>
      </c>
      <c r="AH348" s="31">
        <f t="shared" ca="1" si="106"/>
        <v>42</v>
      </c>
      <c r="AI348" s="31">
        <f t="shared" ca="1" si="107"/>
        <v>92</v>
      </c>
      <c r="AJ348" s="31">
        <f t="shared" ca="1" si="108"/>
        <v>17</v>
      </c>
      <c r="AK348" s="31">
        <f t="shared" ca="1" si="109"/>
        <v>12</v>
      </c>
      <c r="AL348" s="31">
        <f t="shared" ca="1" si="110"/>
        <v>3</v>
      </c>
      <c r="AM348" s="31">
        <f t="shared" ca="1" si="111"/>
        <v>12</v>
      </c>
    </row>
    <row r="349" spans="14:39">
      <c r="N349" s="26">
        <v>341</v>
      </c>
      <c r="O349" s="30">
        <f t="shared" ref="O349:Z358" ca="1" si="114">RAND()*sumweights</f>
        <v>13.574036226048793</v>
      </c>
      <c r="P349" s="30">
        <f t="shared" ca="1" si="114"/>
        <v>10.558399280145238</v>
      </c>
      <c r="Q349" s="30">
        <f t="shared" ca="1" si="114"/>
        <v>8.4513766689334027</v>
      </c>
      <c r="R349" s="30">
        <f t="shared" ca="1" si="114"/>
        <v>12.968137758072386</v>
      </c>
      <c r="S349" s="30">
        <f t="shared" ca="1" si="114"/>
        <v>13.765139361226156</v>
      </c>
      <c r="T349" s="30">
        <f t="shared" ca="1" si="114"/>
        <v>27.016339956529098</v>
      </c>
      <c r="U349" s="30">
        <f t="shared" ca="1" si="114"/>
        <v>14.01920090338878</v>
      </c>
      <c r="V349" s="30">
        <f t="shared" ca="1" si="114"/>
        <v>22.741114266892598</v>
      </c>
      <c r="W349" s="30">
        <f t="shared" ca="1" si="114"/>
        <v>14.325816813607778</v>
      </c>
      <c r="X349" s="30">
        <f t="shared" ca="1" si="114"/>
        <v>22.183739663030014</v>
      </c>
      <c r="Y349" s="30">
        <f t="shared" ca="1" si="114"/>
        <v>6.2461827879506986</v>
      </c>
      <c r="Z349" s="30">
        <f t="shared" ca="1" si="114"/>
        <v>13.231830738705586</v>
      </c>
      <c r="AA349" s="26">
        <v>341</v>
      </c>
      <c r="AB349" s="31">
        <f t="shared" ca="1" si="112"/>
        <v>18</v>
      </c>
      <c r="AC349" s="31">
        <f t="shared" ca="1" si="101"/>
        <v>13</v>
      </c>
      <c r="AD349" s="31">
        <f t="shared" ca="1" si="102"/>
        <v>10</v>
      </c>
      <c r="AE349" s="31">
        <f t="shared" ca="1" si="103"/>
        <v>17</v>
      </c>
      <c r="AF349" s="31">
        <f t="shared" ca="1" si="104"/>
        <v>18</v>
      </c>
      <c r="AG349" s="31">
        <f t="shared" ca="1" si="105"/>
        <v>55</v>
      </c>
      <c r="AH349" s="31">
        <f t="shared" ca="1" si="106"/>
        <v>18</v>
      </c>
      <c r="AI349" s="31">
        <f t="shared" ca="1" si="107"/>
        <v>38</v>
      </c>
      <c r="AJ349" s="31">
        <f t="shared" ca="1" si="108"/>
        <v>19</v>
      </c>
      <c r="AK349" s="31">
        <f t="shared" ca="1" si="109"/>
        <v>36</v>
      </c>
      <c r="AL349" s="31">
        <f t="shared" ca="1" si="110"/>
        <v>7</v>
      </c>
      <c r="AM349" s="31">
        <f t="shared" ca="1" si="111"/>
        <v>17</v>
      </c>
    </row>
    <row r="350" spans="14:39">
      <c r="N350" s="26">
        <v>342</v>
      </c>
      <c r="O350" s="30">
        <f t="shared" ca="1" si="114"/>
        <v>7.5998975675303457</v>
      </c>
      <c r="P350" s="30">
        <f t="shared" ca="1" si="114"/>
        <v>20.236004485805552</v>
      </c>
      <c r="Q350" s="30">
        <f t="shared" ca="1" si="114"/>
        <v>32.40679446504673</v>
      </c>
      <c r="R350" s="30">
        <f t="shared" ca="1" si="114"/>
        <v>12.168803942524701</v>
      </c>
      <c r="S350" s="30">
        <f t="shared" ca="1" si="114"/>
        <v>12.951495820760579</v>
      </c>
      <c r="T350" s="30">
        <f t="shared" ca="1" si="114"/>
        <v>5.9673601838170987</v>
      </c>
      <c r="U350" s="30">
        <f t="shared" ca="1" si="114"/>
        <v>0.63354969325246502</v>
      </c>
      <c r="V350" s="30">
        <f t="shared" ca="1" si="114"/>
        <v>6.4454950461159033</v>
      </c>
      <c r="W350" s="30">
        <f t="shared" ca="1" si="114"/>
        <v>25.315833475112139</v>
      </c>
      <c r="X350" s="30">
        <f t="shared" ca="1" si="114"/>
        <v>30.258958609153002</v>
      </c>
      <c r="Y350" s="30">
        <f t="shared" ca="1" si="114"/>
        <v>22.173492657860567</v>
      </c>
      <c r="Z350" s="30">
        <f t="shared" ca="1" si="114"/>
        <v>22.52606251995336</v>
      </c>
      <c r="AA350" s="26">
        <v>342</v>
      </c>
      <c r="AB350" s="31">
        <f t="shared" ca="1" si="112"/>
        <v>9</v>
      </c>
      <c r="AC350" s="31">
        <f t="shared" ca="1" si="101"/>
        <v>31</v>
      </c>
      <c r="AD350" s="31">
        <f t="shared" ca="1" si="102"/>
        <v>118</v>
      </c>
      <c r="AE350" s="31">
        <f t="shared" ca="1" si="103"/>
        <v>15</v>
      </c>
      <c r="AF350" s="31">
        <f t="shared" ca="1" si="104"/>
        <v>17</v>
      </c>
      <c r="AG350" s="31">
        <f t="shared" ca="1" si="105"/>
        <v>7</v>
      </c>
      <c r="AH350" s="31">
        <f t="shared" ca="1" si="106"/>
        <v>1</v>
      </c>
      <c r="AI350" s="31">
        <f t="shared" ca="1" si="107"/>
        <v>8</v>
      </c>
      <c r="AJ350" s="31">
        <f t="shared" ca="1" si="108"/>
        <v>47</v>
      </c>
      <c r="AK350" s="31">
        <f t="shared" ca="1" si="109"/>
        <v>79</v>
      </c>
      <c r="AL350" s="31">
        <f t="shared" ca="1" si="110"/>
        <v>36</v>
      </c>
      <c r="AM350" s="31">
        <f t="shared" ca="1" si="111"/>
        <v>37</v>
      </c>
    </row>
    <row r="351" spans="14:39">
      <c r="N351" s="26">
        <v>343</v>
      </c>
      <c r="O351" s="30">
        <f t="shared" ca="1" si="114"/>
        <v>32.444184979692636</v>
      </c>
      <c r="P351" s="30">
        <f t="shared" ca="1" si="114"/>
        <v>1.5800456229904305</v>
      </c>
      <c r="Q351" s="30">
        <f t="shared" ca="1" si="114"/>
        <v>9.6468563128663991</v>
      </c>
      <c r="R351" s="30">
        <f t="shared" ca="1" si="114"/>
        <v>11.983802301324381</v>
      </c>
      <c r="S351" s="30">
        <f t="shared" ca="1" si="114"/>
        <v>26.776572903749827</v>
      </c>
      <c r="T351" s="30">
        <f t="shared" ca="1" si="114"/>
        <v>31.28251832362189</v>
      </c>
      <c r="U351" s="30">
        <f t="shared" ca="1" si="114"/>
        <v>2.5534078861320388</v>
      </c>
      <c r="V351" s="30">
        <f t="shared" ca="1" si="114"/>
        <v>10.709279959626485</v>
      </c>
      <c r="W351" s="30">
        <f t="shared" ca="1" si="114"/>
        <v>10.479267881751301</v>
      </c>
      <c r="X351" s="30">
        <f t="shared" ca="1" si="114"/>
        <v>10.527328640484519</v>
      </c>
      <c r="Y351" s="30">
        <f t="shared" ca="1" si="114"/>
        <v>23.161264223995744</v>
      </c>
      <c r="Z351" s="30">
        <f t="shared" ca="1" si="114"/>
        <v>19.784786749181904</v>
      </c>
      <c r="AA351" s="26">
        <v>343</v>
      </c>
      <c r="AB351" s="31">
        <f t="shared" ca="1" si="112"/>
        <v>119</v>
      </c>
      <c r="AC351" s="31">
        <f t="shared" ca="1" si="101"/>
        <v>2</v>
      </c>
      <c r="AD351" s="31">
        <f t="shared" ca="1" si="102"/>
        <v>12</v>
      </c>
      <c r="AE351" s="31">
        <f t="shared" ca="1" si="103"/>
        <v>15</v>
      </c>
      <c r="AF351" s="31">
        <f t="shared" ca="1" si="104"/>
        <v>54</v>
      </c>
      <c r="AG351" s="31">
        <f t="shared" ca="1" si="105"/>
        <v>92</v>
      </c>
      <c r="AH351" s="31">
        <f t="shared" ca="1" si="106"/>
        <v>3</v>
      </c>
      <c r="AI351" s="31">
        <f t="shared" ca="1" si="107"/>
        <v>13</v>
      </c>
      <c r="AJ351" s="31">
        <f t="shared" ca="1" si="108"/>
        <v>13</v>
      </c>
      <c r="AK351" s="31">
        <f t="shared" ca="1" si="109"/>
        <v>13</v>
      </c>
      <c r="AL351" s="31">
        <f t="shared" ca="1" si="110"/>
        <v>39</v>
      </c>
      <c r="AM351" s="31">
        <f t="shared" ca="1" si="111"/>
        <v>30</v>
      </c>
    </row>
    <row r="352" spans="14:39">
      <c r="N352" s="26">
        <v>344</v>
      </c>
      <c r="O352" s="30">
        <f t="shared" ca="1" si="114"/>
        <v>3.5649896165817259</v>
      </c>
      <c r="P352" s="30">
        <f t="shared" ca="1" si="114"/>
        <v>21.086316220140997</v>
      </c>
      <c r="Q352" s="30">
        <f t="shared" ca="1" si="114"/>
        <v>15.901011865223875</v>
      </c>
      <c r="R352" s="30">
        <f t="shared" ca="1" si="114"/>
        <v>26.66578404538275</v>
      </c>
      <c r="S352" s="30">
        <f t="shared" ca="1" si="114"/>
        <v>24.861236194378041</v>
      </c>
      <c r="T352" s="30">
        <f t="shared" ca="1" si="114"/>
        <v>1.0348614628212034</v>
      </c>
      <c r="U352" s="30">
        <f t="shared" ca="1" si="114"/>
        <v>23.859891922771968</v>
      </c>
      <c r="V352" s="30">
        <f t="shared" ca="1" si="114"/>
        <v>2.1430007361699683</v>
      </c>
      <c r="W352" s="30">
        <f t="shared" ca="1" si="114"/>
        <v>23.804602016000196</v>
      </c>
      <c r="X352" s="30">
        <f t="shared" ca="1" si="114"/>
        <v>14.281182637240537</v>
      </c>
      <c r="Y352" s="30">
        <f t="shared" ca="1" si="114"/>
        <v>11.475038766823053</v>
      </c>
      <c r="Z352" s="30">
        <f t="shared" ca="1" si="114"/>
        <v>25.074271984578189</v>
      </c>
      <c r="AA352" s="26">
        <v>344</v>
      </c>
      <c r="AB352" s="31">
        <f t="shared" ca="1" si="112"/>
        <v>4</v>
      </c>
      <c r="AC352" s="31">
        <f t="shared" ca="1" si="101"/>
        <v>33</v>
      </c>
      <c r="AD352" s="31">
        <f t="shared" ca="1" si="102"/>
        <v>22</v>
      </c>
      <c r="AE352" s="31">
        <f t="shared" ca="1" si="103"/>
        <v>53</v>
      </c>
      <c r="AF352" s="31">
        <f t="shared" ca="1" si="104"/>
        <v>45</v>
      </c>
      <c r="AG352" s="31">
        <f t="shared" ca="1" si="105"/>
        <v>2</v>
      </c>
      <c r="AH352" s="31">
        <f t="shared" ca="1" si="106"/>
        <v>42</v>
      </c>
      <c r="AI352" s="31">
        <f t="shared" ca="1" si="107"/>
        <v>3</v>
      </c>
      <c r="AJ352" s="31">
        <f t="shared" ca="1" si="108"/>
        <v>42</v>
      </c>
      <c r="AK352" s="31">
        <f t="shared" ca="1" si="109"/>
        <v>19</v>
      </c>
      <c r="AL352" s="31">
        <f t="shared" ca="1" si="110"/>
        <v>14</v>
      </c>
      <c r="AM352" s="31">
        <f t="shared" ca="1" si="111"/>
        <v>46</v>
      </c>
    </row>
    <row r="353" spans="14:39">
      <c r="N353" s="26">
        <v>345</v>
      </c>
      <c r="O353" s="30">
        <f t="shared" ca="1" si="114"/>
        <v>1.7175337016697487</v>
      </c>
      <c r="P353" s="30">
        <f t="shared" ca="1" si="114"/>
        <v>11.27849681840644</v>
      </c>
      <c r="Q353" s="30">
        <f t="shared" ca="1" si="114"/>
        <v>7.8142950713033867</v>
      </c>
      <c r="R353" s="30">
        <f t="shared" ca="1" si="114"/>
        <v>8.5633609349510724</v>
      </c>
      <c r="S353" s="30">
        <f t="shared" ca="1" si="114"/>
        <v>24.862853307364418</v>
      </c>
      <c r="T353" s="30">
        <f t="shared" ca="1" si="114"/>
        <v>32.040396786079093</v>
      </c>
      <c r="U353" s="30">
        <f t="shared" ca="1" si="114"/>
        <v>23.336523696084484</v>
      </c>
      <c r="V353" s="30">
        <f t="shared" ca="1" si="114"/>
        <v>18.254990663501175</v>
      </c>
      <c r="W353" s="30">
        <f t="shared" ca="1" si="114"/>
        <v>2.1989978931477356</v>
      </c>
      <c r="X353" s="30">
        <f t="shared" ca="1" si="114"/>
        <v>4.5328504210808997</v>
      </c>
      <c r="Y353" s="30">
        <f t="shared" ca="1" si="114"/>
        <v>13.696879003327133</v>
      </c>
      <c r="Z353" s="30">
        <f t="shared" ca="1" si="114"/>
        <v>10.809549417032441</v>
      </c>
      <c r="AA353" s="26">
        <v>345</v>
      </c>
      <c r="AB353" s="31">
        <f t="shared" ca="1" si="112"/>
        <v>2</v>
      </c>
      <c r="AC353" s="31">
        <f t="shared" ca="1" si="101"/>
        <v>14</v>
      </c>
      <c r="AD353" s="31">
        <f t="shared" ca="1" si="102"/>
        <v>9</v>
      </c>
      <c r="AE353" s="31">
        <f t="shared" ca="1" si="103"/>
        <v>10</v>
      </c>
      <c r="AF353" s="31">
        <f t="shared" ca="1" si="104"/>
        <v>45</v>
      </c>
      <c r="AG353" s="31">
        <f t="shared" ca="1" si="105"/>
        <v>107</v>
      </c>
      <c r="AH353" s="31">
        <f t="shared" ca="1" si="106"/>
        <v>40</v>
      </c>
      <c r="AI353" s="31">
        <f t="shared" ca="1" si="107"/>
        <v>27</v>
      </c>
      <c r="AJ353" s="31">
        <f t="shared" ca="1" si="108"/>
        <v>3</v>
      </c>
      <c r="AK353" s="31">
        <f t="shared" ca="1" si="109"/>
        <v>5</v>
      </c>
      <c r="AL353" s="31">
        <f t="shared" ca="1" si="110"/>
        <v>18</v>
      </c>
      <c r="AM353" s="31">
        <f t="shared" ca="1" si="111"/>
        <v>13</v>
      </c>
    </row>
    <row r="354" spans="14:39">
      <c r="N354" s="26">
        <v>346</v>
      </c>
      <c r="O354" s="30">
        <f t="shared" ca="1" si="114"/>
        <v>3.3605375126988415</v>
      </c>
      <c r="P354" s="30">
        <f t="shared" ca="1" si="114"/>
        <v>3.6970652199843546</v>
      </c>
      <c r="Q354" s="30">
        <f t="shared" ca="1" si="114"/>
        <v>8.289578119906631</v>
      </c>
      <c r="R354" s="30">
        <f t="shared" ca="1" si="114"/>
        <v>32.535158213026257</v>
      </c>
      <c r="S354" s="30">
        <f t="shared" ca="1" si="114"/>
        <v>9.2576349768345239</v>
      </c>
      <c r="T354" s="30">
        <f t="shared" ca="1" si="114"/>
        <v>28.879765585849182</v>
      </c>
      <c r="U354" s="30">
        <f t="shared" ca="1" si="114"/>
        <v>22.946827923546149</v>
      </c>
      <c r="V354" s="30">
        <f t="shared" ca="1" si="114"/>
        <v>14.820459561874934</v>
      </c>
      <c r="W354" s="30">
        <f t="shared" ca="1" si="114"/>
        <v>32.574951073002097</v>
      </c>
      <c r="X354" s="30">
        <f t="shared" ca="1" si="114"/>
        <v>10.064849510461448</v>
      </c>
      <c r="Y354" s="30">
        <f t="shared" ca="1" si="114"/>
        <v>31.063123422021011</v>
      </c>
      <c r="Z354" s="30">
        <f t="shared" ca="1" si="114"/>
        <v>12.681004937953025</v>
      </c>
      <c r="AA354" s="26">
        <v>346</v>
      </c>
      <c r="AB354" s="31">
        <f t="shared" ca="1" si="112"/>
        <v>4</v>
      </c>
      <c r="AC354" s="31">
        <f t="shared" ca="1" si="101"/>
        <v>4</v>
      </c>
      <c r="AD354" s="31">
        <f t="shared" ca="1" si="102"/>
        <v>10</v>
      </c>
      <c r="AE354" s="31">
        <f t="shared" ca="1" si="103"/>
        <v>123</v>
      </c>
      <c r="AF354" s="31">
        <f t="shared" ca="1" si="104"/>
        <v>11</v>
      </c>
      <c r="AG354" s="31">
        <f t="shared" ca="1" si="105"/>
        <v>67</v>
      </c>
      <c r="AH354" s="31">
        <f t="shared" ca="1" si="106"/>
        <v>39</v>
      </c>
      <c r="AI354" s="31">
        <f t="shared" ca="1" si="107"/>
        <v>20</v>
      </c>
      <c r="AJ354" s="31">
        <f t="shared" ca="1" si="108"/>
        <v>125</v>
      </c>
      <c r="AK354" s="31">
        <f t="shared" ca="1" si="109"/>
        <v>12</v>
      </c>
      <c r="AL354" s="31">
        <f t="shared" ca="1" si="110"/>
        <v>89</v>
      </c>
      <c r="AM354" s="31">
        <f t="shared" ca="1" si="111"/>
        <v>16</v>
      </c>
    </row>
    <row r="355" spans="14:39">
      <c r="N355" s="26">
        <v>347</v>
      </c>
      <c r="O355" s="30">
        <f t="shared" ca="1" si="114"/>
        <v>32.554611311095094</v>
      </c>
      <c r="P355" s="30">
        <f t="shared" ca="1" si="114"/>
        <v>1.5868535992087871</v>
      </c>
      <c r="Q355" s="30">
        <f t="shared" ca="1" si="114"/>
        <v>7.8531062591000067</v>
      </c>
      <c r="R355" s="30">
        <f t="shared" ca="1" si="114"/>
        <v>11.415159067485918</v>
      </c>
      <c r="S355" s="30">
        <f t="shared" ca="1" si="114"/>
        <v>28.784461879432751</v>
      </c>
      <c r="T355" s="30">
        <f t="shared" ca="1" si="114"/>
        <v>12.257960218700161</v>
      </c>
      <c r="U355" s="30">
        <f t="shared" ca="1" si="114"/>
        <v>16.122660105769228</v>
      </c>
      <c r="V355" s="30">
        <f t="shared" ca="1" si="114"/>
        <v>31.905445766020648</v>
      </c>
      <c r="W355" s="30">
        <f t="shared" ca="1" si="114"/>
        <v>18.82366370926977</v>
      </c>
      <c r="X355" s="30">
        <f t="shared" ca="1" si="114"/>
        <v>14.746399370068263</v>
      </c>
      <c r="Y355" s="30">
        <f t="shared" ca="1" si="114"/>
        <v>5.9612699755661303E-2</v>
      </c>
      <c r="Z355" s="30">
        <f t="shared" ca="1" si="114"/>
        <v>1.1332325697539674</v>
      </c>
      <c r="AA355" s="26">
        <v>347</v>
      </c>
      <c r="AB355" s="31">
        <f t="shared" ca="1" si="112"/>
        <v>124</v>
      </c>
      <c r="AC355" s="31">
        <f t="shared" ca="1" si="101"/>
        <v>2</v>
      </c>
      <c r="AD355" s="31">
        <f t="shared" ca="1" si="102"/>
        <v>9</v>
      </c>
      <c r="AE355" s="31">
        <f t="shared" ca="1" si="103"/>
        <v>14</v>
      </c>
      <c r="AF355" s="31">
        <f t="shared" ca="1" si="104"/>
        <v>66</v>
      </c>
      <c r="AG355" s="31">
        <f t="shared" ca="1" si="105"/>
        <v>16</v>
      </c>
      <c r="AH355" s="31">
        <f t="shared" ca="1" si="106"/>
        <v>22</v>
      </c>
      <c r="AI355" s="31">
        <f t="shared" ca="1" si="107"/>
        <v>104</v>
      </c>
      <c r="AJ355" s="31">
        <f t="shared" ca="1" si="108"/>
        <v>28</v>
      </c>
      <c r="AK355" s="31">
        <f t="shared" ca="1" si="109"/>
        <v>20</v>
      </c>
      <c r="AL355" s="31">
        <f t="shared" ca="1" si="110"/>
        <v>1</v>
      </c>
      <c r="AM355" s="31">
        <f t="shared" ca="1" si="111"/>
        <v>2</v>
      </c>
    </row>
    <row r="356" spans="14:39">
      <c r="N356" s="26">
        <v>348</v>
      </c>
      <c r="O356" s="30">
        <f t="shared" ca="1" si="114"/>
        <v>26.040211945282532</v>
      </c>
      <c r="P356" s="30">
        <f t="shared" ca="1" si="114"/>
        <v>23.352732668503798</v>
      </c>
      <c r="Q356" s="30">
        <f t="shared" ca="1" si="114"/>
        <v>9.3406273320770339</v>
      </c>
      <c r="R356" s="30">
        <f t="shared" ca="1" si="114"/>
        <v>1.193915081279147</v>
      </c>
      <c r="S356" s="30">
        <f t="shared" ca="1" si="114"/>
        <v>22.621537136629097</v>
      </c>
      <c r="T356" s="30">
        <f t="shared" ca="1" si="114"/>
        <v>9.6457963955411063</v>
      </c>
      <c r="U356" s="30">
        <f t="shared" ca="1" si="114"/>
        <v>2.437076177665972</v>
      </c>
      <c r="V356" s="30">
        <f t="shared" ca="1" si="114"/>
        <v>24.011360568170222</v>
      </c>
      <c r="W356" s="30">
        <f t="shared" ca="1" si="114"/>
        <v>28.254663626665167</v>
      </c>
      <c r="X356" s="30">
        <f t="shared" ca="1" si="114"/>
        <v>19.149697464464499</v>
      </c>
      <c r="Y356" s="30">
        <f t="shared" ca="1" si="114"/>
        <v>12.125374863266233</v>
      </c>
      <c r="Z356" s="30">
        <f t="shared" ca="1" si="114"/>
        <v>17.073475467368603</v>
      </c>
      <c r="AA356" s="26">
        <v>348</v>
      </c>
      <c r="AB356" s="31">
        <f t="shared" ca="1" si="112"/>
        <v>50</v>
      </c>
      <c r="AC356" s="31">
        <f t="shared" ca="1" si="101"/>
        <v>40</v>
      </c>
      <c r="AD356" s="31">
        <f t="shared" ca="1" si="102"/>
        <v>11</v>
      </c>
      <c r="AE356" s="31">
        <f t="shared" ca="1" si="103"/>
        <v>2</v>
      </c>
      <c r="AF356" s="31">
        <f t="shared" ca="1" si="104"/>
        <v>38</v>
      </c>
      <c r="AG356" s="31">
        <f t="shared" ca="1" si="105"/>
        <v>12</v>
      </c>
      <c r="AH356" s="31">
        <f t="shared" ca="1" si="106"/>
        <v>3</v>
      </c>
      <c r="AI356" s="31">
        <f t="shared" ca="1" si="107"/>
        <v>42</v>
      </c>
      <c r="AJ356" s="31">
        <f t="shared" ca="1" si="108"/>
        <v>62</v>
      </c>
      <c r="AK356" s="31">
        <f t="shared" ca="1" si="109"/>
        <v>29</v>
      </c>
      <c r="AL356" s="31">
        <f t="shared" ca="1" si="110"/>
        <v>15</v>
      </c>
      <c r="AM356" s="31">
        <f t="shared" ca="1" si="111"/>
        <v>24</v>
      </c>
    </row>
    <row r="357" spans="14:39">
      <c r="N357" s="26">
        <v>349</v>
      </c>
      <c r="O357" s="30">
        <f t="shared" ca="1" si="114"/>
        <v>9.358684975428055</v>
      </c>
      <c r="P357" s="30">
        <f t="shared" ca="1" si="114"/>
        <v>16.063448104391735</v>
      </c>
      <c r="Q357" s="30">
        <f t="shared" ca="1" si="114"/>
        <v>29.949429203071901</v>
      </c>
      <c r="R357" s="30">
        <f t="shared" ca="1" si="114"/>
        <v>30.856313528928968</v>
      </c>
      <c r="S357" s="30">
        <f t="shared" ca="1" si="114"/>
        <v>3.9723062305895516</v>
      </c>
      <c r="T357" s="30">
        <f t="shared" ca="1" si="114"/>
        <v>14.265377636386315</v>
      </c>
      <c r="U357" s="30">
        <f t="shared" ca="1" si="114"/>
        <v>15.552515646919591</v>
      </c>
      <c r="V357" s="30">
        <f t="shared" ca="1" si="114"/>
        <v>10.248130149584682</v>
      </c>
      <c r="W357" s="30">
        <f t="shared" ca="1" si="114"/>
        <v>12.711336204264278</v>
      </c>
      <c r="X357" s="30">
        <f t="shared" ca="1" si="114"/>
        <v>9.7266908007806769</v>
      </c>
      <c r="Y357" s="30">
        <f t="shared" ca="1" si="114"/>
        <v>21.38582743515051</v>
      </c>
      <c r="Z357" s="30">
        <f t="shared" ca="1" si="114"/>
        <v>7.0197171865709294</v>
      </c>
      <c r="AA357" s="26">
        <v>349</v>
      </c>
      <c r="AB357" s="31">
        <f t="shared" ca="1" si="112"/>
        <v>11</v>
      </c>
      <c r="AC357" s="31">
        <f t="shared" ca="1" si="101"/>
        <v>22</v>
      </c>
      <c r="AD357" s="31">
        <f t="shared" ca="1" si="102"/>
        <v>76</v>
      </c>
      <c r="AE357" s="31">
        <f t="shared" ca="1" si="103"/>
        <v>86</v>
      </c>
      <c r="AF357" s="31">
        <f t="shared" ca="1" si="104"/>
        <v>5</v>
      </c>
      <c r="AG357" s="31">
        <f t="shared" ca="1" si="105"/>
        <v>19</v>
      </c>
      <c r="AH357" s="31">
        <f t="shared" ca="1" si="106"/>
        <v>21</v>
      </c>
      <c r="AI357" s="31">
        <f t="shared" ca="1" si="107"/>
        <v>13</v>
      </c>
      <c r="AJ357" s="31">
        <f t="shared" ca="1" si="108"/>
        <v>16</v>
      </c>
      <c r="AK357" s="31">
        <f t="shared" ca="1" si="109"/>
        <v>12</v>
      </c>
      <c r="AL357" s="31">
        <f t="shared" ca="1" si="110"/>
        <v>34</v>
      </c>
      <c r="AM357" s="31">
        <f t="shared" ca="1" si="111"/>
        <v>8</v>
      </c>
    </row>
    <row r="358" spans="14:39">
      <c r="N358" s="26">
        <v>350</v>
      </c>
      <c r="O358" s="30">
        <f t="shared" ca="1" si="114"/>
        <v>23.507927063394785</v>
      </c>
      <c r="P358" s="30">
        <f t="shared" ca="1" si="114"/>
        <v>32.0542018026077</v>
      </c>
      <c r="Q358" s="30">
        <f t="shared" ca="1" si="114"/>
        <v>16.240598170439579</v>
      </c>
      <c r="R358" s="30">
        <f t="shared" ca="1" si="114"/>
        <v>27.287467596392105</v>
      </c>
      <c r="S358" s="30">
        <f t="shared" ca="1" si="114"/>
        <v>29.672699292081855</v>
      </c>
      <c r="T358" s="30">
        <f t="shared" ca="1" si="114"/>
        <v>14.648017807319732</v>
      </c>
      <c r="U358" s="30">
        <f t="shared" ca="1" si="114"/>
        <v>4.836840704898993</v>
      </c>
      <c r="V358" s="30">
        <f t="shared" ca="1" si="114"/>
        <v>18.321014075984266</v>
      </c>
      <c r="W358" s="30">
        <f t="shared" ca="1" si="114"/>
        <v>11.99053307914364</v>
      </c>
      <c r="X358" s="30">
        <f t="shared" ca="1" si="114"/>
        <v>15.220834696030911</v>
      </c>
      <c r="Y358" s="30">
        <f t="shared" ca="1" si="114"/>
        <v>18.668145724937581</v>
      </c>
      <c r="Z358" s="30">
        <f t="shared" ca="1" si="114"/>
        <v>22.244860503309575</v>
      </c>
      <c r="AA358" s="26">
        <v>350</v>
      </c>
      <c r="AB358" s="31">
        <f t="shared" ca="1" si="112"/>
        <v>41</v>
      </c>
      <c r="AC358" s="31">
        <f t="shared" ca="1" si="101"/>
        <v>108</v>
      </c>
      <c r="AD358" s="31">
        <f t="shared" ca="1" si="102"/>
        <v>22</v>
      </c>
      <c r="AE358" s="31">
        <f t="shared" ca="1" si="103"/>
        <v>57</v>
      </c>
      <c r="AF358" s="31">
        <f t="shared" ca="1" si="104"/>
        <v>73</v>
      </c>
      <c r="AG358" s="31">
        <f t="shared" ca="1" si="105"/>
        <v>20</v>
      </c>
      <c r="AH358" s="31">
        <f t="shared" ca="1" si="106"/>
        <v>6</v>
      </c>
      <c r="AI358" s="31">
        <f t="shared" ca="1" si="107"/>
        <v>27</v>
      </c>
      <c r="AJ358" s="31">
        <f t="shared" ca="1" si="108"/>
        <v>15</v>
      </c>
      <c r="AK358" s="31">
        <f t="shared" ca="1" si="109"/>
        <v>21</v>
      </c>
      <c r="AL358" s="31">
        <f t="shared" ca="1" si="110"/>
        <v>27</v>
      </c>
      <c r="AM358" s="31">
        <f t="shared" ca="1" si="111"/>
        <v>37</v>
      </c>
    </row>
    <row r="359" spans="14:39">
      <c r="N359" s="26">
        <v>351</v>
      </c>
      <c r="O359" s="30">
        <f t="shared" ref="O359:Z368" ca="1" si="115">RAND()*sumweights</f>
        <v>19.136944480628618</v>
      </c>
      <c r="P359" s="30">
        <f t="shared" ca="1" si="115"/>
        <v>33.138452674267462</v>
      </c>
      <c r="Q359" s="30">
        <f t="shared" ca="1" si="115"/>
        <v>12.561424490961461</v>
      </c>
      <c r="R359" s="30">
        <f t="shared" ca="1" si="115"/>
        <v>20.593833054355034</v>
      </c>
      <c r="S359" s="30">
        <f t="shared" ca="1" si="115"/>
        <v>1.0555055842891341</v>
      </c>
      <c r="T359" s="30">
        <f t="shared" ca="1" si="115"/>
        <v>4.2078669981331949</v>
      </c>
      <c r="U359" s="30">
        <f t="shared" ca="1" si="115"/>
        <v>31.468216443417187</v>
      </c>
      <c r="V359" s="30">
        <f t="shared" ca="1" si="115"/>
        <v>21.756176449410951</v>
      </c>
      <c r="W359" s="30">
        <f t="shared" ca="1" si="115"/>
        <v>32.871982470235139</v>
      </c>
      <c r="X359" s="30">
        <f t="shared" ca="1" si="115"/>
        <v>19.880662882756322</v>
      </c>
      <c r="Y359" s="30">
        <f t="shared" ca="1" si="115"/>
        <v>11.805955177545803</v>
      </c>
      <c r="Z359" s="30">
        <f t="shared" ca="1" si="115"/>
        <v>32.781677955884469</v>
      </c>
      <c r="AA359" s="26">
        <v>351</v>
      </c>
      <c r="AB359" s="31">
        <f t="shared" ca="1" si="112"/>
        <v>29</v>
      </c>
      <c r="AC359" s="31">
        <f t="shared" ca="1" si="101"/>
        <v>169</v>
      </c>
      <c r="AD359" s="31">
        <f t="shared" ca="1" si="102"/>
        <v>16</v>
      </c>
      <c r="AE359" s="31">
        <f t="shared" ca="1" si="103"/>
        <v>32</v>
      </c>
      <c r="AF359" s="31">
        <f t="shared" ca="1" si="104"/>
        <v>2</v>
      </c>
      <c r="AG359" s="31">
        <f t="shared" ca="1" si="105"/>
        <v>5</v>
      </c>
      <c r="AH359" s="31">
        <f t="shared" ca="1" si="106"/>
        <v>95</v>
      </c>
      <c r="AI359" s="31">
        <f t="shared" ca="1" si="107"/>
        <v>35</v>
      </c>
      <c r="AJ359" s="31">
        <f t="shared" ca="1" si="108"/>
        <v>141</v>
      </c>
      <c r="AK359" s="31">
        <f t="shared" ca="1" si="109"/>
        <v>30</v>
      </c>
      <c r="AL359" s="31">
        <f t="shared" ca="1" si="110"/>
        <v>15</v>
      </c>
      <c r="AM359" s="31">
        <f t="shared" ca="1" si="111"/>
        <v>135</v>
      </c>
    </row>
    <row r="360" spans="14:39">
      <c r="N360" s="26">
        <v>352</v>
      </c>
      <c r="O360" s="30">
        <f t="shared" ca="1" si="115"/>
        <v>28.640733303380109</v>
      </c>
      <c r="P360" s="30">
        <f t="shared" ca="1" si="115"/>
        <v>7.835516557069508</v>
      </c>
      <c r="Q360" s="30">
        <f t="shared" ca="1" si="115"/>
        <v>0.73240234401363824</v>
      </c>
      <c r="R360" s="30">
        <f t="shared" ca="1" si="115"/>
        <v>18.767010510214316</v>
      </c>
      <c r="S360" s="30">
        <f t="shared" ca="1" si="115"/>
        <v>24.035261559993195</v>
      </c>
      <c r="T360" s="30">
        <f t="shared" ca="1" si="115"/>
        <v>5.619063756501359</v>
      </c>
      <c r="U360" s="30">
        <f t="shared" ca="1" si="115"/>
        <v>25.401470226403784</v>
      </c>
      <c r="V360" s="30">
        <f t="shared" ca="1" si="115"/>
        <v>13.886307055096735</v>
      </c>
      <c r="W360" s="30">
        <f t="shared" ca="1" si="115"/>
        <v>9.579506788128656</v>
      </c>
      <c r="X360" s="30">
        <f t="shared" ca="1" si="115"/>
        <v>24.917735193468246</v>
      </c>
      <c r="Y360" s="30">
        <f t="shared" ca="1" si="115"/>
        <v>3.7367290405042293</v>
      </c>
      <c r="Z360" s="30">
        <f t="shared" ca="1" si="115"/>
        <v>14.155594570368795</v>
      </c>
      <c r="AA360" s="26">
        <v>352</v>
      </c>
      <c r="AB360" s="31">
        <f t="shared" ca="1" si="112"/>
        <v>65</v>
      </c>
      <c r="AC360" s="31">
        <f t="shared" ca="1" si="101"/>
        <v>9</v>
      </c>
      <c r="AD360" s="31">
        <f t="shared" ca="1" si="102"/>
        <v>1</v>
      </c>
      <c r="AE360" s="31">
        <f t="shared" ca="1" si="103"/>
        <v>28</v>
      </c>
      <c r="AF360" s="31">
        <f t="shared" ca="1" si="104"/>
        <v>42</v>
      </c>
      <c r="AG360" s="31">
        <f t="shared" ca="1" si="105"/>
        <v>7</v>
      </c>
      <c r="AH360" s="31">
        <f t="shared" ca="1" si="106"/>
        <v>48</v>
      </c>
      <c r="AI360" s="31">
        <f t="shared" ca="1" si="107"/>
        <v>18</v>
      </c>
      <c r="AJ360" s="31">
        <f t="shared" ca="1" si="108"/>
        <v>12</v>
      </c>
      <c r="AK360" s="31">
        <f t="shared" ca="1" si="109"/>
        <v>46</v>
      </c>
      <c r="AL360" s="31">
        <f t="shared" ca="1" si="110"/>
        <v>4</v>
      </c>
      <c r="AM360" s="31">
        <f t="shared" ca="1" si="111"/>
        <v>19</v>
      </c>
    </row>
    <row r="361" spans="14:39">
      <c r="N361" s="26">
        <v>353</v>
      </c>
      <c r="O361" s="30">
        <f t="shared" ca="1" si="115"/>
        <v>11.252593550765896</v>
      </c>
      <c r="P361" s="30">
        <f t="shared" ca="1" si="115"/>
        <v>14.483256762306665</v>
      </c>
      <c r="Q361" s="30">
        <f t="shared" ca="1" si="115"/>
        <v>25.970365037206491</v>
      </c>
      <c r="R361" s="30">
        <f t="shared" ca="1" si="115"/>
        <v>6.286766563574874</v>
      </c>
      <c r="S361" s="30">
        <f t="shared" ca="1" si="115"/>
        <v>10.957216230393438</v>
      </c>
      <c r="T361" s="30">
        <f t="shared" ca="1" si="115"/>
        <v>19.230990230101032</v>
      </c>
      <c r="U361" s="30">
        <f t="shared" ca="1" si="115"/>
        <v>26.669339692091576</v>
      </c>
      <c r="V361" s="30">
        <f t="shared" ca="1" si="115"/>
        <v>31.819614234786734</v>
      </c>
      <c r="W361" s="30">
        <f t="shared" ca="1" si="115"/>
        <v>33.029362943298018</v>
      </c>
      <c r="X361" s="30">
        <f t="shared" ca="1" si="115"/>
        <v>9.252546399212525</v>
      </c>
      <c r="Y361" s="30">
        <f t="shared" ca="1" si="115"/>
        <v>26.326533578176178</v>
      </c>
      <c r="Z361" s="30">
        <f t="shared" ca="1" si="115"/>
        <v>11.24060813031479</v>
      </c>
      <c r="AA361" s="26">
        <v>353</v>
      </c>
      <c r="AB361" s="31">
        <f t="shared" ca="1" si="112"/>
        <v>14</v>
      </c>
      <c r="AC361" s="31">
        <f t="shared" ca="1" si="101"/>
        <v>19</v>
      </c>
      <c r="AD361" s="31">
        <f t="shared" ca="1" si="102"/>
        <v>50</v>
      </c>
      <c r="AE361" s="31">
        <f t="shared" ca="1" si="103"/>
        <v>7</v>
      </c>
      <c r="AF361" s="31">
        <f t="shared" ca="1" si="104"/>
        <v>14</v>
      </c>
      <c r="AG361" s="31">
        <f t="shared" ca="1" si="105"/>
        <v>29</v>
      </c>
      <c r="AH361" s="31">
        <f t="shared" ca="1" si="106"/>
        <v>53</v>
      </c>
      <c r="AI361" s="31">
        <f t="shared" ca="1" si="107"/>
        <v>102</v>
      </c>
      <c r="AJ361" s="31">
        <f t="shared" ca="1" si="108"/>
        <v>155</v>
      </c>
      <c r="AK361" s="31">
        <f t="shared" ca="1" si="109"/>
        <v>11</v>
      </c>
      <c r="AL361" s="31">
        <f t="shared" ca="1" si="110"/>
        <v>52</v>
      </c>
      <c r="AM361" s="31">
        <f t="shared" ca="1" si="111"/>
        <v>14</v>
      </c>
    </row>
    <row r="362" spans="14:39">
      <c r="N362" s="26">
        <v>354</v>
      </c>
      <c r="O362" s="30">
        <f t="shared" ca="1" si="115"/>
        <v>4.2724480153895543</v>
      </c>
      <c r="P362" s="30">
        <f t="shared" ca="1" si="115"/>
        <v>19.891065088378831</v>
      </c>
      <c r="Q362" s="30">
        <f t="shared" ca="1" si="115"/>
        <v>22.823605047781552</v>
      </c>
      <c r="R362" s="30">
        <f t="shared" ca="1" si="115"/>
        <v>17.983013011886552</v>
      </c>
      <c r="S362" s="30">
        <f t="shared" ca="1" si="115"/>
        <v>17.007562828004303</v>
      </c>
      <c r="T362" s="30">
        <f t="shared" ca="1" si="115"/>
        <v>3.8677037698585415</v>
      </c>
      <c r="U362" s="30">
        <f t="shared" ca="1" si="115"/>
        <v>1.8577950140845234</v>
      </c>
      <c r="V362" s="30">
        <f t="shared" ca="1" si="115"/>
        <v>7.8141136864224707</v>
      </c>
      <c r="W362" s="30">
        <f t="shared" ca="1" si="115"/>
        <v>2.2643455687975802</v>
      </c>
      <c r="X362" s="30">
        <f t="shared" ca="1" si="115"/>
        <v>23.550255898839307</v>
      </c>
      <c r="Y362" s="30">
        <f t="shared" ca="1" si="115"/>
        <v>32.120480059728642</v>
      </c>
      <c r="Z362" s="30">
        <f t="shared" ca="1" si="115"/>
        <v>30.739173651297108</v>
      </c>
      <c r="AA362" s="26">
        <v>354</v>
      </c>
      <c r="AB362" s="31">
        <f t="shared" ca="1" si="112"/>
        <v>5</v>
      </c>
      <c r="AC362" s="31">
        <f t="shared" ca="1" si="101"/>
        <v>30</v>
      </c>
      <c r="AD362" s="31">
        <f t="shared" ca="1" si="102"/>
        <v>38</v>
      </c>
      <c r="AE362" s="31">
        <f t="shared" ca="1" si="103"/>
        <v>26</v>
      </c>
      <c r="AF362" s="31">
        <f t="shared" ca="1" si="104"/>
        <v>24</v>
      </c>
      <c r="AG362" s="31">
        <f t="shared" ca="1" si="105"/>
        <v>5</v>
      </c>
      <c r="AH362" s="31">
        <f t="shared" ca="1" si="106"/>
        <v>2</v>
      </c>
      <c r="AI362" s="31">
        <f t="shared" ca="1" si="107"/>
        <v>9</v>
      </c>
      <c r="AJ362" s="31">
        <f t="shared" ca="1" si="108"/>
        <v>3</v>
      </c>
      <c r="AK362" s="31">
        <f t="shared" ca="1" si="109"/>
        <v>41</v>
      </c>
      <c r="AL362" s="31">
        <f t="shared" ca="1" si="110"/>
        <v>109</v>
      </c>
      <c r="AM362" s="31">
        <f t="shared" ca="1" si="111"/>
        <v>84</v>
      </c>
    </row>
    <row r="363" spans="14:39">
      <c r="N363" s="26">
        <v>355</v>
      </c>
      <c r="O363" s="30">
        <f t="shared" ca="1" si="115"/>
        <v>30.830902152168218</v>
      </c>
      <c r="P363" s="30">
        <f t="shared" ca="1" si="115"/>
        <v>14.961638020903631</v>
      </c>
      <c r="Q363" s="30">
        <f t="shared" ca="1" si="115"/>
        <v>20.19159250560466</v>
      </c>
      <c r="R363" s="30">
        <f t="shared" ca="1" si="115"/>
        <v>19.160906724612762</v>
      </c>
      <c r="S363" s="30">
        <f t="shared" ca="1" si="115"/>
        <v>19.753593414379019</v>
      </c>
      <c r="T363" s="30">
        <f t="shared" ca="1" si="115"/>
        <v>15.095584539149927</v>
      </c>
      <c r="U363" s="30">
        <f t="shared" ca="1" si="115"/>
        <v>22.344718358107393</v>
      </c>
      <c r="V363" s="30">
        <f t="shared" ca="1" si="115"/>
        <v>22.690736916486113</v>
      </c>
      <c r="W363" s="30">
        <f t="shared" ca="1" si="115"/>
        <v>7.9029384066925203</v>
      </c>
      <c r="X363" s="30">
        <f t="shared" ca="1" si="115"/>
        <v>29.541795397607554</v>
      </c>
      <c r="Y363" s="30">
        <f t="shared" ca="1" si="115"/>
        <v>10.183259304155257</v>
      </c>
      <c r="Z363" s="30">
        <f t="shared" ca="1" si="115"/>
        <v>8.9907456875030309</v>
      </c>
      <c r="AA363" s="26">
        <v>355</v>
      </c>
      <c r="AB363" s="31">
        <f t="shared" ca="1" si="112"/>
        <v>86</v>
      </c>
      <c r="AC363" s="31">
        <f t="shared" ca="1" si="101"/>
        <v>20</v>
      </c>
      <c r="AD363" s="31">
        <f t="shared" ca="1" si="102"/>
        <v>31</v>
      </c>
      <c r="AE363" s="31">
        <f t="shared" ca="1" si="103"/>
        <v>29</v>
      </c>
      <c r="AF363" s="31">
        <f t="shared" ca="1" si="104"/>
        <v>30</v>
      </c>
      <c r="AG363" s="31">
        <f t="shared" ca="1" si="105"/>
        <v>20</v>
      </c>
      <c r="AH363" s="31">
        <f t="shared" ca="1" si="106"/>
        <v>37</v>
      </c>
      <c r="AI363" s="31">
        <f t="shared" ca="1" si="107"/>
        <v>38</v>
      </c>
      <c r="AJ363" s="31">
        <f t="shared" ca="1" si="108"/>
        <v>9</v>
      </c>
      <c r="AK363" s="31">
        <f t="shared" ca="1" si="109"/>
        <v>72</v>
      </c>
      <c r="AL363" s="31">
        <f t="shared" ca="1" si="110"/>
        <v>12</v>
      </c>
      <c r="AM363" s="31">
        <f t="shared" ca="1" si="111"/>
        <v>11</v>
      </c>
    </row>
    <row r="364" spans="14:39">
      <c r="N364" s="26">
        <v>356</v>
      </c>
      <c r="O364" s="30">
        <f t="shared" ca="1" si="115"/>
        <v>9.0131053910874002</v>
      </c>
      <c r="P364" s="30">
        <f t="shared" ca="1" si="115"/>
        <v>27.513492337463564</v>
      </c>
      <c r="Q364" s="30">
        <f t="shared" ca="1" si="115"/>
        <v>31.230594020391472</v>
      </c>
      <c r="R364" s="30">
        <f t="shared" ca="1" si="115"/>
        <v>28.128966944746871</v>
      </c>
      <c r="S364" s="30">
        <f t="shared" ca="1" si="115"/>
        <v>24.386169432235025</v>
      </c>
      <c r="T364" s="30">
        <f t="shared" ca="1" si="115"/>
        <v>6.5366903474506577</v>
      </c>
      <c r="U364" s="30">
        <f t="shared" ca="1" si="115"/>
        <v>32.211174769740403</v>
      </c>
      <c r="V364" s="30">
        <f t="shared" ca="1" si="115"/>
        <v>32.550454809405345</v>
      </c>
      <c r="W364" s="30">
        <f t="shared" ca="1" si="115"/>
        <v>21.603071137693004</v>
      </c>
      <c r="X364" s="30">
        <f t="shared" ca="1" si="115"/>
        <v>31.402288534209578</v>
      </c>
      <c r="Y364" s="30">
        <f t="shared" ca="1" si="115"/>
        <v>26.576204402007512</v>
      </c>
      <c r="Z364" s="30">
        <f t="shared" ca="1" si="115"/>
        <v>31.945981372384967</v>
      </c>
      <c r="AA364" s="26">
        <v>356</v>
      </c>
      <c r="AB364" s="31">
        <f t="shared" ca="1" si="112"/>
        <v>11</v>
      </c>
      <c r="AC364" s="31">
        <f t="shared" ca="1" si="101"/>
        <v>58</v>
      </c>
      <c r="AD364" s="31">
        <f t="shared" ca="1" si="102"/>
        <v>91</v>
      </c>
      <c r="AE364" s="31">
        <f t="shared" ca="1" si="103"/>
        <v>61</v>
      </c>
      <c r="AF364" s="31">
        <f t="shared" ca="1" si="104"/>
        <v>44</v>
      </c>
      <c r="AG364" s="31">
        <f t="shared" ca="1" si="105"/>
        <v>8</v>
      </c>
      <c r="AH364" s="31">
        <f t="shared" ca="1" si="106"/>
        <v>112</v>
      </c>
      <c r="AI364" s="31">
        <f t="shared" ca="1" si="107"/>
        <v>124</v>
      </c>
      <c r="AJ364" s="31">
        <f t="shared" ca="1" si="108"/>
        <v>35</v>
      </c>
      <c r="AK364" s="31">
        <f t="shared" ca="1" si="109"/>
        <v>94</v>
      </c>
      <c r="AL364" s="31">
        <f t="shared" ca="1" si="110"/>
        <v>53</v>
      </c>
      <c r="AM364" s="31">
        <f t="shared" ca="1" si="111"/>
        <v>105</v>
      </c>
    </row>
    <row r="365" spans="14:39">
      <c r="N365" s="26">
        <v>357</v>
      </c>
      <c r="O365" s="30">
        <f t="shared" ca="1" si="115"/>
        <v>24.670255149762951</v>
      </c>
      <c r="P365" s="30">
        <f t="shared" ca="1" si="115"/>
        <v>2.1079892631503685</v>
      </c>
      <c r="Q365" s="30">
        <f t="shared" ca="1" si="115"/>
        <v>2.9877072497268768</v>
      </c>
      <c r="R365" s="30">
        <f t="shared" ca="1" si="115"/>
        <v>14.507556387791537</v>
      </c>
      <c r="S365" s="30">
        <f t="shared" ca="1" si="115"/>
        <v>28.180659175805872</v>
      </c>
      <c r="T365" s="30">
        <f t="shared" ca="1" si="115"/>
        <v>19.323740746182263</v>
      </c>
      <c r="U365" s="30">
        <f t="shared" ca="1" si="115"/>
        <v>27.571730212872541</v>
      </c>
      <c r="V365" s="30">
        <f t="shared" ca="1" si="115"/>
        <v>17.993313089587488</v>
      </c>
      <c r="W365" s="30">
        <f t="shared" ca="1" si="115"/>
        <v>7.8608050976286314</v>
      </c>
      <c r="X365" s="30">
        <f t="shared" ca="1" si="115"/>
        <v>1.5112746694753929</v>
      </c>
      <c r="Y365" s="30">
        <f t="shared" ca="1" si="115"/>
        <v>26.006572056701131</v>
      </c>
      <c r="Z365" s="30">
        <f t="shared" ca="1" si="115"/>
        <v>30.703639364238992</v>
      </c>
      <c r="AA365" s="26">
        <v>357</v>
      </c>
      <c r="AB365" s="31">
        <f t="shared" ca="1" si="112"/>
        <v>45</v>
      </c>
      <c r="AC365" s="31">
        <f t="shared" ca="1" si="101"/>
        <v>3</v>
      </c>
      <c r="AD365" s="31">
        <f t="shared" ca="1" si="102"/>
        <v>4</v>
      </c>
      <c r="AE365" s="31">
        <f t="shared" ca="1" si="103"/>
        <v>19</v>
      </c>
      <c r="AF365" s="31">
        <f t="shared" ca="1" si="104"/>
        <v>62</v>
      </c>
      <c r="AG365" s="31">
        <f t="shared" ca="1" si="105"/>
        <v>29</v>
      </c>
      <c r="AH365" s="31">
        <f t="shared" ca="1" si="106"/>
        <v>58</v>
      </c>
      <c r="AI365" s="31">
        <f t="shared" ca="1" si="107"/>
        <v>26</v>
      </c>
      <c r="AJ365" s="31">
        <f t="shared" ca="1" si="108"/>
        <v>9</v>
      </c>
      <c r="AK365" s="31">
        <f t="shared" ca="1" si="109"/>
        <v>2</v>
      </c>
      <c r="AL365" s="31">
        <f t="shared" ca="1" si="110"/>
        <v>50</v>
      </c>
      <c r="AM365" s="31">
        <f t="shared" ca="1" si="111"/>
        <v>84</v>
      </c>
    </row>
    <row r="366" spans="14:39">
      <c r="N366" s="26">
        <v>358</v>
      </c>
      <c r="O366" s="30">
        <f t="shared" ca="1" si="115"/>
        <v>16.221873515034297</v>
      </c>
      <c r="P366" s="30">
        <f t="shared" ca="1" si="115"/>
        <v>23.583342346218068</v>
      </c>
      <c r="Q366" s="30">
        <f t="shared" ca="1" si="115"/>
        <v>28.54325549166477</v>
      </c>
      <c r="R366" s="30">
        <f t="shared" ca="1" si="115"/>
        <v>3.612226594961633</v>
      </c>
      <c r="S366" s="30">
        <f t="shared" ca="1" si="115"/>
        <v>0.73740623125462146</v>
      </c>
      <c r="T366" s="30">
        <f t="shared" ca="1" si="115"/>
        <v>32.21864929721167</v>
      </c>
      <c r="U366" s="30">
        <f t="shared" ca="1" si="115"/>
        <v>4.5446451079352483</v>
      </c>
      <c r="V366" s="30">
        <f t="shared" ca="1" si="115"/>
        <v>5.5874107065729257</v>
      </c>
      <c r="W366" s="30">
        <f t="shared" ca="1" si="115"/>
        <v>8.5525894300984397</v>
      </c>
      <c r="X366" s="30">
        <f t="shared" ca="1" si="115"/>
        <v>28.999693147315451</v>
      </c>
      <c r="Y366" s="30">
        <f t="shared" ca="1" si="115"/>
        <v>19.804998449434912</v>
      </c>
      <c r="Z366" s="30">
        <f t="shared" ca="1" si="115"/>
        <v>25.306682119814123</v>
      </c>
      <c r="AA366" s="26">
        <v>358</v>
      </c>
      <c r="AB366" s="31">
        <f t="shared" ca="1" si="112"/>
        <v>22</v>
      </c>
      <c r="AC366" s="31">
        <f t="shared" ca="1" si="101"/>
        <v>41</v>
      </c>
      <c r="AD366" s="31">
        <f t="shared" ca="1" si="102"/>
        <v>64</v>
      </c>
      <c r="AE366" s="31">
        <f t="shared" ca="1" si="103"/>
        <v>4</v>
      </c>
      <c r="AF366" s="31">
        <f t="shared" ca="1" si="104"/>
        <v>1</v>
      </c>
      <c r="AG366" s="31">
        <f t="shared" ca="1" si="105"/>
        <v>112</v>
      </c>
      <c r="AH366" s="31">
        <f t="shared" ca="1" si="106"/>
        <v>5</v>
      </c>
      <c r="AI366" s="31">
        <f t="shared" ca="1" si="107"/>
        <v>7</v>
      </c>
      <c r="AJ366" s="31">
        <f t="shared" ca="1" si="108"/>
        <v>10</v>
      </c>
      <c r="AK366" s="31">
        <f t="shared" ca="1" si="109"/>
        <v>67</v>
      </c>
      <c r="AL366" s="31">
        <f t="shared" ca="1" si="110"/>
        <v>30</v>
      </c>
      <c r="AM366" s="31">
        <f t="shared" ca="1" si="111"/>
        <v>47</v>
      </c>
    </row>
    <row r="367" spans="14:39">
      <c r="N367" s="26">
        <v>359</v>
      </c>
      <c r="O367" s="30">
        <f t="shared" ca="1" si="115"/>
        <v>3.9685499588689765</v>
      </c>
      <c r="P367" s="30">
        <f t="shared" ca="1" si="115"/>
        <v>26.854307272468372</v>
      </c>
      <c r="Q367" s="30">
        <f t="shared" ca="1" si="115"/>
        <v>30.251087630775871</v>
      </c>
      <c r="R367" s="30">
        <f t="shared" ca="1" si="115"/>
        <v>26.408473426986376</v>
      </c>
      <c r="S367" s="30">
        <f t="shared" ca="1" si="115"/>
        <v>2.8095739222953315</v>
      </c>
      <c r="T367" s="30">
        <f t="shared" ca="1" si="115"/>
        <v>2.7146457021026293</v>
      </c>
      <c r="U367" s="30">
        <f t="shared" ca="1" si="115"/>
        <v>11.297563336962391</v>
      </c>
      <c r="V367" s="30">
        <f t="shared" ca="1" si="115"/>
        <v>7.6154557874012507</v>
      </c>
      <c r="W367" s="30">
        <f t="shared" ca="1" si="115"/>
        <v>24.85659178543602</v>
      </c>
      <c r="X367" s="30">
        <f t="shared" ca="1" si="115"/>
        <v>8.4651058947264541</v>
      </c>
      <c r="Y367" s="30">
        <f t="shared" ca="1" si="115"/>
        <v>15.032220211856995</v>
      </c>
      <c r="Z367" s="30">
        <f t="shared" ca="1" si="115"/>
        <v>18.95068517377339</v>
      </c>
      <c r="AA367" s="26">
        <v>359</v>
      </c>
      <c r="AB367" s="31">
        <f t="shared" ca="1" si="112"/>
        <v>5</v>
      </c>
      <c r="AC367" s="31">
        <f t="shared" ca="1" si="101"/>
        <v>54</v>
      </c>
      <c r="AD367" s="31">
        <f t="shared" ca="1" si="102"/>
        <v>79</v>
      </c>
      <c r="AE367" s="31">
        <f t="shared" ca="1" si="103"/>
        <v>52</v>
      </c>
      <c r="AF367" s="31">
        <f t="shared" ca="1" si="104"/>
        <v>3</v>
      </c>
      <c r="AG367" s="31">
        <f t="shared" ca="1" si="105"/>
        <v>3</v>
      </c>
      <c r="AH367" s="31">
        <f t="shared" ca="1" si="106"/>
        <v>14</v>
      </c>
      <c r="AI367" s="31">
        <f t="shared" ca="1" si="107"/>
        <v>9</v>
      </c>
      <c r="AJ367" s="31">
        <f t="shared" ca="1" si="108"/>
        <v>45</v>
      </c>
      <c r="AK367" s="31">
        <f t="shared" ca="1" si="109"/>
        <v>10</v>
      </c>
      <c r="AL367" s="31">
        <f t="shared" ca="1" si="110"/>
        <v>20</v>
      </c>
      <c r="AM367" s="31">
        <f t="shared" ca="1" si="111"/>
        <v>28</v>
      </c>
    </row>
    <row r="368" spans="14:39">
      <c r="N368" s="26">
        <v>360</v>
      </c>
      <c r="O368" s="30">
        <f t="shared" ca="1" si="115"/>
        <v>4.9348098048718727</v>
      </c>
      <c r="P368" s="30">
        <f t="shared" ca="1" si="115"/>
        <v>16.029838692404351</v>
      </c>
      <c r="Q368" s="30">
        <f t="shared" ca="1" si="115"/>
        <v>10.644543070002587</v>
      </c>
      <c r="R368" s="30">
        <f t="shared" ca="1" si="115"/>
        <v>3.7297863356629826</v>
      </c>
      <c r="S368" s="30">
        <f t="shared" ca="1" si="115"/>
        <v>21.42796050051415</v>
      </c>
      <c r="T368" s="30">
        <f t="shared" ca="1" si="115"/>
        <v>5.7508192692518545</v>
      </c>
      <c r="U368" s="30">
        <f t="shared" ca="1" si="115"/>
        <v>19.367293019342728</v>
      </c>
      <c r="V368" s="30">
        <f t="shared" ca="1" si="115"/>
        <v>30.539237457313089</v>
      </c>
      <c r="W368" s="30">
        <f t="shared" ca="1" si="115"/>
        <v>9.2264373143191651</v>
      </c>
      <c r="X368" s="30">
        <f t="shared" ca="1" si="115"/>
        <v>11.13707583474047</v>
      </c>
      <c r="Y368" s="30">
        <f t="shared" ca="1" si="115"/>
        <v>2.9549214364933936</v>
      </c>
      <c r="Z368" s="30">
        <f t="shared" ca="1" si="115"/>
        <v>16.785592803982684</v>
      </c>
      <c r="AA368" s="26">
        <v>360</v>
      </c>
      <c r="AB368" s="31">
        <f t="shared" ca="1" si="112"/>
        <v>6</v>
      </c>
      <c r="AC368" s="31">
        <f t="shared" ca="1" si="101"/>
        <v>22</v>
      </c>
      <c r="AD368" s="31">
        <f t="shared" ca="1" si="102"/>
        <v>13</v>
      </c>
      <c r="AE368" s="31">
        <f t="shared" ca="1" si="103"/>
        <v>4</v>
      </c>
      <c r="AF368" s="31">
        <f t="shared" ca="1" si="104"/>
        <v>34</v>
      </c>
      <c r="AG368" s="31">
        <f t="shared" ca="1" si="105"/>
        <v>7</v>
      </c>
      <c r="AH368" s="31">
        <f t="shared" ca="1" si="106"/>
        <v>29</v>
      </c>
      <c r="AI368" s="31">
        <f t="shared" ca="1" si="107"/>
        <v>82</v>
      </c>
      <c r="AJ368" s="31">
        <f t="shared" ca="1" si="108"/>
        <v>11</v>
      </c>
      <c r="AK368" s="31">
        <f t="shared" ca="1" si="109"/>
        <v>14</v>
      </c>
      <c r="AL368" s="31">
        <f t="shared" ca="1" si="110"/>
        <v>4</v>
      </c>
      <c r="AM368" s="31">
        <f t="shared" ca="1" si="111"/>
        <v>23</v>
      </c>
    </row>
    <row r="369" spans="14:39">
      <c r="N369" s="26">
        <v>361</v>
      </c>
      <c r="O369" s="30">
        <f t="shared" ref="O369:Z378" ca="1" si="116">RAND()*sumweights</f>
        <v>23.803870373914737</v>
      </c>
      <c r="P369" s="30">
        <f t="shared" ca="1" si="116"/>
        <v>3.2364313207289914</v>
      </c>
      <c r="Q369" s="30">
        <f t="shared" ca="1" si="116"/>
        <v>20.515523130510676</v>
      </c>
      <c r="R369" s="30">
        <f t="shared" ca="1" si="116"/>
        <v>23.705140794055637</v>
      </c>
      <c r="S369" s="30">
        <f t="shared" ca="1" si="116"/>
        <v>19.09739433958595</v>
      </c>
      <c r="T369" s="30">
        <f t="shared" ca="1" si="116"/>
        <v>6.8865982617947212</v>
      </c>
      <c r="U369" s="30">
        <f t="shared" ca="1" si="116"/>
        <v>8.5285490454902231</v>
      </c>
      <c r="V369" s="30">
        <f t="shared" ca="1" si="116"/>
        <v>7.0901534931434647</v>
      </c>
      <c r="W369" s="30">
        <f t="shared" ca="1" si="116"/>
        <v>10.738427123507254</v>
      </c>
      <c r="X369" s="30">
        <f t="shared" ca="1" si="116"/>
        <v>27.250199604978203</v>
      </c>
      <c r="Y369" s="30">
        <f t="shared" ca="1" si="116"/>
        <v>9.3291119442377904E-2</v>
      </c>
      <c r="Z369" s="30">
        <f t="shared" ca="1" si="116"/>
        <v>7.3311427514344141</v>
      </c>
      <c r="AA369" s="26">
        <v>361</v>
      </c>
      <c r="AB369" s="31">
        <f t="shared" ca="1" si="112"/>
        <v>42</v>
      </c>
      <c r="AC369" s="31">
        <f t="shared" ca="1" si="101"/>
        <v>4</v>
      </c>
      <c r="AD369" s="31">
        <f t="shared" ca="1" si="102"/>
        <v>32</v>
      </c>
      <c r="AE369" s="31">
        <f t="shared" ca="1" si="103"/>
        <v>41</v>
      </c>
      <c r="AF369" s="31">
        <f t="shared" ca="1" si="104"/>
        <v>28</v>
      </c>
      <c r="AG369" s="31">
        <f t="shared" ca="1" si="105"/>
        <v>8</v>
      </c>
      <c r="AH369" s="31">
        <f t="shared" ca="1" si="106"/>
        <v>10</v>
      </c>
      <c r="AI369" s="31">
        <f t="shared" ca="1" si="107"/>
        <v>8</v>
      </c>
      <c r="AJ369" s="31">
        <f t="shared" ca="1" si="108"/>
        <v>13</v>
      </c>
      <c r="AK369" s="31">
        <f t="shared" ca="1" si="109"/>
        <v>56</v>
      </c>
      <c r="AL369" s="31">
        <f t="shared" ca="1" si="110"/>
        <v>1</v>
      </c>
      <c r="AM369" s="31">
        <f t="shared" ca="1" si="111"/>
        <v>9</v>
      </c>
    </row>
    <row r="370" spans="14:39">
      <c r="N370" s="26">
        <v>362</v>
      </c>
      <c r="O370" s="30">
        <f t="shared" ca="1" si="116"/>
        <v>17.924093357771358</v>
      </c>
      <c r="P370" s="30">
        <f t="shared" ca="1" si="116"/>
        <v>32.108295833515776</v>
      </c>
      <c r="Q370" s="30">
        <f t="shared" ca="1" si="116"/>
        <v>16.770765672685691</v>
      </c>
      <c r="R370" s="30">
        <f t="shared" ca="1" si="116"/>
        <v>27.79977221996306</v>
      </c>
      <c r="S370" s="30">
        <f t="shared" ca="1" si="116"/>
        <v>7.2670328520718108</v>
      </c>
      <c r="T370" s="30">
        <f t="shared" ca="1" si="116"/>
        <v>3.7276238540846141</v>
      </c>
      <c r="U370" s="30">
        <f t="shared" ca="1" si="116"/>
        <v>7.6482217093697455</v>
      </c>
      <c r="V370" s="30">
        <f t="shared" ca="1" si="116"/>
        <v>1.4075577385941211</v>
      </c>
      <c r="W370" s="30">
        <f t="shared" ca="1" si="116"/>
        <v>24.844159974296762</v>
      </c>
      <c r="X370" s="30">
        <f t="shared" ca="1" si="116"/>
        <v>11.554085818438153</v>
      </c>
      <c r="Y370" s="30">
        <f t="shared" ca="1" si="116"/>
        <v>10.761219424756236</v>
      </c>
      <c r="Z370" s="30">
        <f t="shared" ca="1" si="116"/>
        <v>32.295722784116244</v>
      </c>
      <c r="AA370" s="26">
        <v>362</v>
      </c>
      <c r="AB370" s="31">
        <f t="shared" ca="1" si="112"/>
        <v>26</v>
      </c>
      <c r="AC370" s="31">
        <f t="shared" ca="1" si="101"/>
        <v>109</v>
      </c>
      <c r="AD370" s="31">
        <f t="shared" ca="1" si="102"/>
        <v>23</v>
      </c>
      <c r="AE370" s="31">
        <f t="shared" ca="1" si="103"/>
        <v>59</v>
      </c>
      <c r="AF370" s="31">
        <f t="shared" ca="1" si="104"/>
        <v>9</v>
      </c>
      <c r="AG370" s="31">
        <f t="shared" ca="1" si="105"/>
        <v>4</v>
      </c>
      <c r="AH370" s="31">
        <f t="shared" ca="1" si="106"/>
        <v>9</v>
      </c>
      <c r="AI370" s="31">
        <f t="shared" ca="1" si="107"/>
        <v>2</v>
      </c>
      <c r="AJ370" s="31">
        <f t="shared" ca="1" si="108"/>
        <v>45</v>
      </c>
      <c r="AK370" s="31">
        <f t="shared" ca="1" si="109"/>
        <v>14</v>
      </c>
      <c r="AL370" s="31">
        <f t="shared" ca="1" si="110"/>
        <v>13</v>
      </c>
      <c r="AM370" s="31">
        <f t="shared" ca="1" si="111"/>
        <v>114</v>
      </c>
    </row>
    <row r="371" spans="14:39">
      <c r="N371" s="26">
        <v>363</v>
      </c>
      <c r="O371" s="30">
        <f t="shared" ca="1" si="116"/>
        <v>5.1174972198592039</v>
      </c>
      <c r="P371" s="30">
        <f t="shared" ca="1" si="116"/>
        <v>27.138258389837695</v>
      </c>
      <c r="Q371" s="30">
        <f t="shared" ca="1" si="116"/>
        <v>13.525754500272818</v>
      </c>
      <c r="R371" s="30">
        <f t="shared" ca="1" si="116"/>
        <v>24.446709525969741</v>
      </c>
      <c r="S371" s="30">
        <f t="shared" ca="1" si="116"/>
        <v>20.082463625796887</v>
      </c>
      <c r="T371" s="30">
        <f t="shared" ca="1" si="116"/>
        <v>21.363650384420129</v>
      </c>
      <c r="U371" s="30">
        <f t="shared" ca="1" si="116"/>
        <v>10.421547196947985</v>
      </c>
      <c r="V371" s="30">
        <f t="shared" ca="1" si="116"/>
        <v>10.464812705087763</v>
      </c>
      <c r="W371" s="30">
        <f t="shared" ca="1" si="116"/>
        <v>8.8768349196825831</v>
      </c>
      <c r="X371" s="30">
        <f t="shared" ca="1" si="116"/>
        <v>24.530471646609357</v>
      </c>
      <c r="Y371" s="30">
        <f t="shared" ca="1" si="116"/>
        <v>24.835881427998164</v>
      </c>
      <c r="Z371" s="30">
        <f t="shared" ca="1" si="116"/>
        <v>19.023615199098344</v>
      </c>
      <c r="AA371" s="26">
        <v>363</v>
      </c>
      <c r="AB371" s="31">
        <f t="shared" ca="1" si="112"/>
        <v>6</v>
      </c>
      <c r="AC371" s="31">
        <f t="shared" ca="1" si="101"/>
        <v>56</v>
      </c>
      <c r="AD371" s="31">
        <f t="shared" ca="1" si="102"/>
        <v>18</v>
      </c>
      <c r="AE371" s="31">
        <f t="shared" ca="1" si="103"/>
        <v>44</v>
      </c>
      <c r="AF371" s="31">
        <f t="shared" ca="1" si="104"/>
        <v>31</v>
      </c>
      <c r="AG371" s="31">
        <f t="shared" ca="1" si="105"/>
        <v>34</v>
      </c>
      <c r="AH371" s="31">
        <f t="shared" ca="1" si="106"/>
        <v>13</v>
      </c>
      <c r="AI371" s="31">
        <f t="shared" ca="1" si="107"/>
        <v>13</v>
      </c>
      <c r="AJ371" s="31">
        <f t="shared" ca="1" si="108"/>
        <v>11</v>
      </c>
      <c r="AK371" s="31">
        <f t="shared" ca="1" si="109"/>
        <v>44</v>
      </c>
      <c r="AL371" s="31">
        <f t="shared" ca="1" si="110"/>
        <v>45</v>
      </c>
      <c r="AM371" s="31">
        <f t="shared" ca="1" si="111"/>
        <v>28</v>
      </c>
    </row>
    <row r="372" spans="14:39">
      <c r="N372" s="26">
        <v>364</v>
      </c>
      <c r="O372" s="30">
        <f t="shared" ca="1" si="116"/>
        <v>26.743259692961534</v>
      </c>
      <c r="P372" s="30">
        <f t="shared" ca="1" si="116"/>
        <v>27.888950183897368</v>
      </c>
      <c r="Q372" s="30">
        <f t="shared" ca="1" si="116"/>
        <v>18.374353241668867</v>
      </c>
      <c r="R372" s="30">
        <f t="shared" ca="1" si="116"/>
        <v>24.043004081495521</v>
      </c>
      <c r="S372" s="30">
        <f t="shared" ca="1" si="116"/>
        <v>8.6093013410491501</v>
      </c>
      <c r="T372" s="30">
        <f t="shared" ca="1" si="116"/>
        <v>4.5246243605326644</v>
      </c>
      <c r="U372" s="30">
        <f t="shared" ca="1" si="116"/>
        <v>27.084358035245259</v>
      </c>
      <c r="V372" s="30">
        <f t="shared" ca="1" si="116"/>
        <v>21.126712837071999</v>
      </c>
      <c r="W372" s="30">
        <f t="shared" ca="1" si="116"/>
        <v>16.668437645675272</v>
      </c>
      <c r="X372" s="30">
        <f t="shared" ca="1" si="116"/>
        <v>26.1321452698411</v>
      </c>
      <c r="Y372" s="30">
        <f t="shared" ca="1" si="116"/>
        <v>3.923951895221927</v>
      </c>
      <c r="Z372" s="30">
        <f t="shared" ca="1" si="116"/>
        <v>23.603367092906829</v>
      </c>
      <c r="AA372" s="26">
        <v>364</v>
      </c>
      <c r="AB372" s="31">
        <f t="shared" ca="1" si="112"/>
        <v>54</v>
      </c>
      <c r="AC372" s="31">
        <f t="shared" ca="1" si="101"/>
        <v>60</v>
      </c>
      <c r="AD372" s="31">
        <f t="shared" ca="1" si="102"/>
        <v>27</v>
      </c>
      <c r="AE372" s="31">
        <f t="shared" ca="1" si="103"/>
        <v>42</v>
      </c>
      <c r="AF372" s="31">
        <f t="shared" ca="1" si="104"/>
        <v>10</v>
      </c>
      <c r="AG372" s="31">
        <f t="shared" ca="1" si="105"/>
        <v>5</v>
      </c>
      <c r="AH372" s="31">
        <f t="shared" ca="1" si="106"/>
        <v>55</v>
      </c>
      <c r="AI372" s="31">
        <f t="shared" ca="1" si="107"/>
        <v>33</v>
      </c>
      <c r="AJ372" s="31">
        <f t="shared" ca="1" si="108"/>
        <v>23</v>
      </c>
      <c r="AK372" s="31">
        <f t="shared" ca="1" si="109"/>
        <v>51</v>
      </c>
      <c r="AL372" s="31">
        <f t="shared" ca="1" si="110"/>
        <v>5</v>
      </c>
      <c r="AM372" s="31">
        <f t="shared" ca="1" si="111"/>
        <v>41</v>
      </c>
    </row>
    <row r="373" spans="14:39">
      <c r="N373" s="26">
        <v>365</v>
      </c>
      <c r="O373" s="30">
        <f t="shared" ca="1" si="116"/>
        <v>20.746478578007171</v>
      </c>
      <c r="P373" s="30">
        <f t="shared" ca="1" si="116"/>
        <v>13.793842770602161</v>
      </c>
      <c r="Q373" s="30">
        <f t="shared" ca="1" si="116"/>
        <v>5.7908816072952964</v>
      </c>
      <c r="R373" s="30">
        <f t="shared" ca="1" si="116"/>
        <v>13.295618601244026</v>
      </c>
      <c r="S373" s="30">
        <f t="shared" ca="1" si="116"/>
        <v>24.582655502314577</v>
      </c>
      <c r="T373" s="30">
        <f t="shared" ca="1" si="116"/>
        <v>9.3343952233977703</v>
      </c>
      <c r="U373" s="30">
        <f t="shared" ca="1" si="116"/>
        <v>22.032301102669656</v>
      </c>
      <c r="V373" s="30">
        <f t="shared" ca="1" si="116"/>
        <v>9.3126445141820149</v>
      </c>
      <c r="W373" s="30">
        <f t="shared" ca="1" si="116"/>
        <v>20.354311715082467</v>
      </c>
      <c r="X373" s="30">
        <f t="shared" ca="1" si="116"/>
        <v>31.441362327035925</v>
      </c>
      <c r="Y373" s="30">
        <f t="shared" ca="1" si="116"/>
        <v>32.840624165276346</v>
      </c>
      <c r="Z373" s="30">
        <f t="shared" ca="1" si="116"/>
        <v>23.241655656388748</v>
      </c>
      <c r="AA373" s="26">
        <v>365</v>
      </c>
      <c r="AB373" s="31">
        <f t="shared" ca="1" si="112"/>
        <v>32</v>
      </c>
      <c r="AC373" s="31">
        <f t="shared" ca="1" si="101"/>
        <v>18</v>
      </c>
      <c r="AD373" s="31">
        <f t="shared" ca="1" si="102"/>
        <v>7</v>
      </c>
      <c r="AE373" s="31">
        <f t="shared" ca="1" si="103"/>
        <v>17</v>
      </c>
      <c r="AF373" s="31">
        <f t="shared" ca="1" si="104"/>
        <v>44</v>
      </c>
      <c r="AG373" s="31">
        <f t="shared" ca="1" si="105"/>
        <v>11</v>
      </c>
      <c r="AH373" s="31">
        <f t="shared" ca="1" si="106"/>
        <v>36</v>
      </c>
      <c r="AI373" s="31">
        <f t="shared" ca="1" si="107"/>
        <v>11</v>
      </c>
      <c r="AJ373" s="31">
        <f t="shared" ca="1" si="108"/>
        <v>31</v>
      </c>
      <c r="AK373" s="31">
        <f t="shared" ca="1" si="109"/>
        <v>95</v>
      </c>
      <c r="AL373" s="31">
        <f t="shared" ca="1" si="110"/>
        <v>139</v>
      </c>
      <c r="AM373" s="31">
        <f t="shared" ca="1" si="111"/>
        <v>40</v>
      </c>
    </row>
    <row r="374" spans="14:39">
      <c r="N374" s="26">
        <v>366</v>
      </c>
      <c r="O374" s="30">
        <f t="shared" ca="1" si="116"/>
        <v>9.7338641316711545</v>
      </c>
      <c r="P374" s="30">
        <f t="shared" ca="1" si="116"/>
        <v>32.144199281255034</v>
      </c>
      <c r="Q374" s="30">
        <f t="shared" ca="1" si="116"/>
        <v>8.1367920693750708</v>
      </c>
      <c r="R374" s="30">
        <f t="shared" ca="1" si="116"/>
        <v>19.713627943540892</v>
      </c>
      <c r="S374" s="30">
        <f t="shared" ca="1" si="116"/>
        <v>29.890397189436491</v>
      </c>
      <c r="T374" s="30">
        <f t="shared" ca="1" si="116"/>
        <v>31.61556516705404</v>
      </c>
      <c r="U374" s="30">
        <f t="shared" ca="1" si="116"/>
        <v>22.090759934991603</v>
      </c>
      <c r="V374" s="30">
        <f t="shared" ca="1" si="116"/>
        <v>4.8156483543896593</v>
      </c>
      <c r="W374" s="30">
        <f t="shared" ca="1" si="116"/>
        <v>32.730635022023549</v>
      </c>
      <c r="X374" s="30">
        <f t="shared" ca="1" si="116"/>
        <v>17.685847970083767</v>
      </c>
      <c r="Y374" s="30">
        <f t="shared" ca="1" si="116"/>
        <v>1.1364692284004159</v>
      </c>
      <c r="Z374" s="30">
        <f t="shared" ca="1" si="116"/>
        <v>0.1808656919794972</v>
      </c>
      <c r="AA374" s="26">
        <v>366</v>
      </c>
      <c r="AB374" s="31">
        <f t="shared" ca="1" si="112"/>
        <v>12</v>
      </c>
      <c r="AC374" s="31">
        <f t="shared" ca="1" si="101"/>
        <v>110</v>
      </c>
      <c r="AD374" s="31">
        <f t="shared" ca="1" si="102"/>
        <v>10</v>
      </c>
      <c r="AE374" s="31">
        <f t="shared" ca="1" si="103"/>
        <v>30</v>
      </c>
      <c r="AF374" s="31">
        <f t="shared" ca="1" si="104"/>
        <v>75</v>
      </c>
      <c r="AG374" s="31">
        <f t="shared" ca="1" si="105"/>
        <v>98</v>
      </c>
      <c r="AH374" s="31">
        <f t="shared" ca="1" si="106"/>
        <v>36</v>
      </c>
      <c r="AI374" s="31">
        <f t="shared" ca="1" si="107"/>
        <v>6</v>
      </c>
      <c r="AJ374" s="31">
        <f t="shared" ca="1" si="108"/>
        <v>132</v>
      </c>
      <c r="AK374" s="31">
        <f t="shared" ca="1" si="109"/>
        <v>25</v>
      </c>
      <c r="AL374" s="31">
        <f t="shared" ca="1" si="110"/>
        <v>2</v>
      </c>
      <c r="AM374" s="31">
        <f t="shared" ca="1" si="111"/>
        <v>1</v>
      </c>
    </row>
    <row r="375" spans="14:39">
      <c r="N375" s="26">
        <v>367</v>
      </c>
      <c r="O375" s="30">
        <f t="shared" ca="1" si="116"/>
        <v>0.59867015076967045</v>
      </c>
      <c r="P375" s="30">
        <f t="shared" ca="1" si="116"/>
        <v>16.141430960151059</v>
      </c>
      <c r="Q375" s="30">
        <f t="shared" ca="1" si="116"/>
        <v>27.060076508782064</v>
      </c>
      <c r="R375" s="30">
        <f t="shared" ca="1" si="116"/>
        <v>11.382061959128217</v>
      </c>
      <c r="S375" s="30">
        <f t="shared" ca="1" si="116"/>
        <v>14.948238459150614</v>
      </c>
      <c r="T375" s="30">
        <f t="shared" ca="1" si="116"/>
        <v>28.597144817398359</v>
      </c>
      <c r="U375" s="30">
        <f t="shared" ca="1" si="116"/>
        <v>18.865657175597406</v>
      </c>
      <c r="V375" s="30">
        <f t="shared" ca="1" si="116"/>
        <v>32.685378302275417</v>
      </c>
      <c r="W375" s="30">
        <f t="shared" ca="1" si="116"/>
        <v>21.942532830034541</v>
      </c>
      <c r="X375" s="30">
        <f t="shared" ca="1" si="116"/>
        <v>11.747733638023147</v>
      </c>
      <c r="Y375" s="30">
        <f t="shared" ca="1" si="116"/>
        <v>11.329312826888371</v>
      </c>
      <c r="Z375" s="30">
        <f t="shared" ca="1" si="116"/>
        <v>10.172696621494003</v>
      </c>
      <c r="AA375" s="26">
        <v>367</v>
      </c>
      <c r="AB375" s="31">
        <f t="shared" ca="1" si="112"/>
        <v>1</v>
      </c>
      <c r="AC375" s="31">
        <f t="shared" ca="1" si="101"/>
        <v>22</v>
      </c>
      <c r="AD375" s="31">
        <f t="shared" ca="1" si="102"/>
        <v>55</v>
      </c>
      <c r="AE375" s="31">
        <f t="shared" ca="1" si="103"/>
        <v>14</v>
      </c>
      <c r="AF375" s="31">
        <f t="shared" ca="1" si="104"/>
        <v>20</v>
      </c>
      <c r="AG375" s="31">
        <f t="shared" ca="1" si="105"/>
        <v>65</v>
      </c>
      <c r="AH375" s="31">
        <f t="shared" ca="1" si="106"/>
        <v>28</v>
      </c>
      <c r="AI375" s="31">
        <f t="shared" ca="1" si="107"/>
        <v>130</v>
      </c>
      <c r="AJ375" s="31">
        <f t="shared" ca="1" si="108"/>
        <v>36</v>
      </c>
      <c r="AK375" s="31">
        <f t="shared" ca="1" si="109"/>
        <v>15</v>
      </c>
      <c r="AL375" s="31">
        <f t="shared" ca="1" si="110"/>
        <v>14</v>
      </c>
      <c r="AM375" s="31">
        <f t="shared" ca="1" si="111"/>
        <v>12</v>
      </c>
    </row>
    <row r="376" spans="14:39">
      <c r="N376" s="26">
        <v>368</v>
      </c>
      <c r="O376" s="30">
        <f t="shared" ca="1" si="116"/>
        <v>33.086355447816871</v>
      </c>
      <c r="P376" s="30">
        <f t="shared" ca="1" si="116"/>
        <v>15.708791960946785</v>
      </c>
      <c r="Q376" s="30">
        <f t="shared" ca="1" si="116"/>
        <v>1.5243033618276838</v>
      </c>
      <c r="R376" s="30">
        <f t="shared" ca="1" si="116"/>
        <v>20.049603262643235</v>
      </c>
      <c r="S376" s="30">
        <f t="shared" ca="1" si="116"/>
        <v>15.451328230067519</v>
      </c>
      <c r="T376" s="30">
        <f t="shared" ca="1" si="116"/>
        <v>18.084420905485665</v>
      </c>
      <c r="U376" s="30">
        <f t="shared" ca="1" si="116"/>
        <v>11.977030565923432</v>
      </c>
      <c r="V376" s="30">
        <f t="shared" ca="1" si="116"/>
        <v>3.6080036840878247</v>
      </c>
      <c r="W376" s="30">
        <f t="shared" ca="1" si="116"/>
        <v>3.721018744231956</v>
      </c>
      <c r="X376" s="30">
        <f t="shared" ca="1" si="116"/>
        <v>27.110982311719969</v>
      </c>
      <c r="Y376" s="30">
        <f t="shared" ca="1" si="116"/>
        <v>7.6556911732910287</v>
      </c>
      <c r="Z376" s="30">
        <f t="shared" ca="1" si="116"/>
        <v>7.6176427876149946</v>
      </c>
      <c r="AA376" s="26">
        <v>368</v>
      </c>
      <c r="AB376" s="31">
        <f t="shared" ca="1" si="112"/>
        <v>162</v>
      </c>
      <c r="AC376" s="31">
        <f t="shared" ca="1" si="101"/>
        <v>21</v>
      </c>
      <c r="AD376" s="31">
        <f t="shared" ca="1" si="102"/>
        <v>2</v>
      </c>
      <c r="AE376" s="31">
        <f t="shared" ca="1" si="103"/>
        <v>31</v>
      </c>
      <c r="AF376" s="31">
        <f t="shared" ca="1" si="104"/>
        <v>21</v>
      </c>
      <c r="AG376" s="31">
        <f t="shared" ca="1" si="105"/>
        <v>26</v>
      </c>
      <c r="AH376" s="31">
        <f t="shared" ca="1" si="106"/>
        <v>15</v>
      </c>
      <c r="AI376" s="31">
        <f t="shared" ca="1" si="107"/>
        <v>4</v>
      </c>
      <c r="AJ376" s="31">
        <f t="shared" ca="1" si="108"/>
        <v>4</v>
      </c>
      <c r="AK376" s="31">
        <f t="shared" ca="1" si="109"/>
        <v>56</v>
      </c>
      <c r="AL376" s="31">
        <f t="shared" ca="1" si="110"/>
        <v>9</v>
      </c>
      <c r="AM376" s="31">
        <f t="shared" ca="1" si="111"/>
        <v>9</v>
      </c>
    </row>
    <row r="377" spans="14:39">
      <c r="N377" s="26">
        <v>369</v>
      </c>
      <c r="O377" s="30">
        <f t="shared" ca="1" si="116"/>
        <v>13.077040636041438</v>
      </c>
      <c r="P377" s="30">
        <f t="shared" ca="1" si="116"/>
        <v>29.013446940991443</v>
      </c>
      <c r="Q377" s="30">
        <f t="shared" ca="1" si="116"/>
        <v>31.032299182341347</v>
      </c>
      <c r="R377" s="30">
        <f t="shared" ca="1" si="116"/>
        <v>15.851084974785442</v>
      </c>
      <c r="S377" s="30">
        <f t="shared" ca="1" si="116"/>
        <v>20.448003416188598</v>
      </c>
      <c r="T377" s="30">
        <f t="shared" ca="1" si="116"/>
        <v>8.6930784311391776</v>
      </c>
      <c r="U377" s="30">
        <f t="shared" ca="1" si="116"/>
        <v>25.034760892171398</v>
      </c>
      <c r="V377" s="30">
        <f t="shared" ca="1" si="116"/>
        <v>13.037552137835412</v>
      </c>
      <c r="W377" s="30">
        <f t="shared" ca="1" si="116"/>
        <v>32.707221024405086</v>
      </c>
      <c r="X377" s="30">
        <f t="shared" ca="1" si="116"/>
        <v>1.3522273379301055</v>
      </c>
      <c r="Y377" s="30">
        <f t="shared" ca="1" si="116"/>
        <v>31.790418969186334</v>
      </c>
      <c r="Z377" s="30">
        <f t="shared" ca="1" si="116"/>
        <v>4.1724510404909525</v>
      </c>
      <c r="AA377" s="26">
        <v>369</v>
      </c>
      <c r="AB377" s="31">
        <f t="shared" ca="1" si="112"/>
        <v>17</v>
      </c>
      <c r="AC377" s="31">
        <f t="shared" ca="1" si="101"/>
        <v>68</v>
      </c>
      <c r="AD377" s="31">
        <f t="shared" ca="1" si="102"/>
        <v>88</v>
      </c>
      <c r="AE377" s="31">
        <f t="shared" ca="1" si="103"/>
        <v>22</v>
      </c>
      <c r="AF377" s="31">
        <f t="shared" ca="1" si="104"/>
        <v>32</v>
      </c>
      <c r="AG377" s="31">
        <f t="shared" ca="1" si="105"/>
        <v>10</v>
      </c>
      <c r="AH377" s="31">
        <f t="shared" ca="1" si="106"/>
        <v>46</v>
      </c>
      <c r="AI377" s="31">
        <f t="shared" ca="1" si="107"/>
        <v>17</v>
      </c>
      <c r="AJ377" s="31">
        <f t="shared" ca="1" si="108"/>
        <v>131</v>
      </c>
      <c r="AK377" s="31">
        <f t="shared" ca="1" si="109"/>
        <v>2</v>
      </c>
      <c r="AL377" s="31">
        <f t="shared" ca="1" si="110"/>
        <v>101</v>
      </c>
      <c r="AM377" s="31">
        <f t="shared" ca="1" si="111"/>
        <v>5</v>
      </c>
    </row>
    <row r="378" spans="14:39">
      <c r="N378" s="26">
        <v>370</v>
      </c>
      <c r="O378" s="30">
        <f t="shared" ca="1" si="116"/>
        <v>27.207782106721815</v>
      </c>
      <c r="P378" s="30">
        <f t="shared" ca="1" si="116"/>
        <v>7.6359519101967823</v>
      </c>
      <c r="Q378" s="30">
        <f t="shared" ca="1" si="116"/>
        <v>13.489990285733445</v>
      </c>
      <c r="R378" s="30">
        <f t="shared" ca="1" si="116"/>
        <v>2.8220379502034674</v>
      </c>
      <c r="S378" s="30">
        <f t="shared" ca="1" si="116"/>
        <v>7.9380211982274362</v>
      </c>
      <c r="T378" s="30">
        <f t="shared" ca="1" si="116"/>
        <v>21.020959975837886</v>
      </c>
      <c r="U378" s="30">
        <f t="shared" ca="1" si="116"/>
        <v>31.206023971735512</v>
      </c>
      <c r="V378" s="30">
        <f t="shared" ca="1" si="116"/>
        <v>18.353728196458665</v>
      </c>
      <c r="W378" s="30">
        <f t="shared" ca="1" si="116"/>
        <v>21.402329209892294</v>
      </c>
      <c r="X378" s="30">
        <f t="shared" ca="1" si="116"/>
        <v>26.145179836005372</v>
      </c>
      <c r="Y378" s="30">
        <f t="shared" ca="1" si="116"/>
        <v>10.227140497147692</v>
      </c>
      <c r="Z378" s="30">
        <f t="shared" ca="1" si="116"/>
        <v>22.863929400155335</v>
      </c>
      <c r="AA378" s="26">
        <v>370</v>
      </c>
      <c r="AB378" s="31">
        <f t="shared" ca="1" si="112"/>
        <v>56</v>
      </c>
      <c r="AC378" s="31">
        <f t="shared" ca="1" si="101"/>
        <v>9</v>
      </c>
      <c r="AD378" s="31">
        <f t="shared" ca="1" si="102"/>
        <v>18</v>
      </c>
      <c r="AE378" s="31">
        <f t="shared" ca="1" si="103"/>
        <v>3</v>
      </c>
      <c r="AF378" s="31">
        <f t="shared" ca="1" si="104"/>
        <v>9</v>
      </c>
      <c r="AG378" s="31">
        <f t="shared" ca="1" si="105"/>
        <v>33</v>
      </c>
      <c r="AH378" s="31">
        <f t="shared" ca="1" si="106"/>
        <v>91</v>
      </c>
      <c r="AI378" s="31">
        <f t="shared" ca="1" si="107"/>
        <v>27</v>
      </c>
      <c r="AJ378" s="31">
        <f t="shared" ca="1" si="108"/>
        <v>34</v>
      </c>
      <c r="AK378" s="31">
        <f t="shared" ca="1" si="109"/>
        <v>51</v>
      </c>
      <c r="AL378" s="31">
        <f t="shared" ca="1" si="110"/>
        <v>13</v>
      </c>
      <c r="AM378" s="31">
        <f t="shared" ca="1" si="111"/>
        <v>39</v>
      </c>
    </row>
    <row r="379" spans="14:39">
      <c r="N379" s="26">
        <v>371</v>
      </c>
      <c r="O379" s="30">
        <f t="shared" ref="O379:Z388" ca="1" si="117">RAND()*sumweights</f>
        <v>29.453312895905313</v>
      </c>
      <c r="P379" s="30">
        <f t="shared" ca="1" si="117"/>
        <v>10.473680561796563</v>
      </c>
      <c r="Q379" s="30">
        <f t="shared" ca="1" si="117"/>
        <v>17.308944540137286</v>
      </c>
      <c r="R379" s="30">
        <f t="shared" ca="1" si="117"/>
        <v>7.4690343985306917</v>
      </c>
      <c r="S379" s="30">
        <f t="shared" ca="1" si="117"/>
        <v>30.597962343758056</v>
      </c>
      <c r="T379" s="30">
        <f t="shared" ca="1" si="117"/>
        <v>27.339730293673163</v>
      </c>
      <c r="U379" s="30">
        <f t="shared" ca="1" si="117"/>
        <v>7.0338992409236285</v>
      </c>
      <c r="V379" s="30">
        <f t="shared" ca="1" si="117"/>
        <v>24.629000843247486</v>
      </c>
      <c r="W379" s="30">
        <f t="shared" ca="1" si="117"/>
        <v>17.902766157838283</v>
      </c>
      <c r="X379" s="30">
        <f t="shared" ca="1" si="117"/>
        <v>31.778589413967122</v>
      </c>
      <c r="Y379" s="30">
        <f t="shared" ca="1" si="117"/>
        <v>0.22517477585157653</v>
      </c>
      <c r="Z379" s="30">
        <f t="shared" ca="1" si="117"/>
        <v>13.536722473762389</v>
      </c>
      <c r="AA379" s="26">
        <v>371</v>
      </c>
      <c r="AB379" s="31">
        <f t="shared" ca="1" si="112"/>
        <v>71</v>
      </c>
      <c r="AC379" s="31">
        <f t="shared" ca="1" si="101"/>
        <v>13</v>
      </c>
      <c r="AD379" s="31">
        <f t="shared" ca="1" si="102"/>
        <v>25</v>
      </c>
      <c r="AE379" s="31">
        <f t="shared" ca="1" si="103"/>
        <v>9</v>
      </c>
      <c r="AF379" s="31">
        <f t="shared" ca="1" si="104"/>
        <v>83</v>
      </c>
      <c r="AG379" s="31">
        <f t="shared" ca="1" si="105"/>
        <v>57</v>
      </c>
      <c r="AH379" s="31">
        <f t="shared" ca="1" si="106"/>
        <v>8</v>
      </c>
      <c r="AI379" s="31">
        <f t="shared" ca="1" si="107"/>
        <v>45</v>
      </c>
      <c r="AJ379" s="31">
        <f t="shared" ca="1" si="108"/>
        <v>26</v>
      </c>
      <c r="AK379" s="31">
        <f t="shared" ca="1" si="109"/>
        <v>101</v>
      </c>
      <c r="AL379" s="31">
        <f t="shared" ca="1" si="110"/>
        <v>1</v>
      </c>
      <c r="AM379" s="31">
        <f t="shared" ca="1" si="111"/>
        <v>18</v>
      </c>
    </row>
    <row r="380" spans="14:39">
      <c r="N380" s="26">
        <v>372</v>
      </c>
      <c r="O380" s="30">
        <f t="shared" ca="1" si="117"/>
        <v>27.051648409348168</v>
      </c>
      <c r="P380" s="30">
        <f t="shared" ca="1" si="117"/>
        <v>24.889695446824827</v>
      </c>
      <c r="Q380" s="30">
        <f t="shared" ca="1" si="117"/>
        <v>4.7495793171087293</v>
      </c>
      <c r="R380" s="30">
        <f t="shared" ca="1" si="117"/>
        <v>32.209785402170773</v>
      </c>
      <c r="S380" s="30">
        <f t="shared" ca="1" si="117"/>
        <v>0.84675736161233128</v>
      </c>
      <c r="T380" s="30">
        <f t="shared" ca="1" si="117"/>
        <v>16.716786202186508</v>
      </c>
      <c r="U380" s="30">
        <f t="shared" ca="1" si="117"/>
        <v>26.594840247147449</v>
      </c>
      <c r="V380" s="30">
        <f t="shared" ca="1" si="117"/>
        <v>19.178506026837752</v>
      </c>
      <c r="W380" s="30">
        <f t="shared" ca="1" si="117"/>
        <v>13.981185258590157</v>
      </c>
      <c r="X380" s="30">
        <f t="shared" ca="1" si="117"/>
        <v>4.8519525709409219</v>
      </c>
      <c r="Y380" s="30">
        <f t="shared" ca="1" si="117"/>
        <v>2.0055206059666957</v>
      </c>
      <c r="Z380" s="30">
        <f t="shared" ca="1" si="117"/>
        <v>4.8579118784010866</v>
      </c>
      <c r="AA380" s="26">
        <v>372</v>
      </c>
      <c r="AB380" s="31">
        <f t="shared" ca="1" si="112"/>
        <v>55</v>
      </c>
      <c r="AC380" s="31">
        <f t="shared" ca="1" si="101"/>
        <v>46</v>
      </c>
      <c r="AD380" s="31">
        <f t="shared" ca="1" si="102"/>
        <v>6</v>
      </c>
      <c r="AE380" s="31">
        <f t="shared" ca="1" si="103"/>
        <v>112</v>
      </c>
      <c r="AF380" s="31">
        <f t="shared" ca="1" si="104"/>
        <v>1</v>
      </c>
      <c r="AG380" s="31">
        <f t="shared" ca="1" si="105"/>
        <v>23</v>
      </c>
      <c r="AH380" s="31">
        <f t="shared" ca="1" si="106"/>
        <v>53</v>
      </c>
      <c r="AI380" s="31">
        <f t="shared" ca="1" si="107"/>
        <v>29</v>
      </c>
      <c r="AJ380" s="31">
        <f t="shared" ca="1" si="108"/>
        <v>18</v>
      </c>
      <c r="AK380" s="31">
        <f t="shared" ca="1" si="109"/>
        <v>6</v>
      </c>
      <c r="AL380" s="31">
        <f t="shared" ca="1" si="110"/>
        <v>3</v>
      </c>
      <c r="AM380" s="31">
        <f t="shared" ca="1" si="111"/>
        <v>6</v>
      </c>
    </row>
    <row r="381" spans="14:39">
      <c r="N381" s="26">
        <v>373</v>
      </c>
      <c r="O381" s="30">
        <f t="shared" ca="1" si="117"/>
        <v>7.2011130120347024</v>
      </c>
      <c r="P381" s="30">
        <f t="shared" ca="1" si="117"/>
        <v>25.673521776800218</v>
      </c>
      <c r="Q381" s="30">
        <f t="shared" ca="1" si="117"/>
        <v>13.635913954989137</v>
      </c>
      <c r="R381" s="30">
        <f t="shared" ca="1" si="117"/>
        <v>22.53804878589597</v>
      </c>
      <c r="S381" s="30">
        <f t="shared" ca="1" si="117"/>
        <v>26.385627720818789</v>
      </c>
      <c r="T381" s="30">
        <f t="shared" ca="1" si="117"/>
        <v>25.441884348658071</v>
      </c>
      <c r="U381" s="30">
        <f t="shared" ca="1" si="117"/>
        <v>11.253586119008245</v>
      </c>
      <c r="V381" s="30">
        <f t="shared" ca="1" si="117"/>
        <v>18.554723645348918</v>
      </c>
      <c r="W381" s="30">
        <f t="shared" ca="1" si="117"/>
        <v>15.830521754963593</v>
      </c>
      <c r="X381" s="30">
        <f t="shared" ca="1" si="117"/>
        <v>7.5475104188834701</v>
      </c>
      <c r="Y381" s="30">
        <f t="shared" ca="1" si="117"/>
        <v>32.264324096116802</v>
      </c>
      <c r="Z381" s="30">
        <f t="shared" ca="1" si="117"/>
        <v>22.916526196867242</v>
      </c>
      <c r="AA381" s="26">
        <v>373</v>
      </c>
      <c r="AB381" s="31">
        <f t="shared" ca="1" si="112"/>
        <v>8</v>
      </c>
      <c r="AC381" s="31">
        <f t="shared" ca="1" si="101"/>
        <v>49</v>
      </c>
      <c r="AD381" s="31">
        <f t="shared" ca="1" si="102"/>
        <v>18</v>
      </c>
      <c r="AE381" s="31">
        <f t="shared" ca="1" si="103"/>
        <v>38</v>
      </c>
      <c r="AF381" s="31">
        <f t="shared" ca="1" si="104"/>
        <v>52</v>
      </c>
      <c r="AG381" s="31">
        <f t="shared" ca="1" si="105"/>
        <v>48</v>
      </c>
      <c r="AH381" s="31">
        <f t="shared" ca="1" si="106"/>
        <v>14</v>
      </c>
      <c r="AI381" s="31">
        <f t="shared" ca="1" si="107"/>
        <v>27</v>
      </c>
      <c r="AJ381" s="31">
        <f t="shared" ca="1" si="108"/>
        <v>22</v>
      </c>
      <c r="AK381" s="31">
        <f t="shared" ca="1" si="109"/>
        <v>9</v>
      </c>
      <c r="AL381" s="31">
        <f t="shared" ca="1" si="110"/>
        <v>113</v>
      </c>
      <c r="AM381" s="31">
        <f t="shared" ca="1" si="111"/>
        <v>39</v>
      </c>
    </row>
    <row r="382" spans="14:39">
      <c r="N382" s="26">
        <v>374</v>
      </c>
      <c r="O382" s="30">
        <f t="shared" ca="1" si="117"/>
        <v>6.0756761420215692</v>
      </c>
      <c r="P382" s="30">
        <f t="shared" ca="1" si="117"/>
        <v>2.3103361675829341</v>
      </c>
      <c r="Q382" s="30">
        <f t="shared" ca="1" si="117"/>
        <v>12.930886425713743</v>
      </c>
      <c r="R382" s="30">
        <f t="shared" ca="1" si="117"/>
        <v>18.001242418493614</v>
      </c>
      <c r="S382" s="30">
        <f t="shared" ca="1" si="117"/>
        <v>9.9344629483129552</v>
      </c>
      <c r="T382" s="30">
        <f t="shared" ca="1" si="117"/>
        <v>0.18753261357154732</v>
      </c>
      <c r="U382" s="30">
        <f t="shared" ca="1" si="117"/>
        <v>3.7119115150519773</v>
      </c>
      <c r="V382" s="30">
        <f t="shared" ca="1" si="117"/>
        <v>25.925758573288441</v>
      </c>
      <c r="W382" s="30">
        <f t="shared" ca="1" si="117"/>
        <v>1.8974072832019204</v>
      </c>
      <c r="X382" s="30">
        <f t="shared" ca="1" si="117"/>
        <v>19.348008098963856</v>
      </c>
      <c r="Y382" s="30">
        <f t="shared" ca="1" si="117"/>
        <v>4.5836272978632175</v>
      </c>
      <c r="Z382" s="30">
        <f t="shared" ca="1" si="117"/>
        <v>23.998324820018944</v>
      </c>
      <c r="AA382" s="26">
        <v>374</v>
      </c>
      <c r="AB382" s="31">
        <f t="shared" ca="1" si="112"/>
        <v>7</v>
      </c>
      <c r="AC382" s="31">
        <f t="shared" ca="1" si="101"/>
        <v>3</v>
      </c>
      <c r="AD382" s="31">
        <f t="shared" ca="1" si="102"/>
        <v>17</v>
      </c>
      <c r="AE382" s="31">
        <f t="shared" ca="1" si="103"/>
        <v>26</v>
      </c>
      <c r="AF382" s="31">
        <f t="shared" ca="1" si="104"/>
        <v>12</v>
      </c>
      <c r="AG382" s="31">
        <f t="shared" ca="1" si="105"/>
        <v>1</v>
      </c>
      <c r="AH382" s="31">
        <f t="shared" ca="1" si="106"/>
        <v>4</v>
      </c>
      <c r="AI382" s="31">
        <f t="shared" ca="1" si="107"/>
        <v>50</v>
      </c>
      <c r="AJ382" s="31">
        <f t="shared" ca="1" si="108"/>
        <v>2</v>
      </c>
      <c r="AK382" s="31">
        <f t="shared" ca="1" si="109"/>
        <v>29</v>
      </c>
      <c r="AL382" s="31">
        <f t="shared" ca="1" si="110"/>
        <v>5</v>
      </c>
      <c r="AM382" s="31">
        <f t="shared" ca="1" si="111"/>
        <v>42</v>
      </c>
    </row>
    <row r="383" spans="14:39">
      <c r="N383" s="26">
        <v>375</v>
      </c>
      <c r="O383" s="30">
        <f t="shared" ca="1" si="117"/>
        <v>0.73748911717255616</v>
      </c>
      <c r="P383" s="30">
        <f t="shared" ca="1" si="117"/>
        <v>22.905936119394124</v>
      </c>
      <c r="Q383" s="30">
        <f t="shared" ca="1" si="117"/>
        <v>25.394374005721794</v>
      </c>
      <c r="R383" s="30">
        <f t="shared" ca="1" si="117"/>
        <v>13.387711172740779</v>
      </c>
      <c r="S383" s="30">
        <f t="shared" ca="1" si="117"/>
        <v>5.3966215334073873</v>
      </c>
      <c r="T383" s="30">
        <f t="shared" ca="1" si="117"/>
        <v>11.346191275916535</v>
      </c>
      <c r="U383" s="30">
        <f t="shared" ca="1" si="117"/>
        <v>31.570239218019392</v>
      </c>
      <c r="V383" s="30">
        <f t="shared" ca="1" si="117"/>
        <v>5.4560292509708344</v>
      </c>
      <c r="W383" s="30">
        <f t="shared" ca="1" si="117"/>
        <v>30.269131714281603</v>
      </c>
      <c r="X383" s="30">
        <f t="shared" ca="1" si="117"/>
        <v>8.8703554065064214</v>
      </c>
      <c r="Y383" s="30">
        <f t="shared" ca="1" si="117"/>
        <v>22.100656626396727</v>
      </c>
      <c r="Z383" s="30">
        <f t="shared" ca="1" si="117"/>
        <v>6.1829387216350558</v>
      </c>
      <c r="AA383" s="26">
        <v>375</v>
      </c>
      <c r="AB383" s="31">
        <f t="shared" ca="1" si="112"/>
        <v>1</v>
      </c>
      <c r="AC383" s="31">
        <f t="shared" ca="1" si="101"/>
        <v>39</v>
      </c>
      <c r="AD383" s="31">
        <f t="shared" ca="1" si="102"/>
        <v>48</v>
      </c>
      <c r="AE383" s="31">
        <f t="shared" ca="1" si="103"/>
        <v>17</v>
      </c>
      <c r="AF383" s="31">
        <f t="shared" ca="1" si="104"/>
        <v>6</v>
      </c>
      <c r="AG383" s="31">
        <f t="shared" ca="1" si="105"/>
        <v>14</v>
      </c>
      <c r="AH383" s="31">
        <f t="shared" ca="1" si="106"/>
        <v>97</v>
      </c>
      <c r="AI383" s="31">
        <f t="shared" ca="1" si="107"/>
        <v>6</v>
      </c>
      <c r="AJ383" s="31">
        <f t="shared" ca="1" si="108"/>
        <v>79</v>
      </c>
      <c r="AK383" s="31">
        <f t="shared" ca="1" si="109"/>
        <v>11</v>
      </c>
      <c r="AL383" s="31">
        <f t="shared" ca="1" si="110"/>
        <v>36</v>
      </c>
      <c r="AM383" s="31">
        <f t="shared" ca="1" si="111"/>
        <v>7</v>
      </c>
    </row>
    <row r="384" spans="14:39">
      <c r="N384" s="26">
        <v>376</v>
      </c>
      <c r="O384" s="30">
        <f t="shared" ca="1" si="117"/>
        <v>21.553445545168127</v>
      </c>
      <c r="P384" s="30">
        <f t="shared" ca="1" si="117"/>
        <v>13.914588613196448</v>
      </c>
      <c r="Q384" s="30">
        <f t="shared" ca="1" si="117"/>
        <v>18.802236393517827</v>
      </c>
      <c r="R384" s="30">
        <f t="shared" ca="1" si="117"/>
        <v>5.7916930437389613</v>
      </c>
      <c r="S384" s="30">
        <f t="shared" ca="1" si="117"/>
        <v>21.063494208488802</v>
      </c>
      <c r="T384" s="30">
        <f t="shared" ca="1" si="117"/>
        <v>1.718943439240278</v>
      </c>
      <c r="U384" s="30">
        <f t="shared" ca="1" si="117"/>
        <v>29.703396857552558</v>
      </c>
      <c r="V384" s="30">
        <f t="shared" ca="1" si="117"/>
        <v>6.3954915428048951</v>
      </c>
      <c r="W384" s="30">
        <f t="shared" ca="1" si="117"/>
        <v>23.935855079564469</v>
      </c>
      <c r="X384" s="30">
        <f t="shared" ca="1" si="117"/>
        <v>30.370549557339874</v>
      </c>
      <c r="Y384" s="30">
        <f t="shared" ca="1" si="117"/>
        <v>14.696623997195864</v>
      </c>
      <c r="Z384" s="30">
        <f t="shared" ca="1" si="117"/>
        <v>15.980905808914695</v>
      </c>
      <c r="AA384" s="26">
        <v>376</v>
      </c>
      <c r="AB384" s="31">
        <f t="shared" ca="1" si="112"/>
        <v>35</v>
      </c>
      <c r="AC384" s="31">
        <f t="shared" ca="1" si="101"/>
        <v>18</v>
      </c>
      <c r="AD384" s="31">
        <f t="shared" ca="1" si="102"/>
        <v>28</v>
      </c>
      <c r="AE384" s="31">
        <f t="shared" ca="1" si="103"/>
        <v>7</v>
      </c>
      <c r="AF384" s="31">
        <f t="shared" ca="1" si="104"/>
        <v>33</v>
      </c>
      <c r="AG384" s="31">
        <f t="shared" ca="1" si="105"/>
        <v>2</v>
      </c>
      <c r="AH384" s="31">
        <f t="shared" ca="1" si="106"/>
        <v>73</v>
      </c>
      <c r="AI384" s="31">
        <f t="shared" ca="1" si="107"/>
        <v>7</v>
      </c>
      <c r="AJ384" s="31">
        <f t="shared" ca="1" si="108"/>
        <v>42</v>
      </c>
      <c r="AK384" s="31">
        <f t="shared" ca="1" si="109"/>
        <v>80</v>
      </c>
      <c r="AL384" s="31">
        <f t="shared" ca="1" si="110"/>
        <v>20</v>
      </c>
      <c r="AM384" s="31">
        <f t="shared" ca="1" si="111"/>
        <v>22</v>
      </c>
    </row>
    <row r="385" spans="14:39">
      <c r="N385" s="26">
        <v>377</v>
      </c>
      <c r="O385" s="30">
        <f t="shared" ca="1" si="117"/>
        <v>5.1967512433733676</v>
      </c>
      <c r="P385" s="30">
        <f t="shared" ca="1" si="117"/>
        <v>4.0706146465997968</v>
      </c>
      <c r="Q385" s="30">
        <f t="shared" ca="1" si="117"/>
        <v>4.9724067641520353</v>
      </c>
      <c r="R385" s="30">
        <f t="shared" ca="1" si="117"/>
        <v>23.001213560649397</v>
      </c>
      <c r="S385" s="30">
        <f t="shared" ca="1" si="117"/>
        <v>32.623796426076034</v>
      </c>
      <c r="T385" s="30">
        <f t="shared" ca="1" si="117"/>
        <v>6.7745057789785097</v>
      </c>
      <c r="U385" s="30">
        <f t="shared" ca="1" si="117"/>
        <v>25.473341190851553</v>
      </c>
      <c r="V385" s="30">
        <f t="shared" ca="1" si="117"/>
        <v>15.779634900909095</v>
      </c>
      <c r="W385" s="30">
        <f t="shared" ca="1" si="117"/>
        <v>9.5819259487180979</v>
      </c>
      <c r="X385" s="30">
        <f t="shared" ca="1" si="117"/>
        <v>9.9371131346905113</v>
      </c>
      <c r="Y385" s="30">
        <f t="shared" ca="1" si="117"/>
        <v>29.143342670623721</v>
      </c>
      <c r="Z385" s="30">
        <f t="shared" ca="1" si="117"/>
        <v>4.5754139308269597</v>
      </c>
      <c r="AA385" s="26">
        <v>377</v>
      </c>
      <c r="AB385" s="31">
        <f t="shared" ca="1" si="112"/>
        <v>6</v>
      </c>
      <c r="AC385" s="31">
        <f t="shared" ca="1" si="101"/>
        <v>5</v>
      </c>
      <c r="AD385" s="31">
        <f t="shared" ca="1" si="102"/>
        <v>6</v>
      </c>
      <c r="AE385" s="31">
        <f t="shared" ca="1" si="103"/>
        <v>39</v>
      </c>
      <c r="AF385" s="31">
        <f t="shared" ca="1" si="104"/>
        <v>127</v>
      </c>
      <c r="AG385" s="31">
        <f t="shared" ca="1" si="105"/>
        <v>8</v>
      </c>
      <c r="AH385" s="31">
        <f t="shared" ca="1" si="106"/>
        <v>48</v>
      </c>
      <c r="AI385" s="31">
        <f t="shared" ca="1" si="107"/>
        <v>22</v>
      </c>
      <c r="AJ385" s="31">
        <f t="shared" ca="1" si="108"/>
        <v>12</v>
      </c>
      <c r="AK385" s="31">
        <f t="shared" ca="1" si="109"/>
        <v>12</v>
      </c>
      <c r="AL385" s="31">
        <f t="shared" ca="1" si="110"/>
        <v>69</v>
      </c>
      <c r="AM385" s="31">
        <f t="shared" ca="1" si="111"/>
        <v>5</v>
      </c>
    </row>
    <row r="386" spans="14:39">
      <c r="N386" s="26">
        <v>378</v>
      </c>
      <c r="O386" s="30">
        <f t="shared" ca="1" si="117"/>
        <v>7.0768695343908785</v>
      </c>
      <c r="P386" s="30">
        <f t="shared" ca="1" si="117"/>
        <v>7.5328981111091133</v>
      </c>
      <c r="Q386" s="30">
        <f t="shared" ca="1" si="117"/>
        <v>27.77996584275364</v>
      </c>
      <c r="R386" s="30">
        <f t="shared" ca="1" si="117"/>
        <v>14.509528654947541</v>
      </c>
      <c r="S386" s="30">
        <f t="shared" ca="1" si="117"/>
        <v>7.1769404485913562</v>
      </c>
      <c r="T386" s="30">
        <f t="shared" ca="1" si="117"/>
        <v>13.471090432800315</v>
      </c>
      <c r="U386" s="30">
        <f t="shared" ca="1" si="117"/>
        <v>8.2010935432491685</v>
      </c>
      <c r="V386" s="30">
        <f t="shared" ca="1" si="117"/>
        <v>5.8343560524635834</v>
      </c>
      <c r="W386" s="30">
        <f t="shared" ca="1" si="117"/>
        <v>20.985047187190762</v>
      </c>
      <c r="X386" s="30">
        <f t="shared" ca="1" si="117"/>
        <v>13.321804798537659</v>
      </c>
      <c r="Y386" s="30">
        <f t="shared" ca="1" si="117"/>
        <v>10.128865557392938</v>
      </c>
      <c r="Z386" s="30">
        <f t="shared" ca="1" si="117"/>
        <v>21.733025253467218</v>
      </c>
      <c r="AA386" s="26">
        <v>378</v>
      </c>
      <c r="AB386" s="31">
        <f t="shared" ca="1" si="112"/>
        <v>8</v>
      </c>
      <c r="AC386" s="31">
        <f t="shared" ca="1" si="101"/>
        <v>9</v>
      </c>
      <c r="AD386" s="31">
        <f t="shared" ca="1" si="102"/>
        <v>59</v>
      </c>
      <c r="AE386" s="31">
        <f t="shared" ca="1" si="103"/>
        <v>19</v>
      </c>
      <c r="AF386" s="31">
        <f t="shared" ca="1" si="104"/>
        <v>8</v>
      </c>
      <c r="AG386" s="31">
        <f t="shared" ca="1" si="105"/>
        <v>17</v>
      </c>
      <c r="AH386" s="31">
        <f t="shared" ca="1" si="106"/>
        <v>10</v>
      </c>
      <c r="AI386" s="31">
        <f t="shared" ca="1" si="107"/>
        <v>7</v>
      </c>
      <c r="AJ386" s="31">
        <f t="shared" ca="1" si="108"/>
        <v>33</v>
      </c>
      <c r="AK386" s="31">
        <f t="shared" ca="1" si="109"/>
        <v>17</v>
      </c>
      <c r="AL386" s="31">
        <f t="shared" ca="1" si="110"/>
        <v>12</v>
      </c>
      <c r="AM386" s="31">
        <f t="shared" ca="1" si="111"/>
        <v>35</v>
      </c>
    </row>
    <row r="387" spans="14:39">
      <c r="N387" s="26">
        <v>379</v>
      </c>
      <c r="O387" s="30">
        <f t="shared" ca="1" si="117"/>
        <v>10.158448379923721</v>
      </c>
      <c r="P387" s="30">
        <f t="shared" ca="1" si="117"/>
        <v>11.249790384866973</v>
      </c>
      <c r="Q387" s="30">
        <f t="shared" ca="1" si="117"/>
        <v>3.6795584118605054</v>
      </c>
      <c r="R387" s="30">
        <f t="shared" ca="1" si="117"/>
        <v>14.106935977908053</v>
      </c>
      <c r="S387" s="30">
        <f t="shared" ca="1" si="117"/>
        <v>8.1660208831294092</v>
      </c>
      <c r="T387" s="30">
        <f t="shared" ca="1" si="117"/>
        <v>18.962089412971455</v>
      </c>
      <c r="U387" s="30">
        <f t="shared" ca="1" si="117"/>
        <v>22.733712042239048</v>
      </c>
      <c r="V387" s="30">
        <f t="shared" ca="1" si="117"/>
        <v>11.193367639015399</v>
      </c>
      <c r="W387" s="30">
        <f t="shared" ca="1" si="117"/>
        <v>30.808684536643359</v>
      </c>
      <c r="X387" s="30">
        <f t="shared" ca="1" si="117"/>
        <v>8.1203175618570302</v>
      </c>
      <c r="Y387" s="30">
        <f t="shared" ca="1" si="117"/>
        <v>7.7772729266278606</v>
      </c>
      <c r="Z387" s="30">
        <f t="shared" ca="1" si="117"/>
        <v>11.619512239677505</v>
      </c>
      <c r="AA387" s="26">
        <v>379</v>
      </c>
      <c r="AB387" s="31">
        <f t="shared" ca="1" si="112"/>
        <v>12</v>
      </c>
      <c r="AC387" s="31">
        <f t="shared" ca="1" si="101"/>
        <v>14</v>
      </c>
      <c r="AD387" s="31">
        <f t="shared" ca="1" si="102"/>
        <v>4</v>
      </c>
      <c r="AE387" s="31">
        <f t="shared" ca="1" si="103"/>
        <v>19</v>
      </c>
      <c r="AF387" s="31">
        <f t="shared" ca="1" si="104"/>
        <v>10</v>
      </c>
      <c r="AG387" s="31">
        <f t="shared" ca="1" si="105"/>
        <v>28</v>
      </c>
      <c r="AH387" s="31">
        <f t="shared" ca="1" si="106"/>
        <v>38</v>
      </c>
      <c r="AI387" s="31">
        <f t="shared" ca="1" si="107"/>
        <v>14</v>
      </c>
      <c r="AJ387" s="31">
        <f t="shared" ca="1" si="108"/>
        <v>85</v>
      </c>
      <c r="AK387" s="31">
        <f t="shared" ca="1" si="109"/>
        <v>10</v>
      </c>
      <c r="AL387" s="31">
        <f t="shared" ca="1" si="110"/>
        <v>9</v>
      </c>
      <c r="AM387" s="31">
        <f t="shared" ca="1" si="111"/>
        <v>15</v>
      </c>
    </row>
    <row r="388" spans="14:39">
      <c r="N388" s="26">
        <v>380</v>
      </c>
      <c r="O388" s="30">
        <f t="shared" ca="1" si="117"/>
        <v>18.324178529506479</v>
      </c>
      <c r="P388" s="30">
        <f t="shared" ca="1" si="117"/>
        <v>1.8191733492885573</v>
      </c>
      <c r="Q388" s="30">
        <f t="shared" ca="1" si="117"/>
        <v>31.004127879698704</v>
      </c>
      <c r="R388" s="30">
        <f t="shared" ca="1" si="117"/>
        <v>21.885710496577961</v>
      </c>
      <c r="S388" s="30">
        <f t="shared" ca="1" si="117"/>
        <v>20.353620446229527</v>
      </c>
      <c r="T388" s="30">
        <f t="shared" ca="1" si="117"/>
        <v>7.6338483821426948</v>
      </c>
      <c r="U388" s="30">
        <f t="shared" ca="1" si="117"/>
        <v>28.089397747590489</v>
      </c>
      <c r="V388" s="30">
        <f t="shared" ca="1" si="117"/>
        <v>9.0076631707612123</v>
      </c>
      <c r="W388" s="30">
        <f t="shared" ca="1" si="117"/>
        <v>25.150813157670935</v>
      </c>
      <c r="X388" s="30">
        <f t="shared" ca="1" si="117"/>
        <v>25.406555099084244</v>
      </c>
      <c r="Y388" s="30">
        <f t="shared" ca="1" si="117"/>
        <v>25.007056862937887</v>
      </c>
      <c r="Z388" s="30">
        <f t="shared" ca="1" si="117"/>
        <v>28.681368459739566</v>
      </c>
      <c r="AA388" s="26">
        <v>380</v>
      </c>
      <c r="AB388" s="31">
        <f t="shared" ca="1" si="112"/>
        <v>27</v>
      </c>
      <c r="AC388" s="31">
        <f t="shared" ca="1" si="101"/>
        <v>2</v>
      </c>
      <c r="AD388" s="31">
        <f t="shared" ca="1" si="102"/>
        <v>88</v>
      </c>
      <c r="AE388" s="31">
        <f t="shared" ca="1" si="103"/>
        <v>36</v>
      </c>
      <c r="AF388" s="31">
        <f t="shared" ca="1" si="104"/>
        <v>31</v>
      </c>
      <c r="AG388" s="31">
        <f t="shared" ca="1" si="105"/>
        <v>9</v>
      </c>
      <c r="AH388" s="31">
        <f t="shared" ca="1" si="106"/>
        <v>61</v>
      </c>
      <c r="AI388" s="31">
        <f t="shared" ca="1" si="107"/>
        <v>11</v>
      </c>
      <c r="AJ388" s="31">
        <f t="shared" ca="1" si="108"/>
        <v>47</v>
      </c>
      <c r="AK388" s="31">
        <f t="shared" ca="1" si="109"/>
        <v>48</v>
      </c>
      <c r="AL388" s="31">
        <f t="shared" ca="1" si="110"/>
        <v>46</v>
      </c>
      <c r="AM388" s="31">
        <f t="shared" ca="1" si="111"/>
        <v>65</v>
      </c>
    </row>
    <row r="389" spans="14:39">
      <c r="N389" s="26">
        <v>381</v>
      </c>
      <c r="O389" s="30">
        <f t="shared" ref="O389:Z398" ca="1" si="118">RAND()*sumweights</f>
        <v>23.165617583138541</v>
      </c>
      <c r="P389" s="30">
        <f t="shared" ca="1" si="118"/>
        <v>31.304247783642577</v>
      </c>
      <c r="Q389" s="30">
        <f t="shared" ca="1" si="118"/>
        <v>27.597847535117726</v>
      </c>
      <c r="R389" s="30">
        <f t="shared" ca="1" si="118"/>
        <v>24.246819256577655</v>
      </c>
      <c r="S389" s="30">
        <f t="shared" ca="1" si="118"/>
        <v>31.907606951484802</v>
      </c>
      <c r="T389" s="30">
        <f t="shared" ca="1" si="118"/>
        <v>32.310442886463939</v>
      </c>
      <c r="U389" s="30">
        <f t="shared" ca="1" si="118"/>
        <v>31.239068083193217</v>
      </c>
      <c r="V389" s="30">
        <f t="shared" ca="1" si="118"/>
        <v>23.646182634601498</v>
      </c>
      <c r="W389" s="30">
        <f t="shared" ca="1" si="118"/>
        <v>22.520060178091992</v>
      </c>
      <c r="X389" s="30">
        <f t="shared" ca="1" si="118"/>
        <v>21.941989872071652</v>
      </c>
      <c r="Y389" s="30">
        <f t="shared" ca="1" si="118"/>
        <v>16.139785849627859</v>
      </c>
      <c r="Z389" s="30">
        <f t="shared" ca="1" si="118"/>
        <v>32.420976874174421</v>
      </c>
      <c r="AA389" s="26">
        <v>381</v>
      </c>
      <c r="AB389" s="31">
        <f t="shared" ca="1" si="112"/>
        <v>39</v>
      </c>
      <c r="AC389" s="31">
        <f t="shared" ca="1" si="101"/>
        <v>92</v>
      </c>
      <c r="AD389" s="31">
        <f t="shared" ca="1" si="102"/>
        <v>58</v>
      </c>
      <c r="AE389" s="31">
        <f t="shared" ca="1" si="103"/>
        <v>43</v>
      </c>
      <c r="AF389" s="31">
        <f t="shared" ca="1" si="104"/>
        <v>104</v>
      </c>
      <c r="AG389" s="31">
        <f t="shared" ca="1" si="105"/>
        <v>115</v>
      </c>
      <c r="AH389" s="31">
        <f t="shared" ca="1" si="106"/>
        <v>91</v>
      </c>
      <c r="AI389" s="31">
        <f t="shared" ca="1" si="107"/>
        <v>41</v>
      </c>
      <c r="AJ389" s="31">
        <f t="shared" ca="1" si="108"/>
        <v>37</v>
      </c>
      <c r="AK389" s="31">
        <f t="shared" ca="1" si="109"/>
        <v>36</v>
      </c>
      <c r="AL389" s="31">
        <f t="shared" ca="1" si="110"/>
        <v>22</v>
      </c>
      <c r="AM389" s="31">
        <f t="shared" ca="1" si="111"/>
        <v>119</v>
      </c>
    </row>
    <row r="390" spans="14:39">
      <c r="N390" s="26">
        <v>382</v>
      </c>
      <c r="O390" s="30">
        <f t="shared" ca="1" si="118"/>
        <v>33.10310205119827</v>
      </c>
      <c r="P390" s="30">
        <f t="shared" ca="1" si="118"/>
        <v>1.4900201297563116</v>
      </c>
      <c r="Q390" s="30">
        <f t="shared" ca="1" si="118"/>
        <v>25.855866208229834</v>
      </c>
      <c r="R390" s="30">
        <f t="shared" ca="1" si="118"/>
        <v>19.334722051005034</v>
      </c>
      <c r="S390" s="30">
        <f t="shared" ca="1" si="118"/>
        <v>15.171537110167787</v>
      </c>
      <c r="T390" s="30">
        <f t="shared" ca="1" si="118"/>
        <v>1.8556221174657839</v>
      </c>
      <c r="U390" s="30">
        <f t="shared" ca="1" si="118"/>
        <v>25.296596896396633</v>
      </c>
      <c r="V390" s="30">
        <f t="shared" ca="1" si="118"/>
        <v>28.849175670766595</v>
      </c>
      <c r="W390" s="30">
        <f t="shared" ca="1" si="118"/>
        <v>29.226089992891605</v>
      </c>
      <c r="X390" s="30">
        <f t="shared" ca="1" si="118"/>
        <v>24.401832819780573</v>
      </c>
      <c r="Y390" s="30">
        <f t="shared" ca="1" si="118"/>
        <v>20.164245861751638</v>
      </c>
      <c r="Z390" s="30">
        <f t="shared" ca="1" si="118"/>
        <v>1.1039962690545995</v>
      </c>
      <c r="AA390" s="26">
        <v>382</v>
      </c>
      <c r="AB390" s="31">
        <f t="shared" ca="1" si="112"/>
        <v>164</v>
      </c>
      <c r="AC390" s="31">
        <f t="shared" ca="1" si="101"/>
        <v>2</v>
      </c>
      <c r="AD390" s="31">
        <f t="shared" ca="1" si="102"/>
        <v>50</v>
      </c>
      <c r="AE390" s="31">
        <f t="shared" ca="1" si="103"/>
        <v>29</v>
      </c>
      <c r="AF390" s="31">
        <f t="shared" ca="1" si="104"/>
        <v>20</v>
      </c>
      <c r="AG390" s="31">
        <f t="shared" ca="1" si="105"/>
        <v>2</v>
      </c>
      <c r="AH390" s="31">
        <f t="shared" ca="1" si="106"/>
        <v>47</v>
      </c>
      <c r="AI390" s="31">
        <f t="shared" ca="1" si="107"/>
        <v>66</v>
      </c>
      <c r="AJ390" s="31">
        <f t="shared" ca="1" si="108"/>
        <v>69</v>
      </c>
      <c r="AK390" s="31">
        <f t="shared" ca="1" si="109"/>
        <v>44</v>
      </c>
      <c r="AL390" s="31">
        <f t="shared" ca="1" si="110"/>
        <v>31</v>
      </c>
      <c r="AM390" s="31">
        <f t="shared" ca="1" si="111"/>
        <v>2</v>
      </c>
    </row>
    <row r="391" spans="14:39">
      <c r="N391" s="26">
        <v>383</v>
      </c>
      <c r="O391" s="30">
        <f t="shared" ca="1" si="118"/>
        <v>18.015656522744127</v>
      </c>
      <c r="P391" s="30">
        <f t="shared" ca="1" si="118"/>
        <v>32.583641913441248</v>
      </c>
      <c r="Q391" s="30">
        <f t="shared" ca="1" si="118"/>
        <v>20.035183849849858</v>
      </c>
      <c r="R391" s="30">
        <f t="shared" ca="1" si="118"/>
        <v>18.059855281864031</v>
      </c>
      <c r="S391" s="30">
        <f t="shared" ca="1" si="118"/>
        <v>20.516403876520798</v>
      </c>
      <c r="T391" s="30">
        <f t="shared" ca="1" si="118"/>
        <v>23.304255491050576</v>
      </c>
      <c r="U391" s="30">
        <f t="shared" ca="1" si="118"/>
        <v>24.435491045543174</v>
      </c>
      <c r="V391" s="30">
        <f t="shared" ca="1" si="118"/>
        <v>2.9919751405752515</v>
      </c>
      <c r="W391" s="30">
        <f t="shared" ca="1" si="118"/>
        <v>5.5430473940508529</v>
      </c>
      <c r="X391" s="30">
        <f t="shared" ca="1" si="118"/>
        <v>11.756713544048335</v>
      </c>
      <c r="Y391" s="30">
        <f t="shared" ca="1" si="118"/>
        <v>3.3051780866083593</v>
      </c>
      <c r="Z391" s="30">
        <f t="shared" ca="1" si="118"/>
        <v>0.24041186481867782</v>
      </c>
      <c r="AA391" s="26">
        <v>383</v>
      </c>
      <c r="AB391" s="31">
        <f t="shared" ca="1" si="112"/>
        <v>26</v>
      </c>
      <c r="AC391" s="31">
        <f t="shared" ca="1" si="101"/>
        <v>125</v>
      </c>
      <c r="AD391" s="31">
        <f t="shared" ca="1" si="102"/>
        <v>31</v>
      </c>
      <c r="AE391" s="31">
        <f t="shared" ca="1" si="103"/>
        <v>26</v>
      </c>
      <c r="AF391" s="31">
        <f t="shared" ca="1" si="104"/>
        <v>32</v>
      </c>
      <c r="AG391" s="31">
        <f t="shared" ca="1" si="105"/>
        <v>40</v>
      </c>
      <c r="AH391" s="31">
        <f t="shared" ca="1" si="106"/>
        <v>44</v>
      </c>
      <c r="AI391" s="31">
        <f t="shared" ca="1" si="107"/>
        <v>4</v>
      </c>
      <c r="AJ391" s="31">
        <f t="shared" ca="1" si="108"/>
        <v>6</v>
      </c>
      <c r="AK391" s="31">
        <f t="shared" ca="1" si="109"/>
        <v>15</v>
      </c>
      <c r="AL391" s="31">
        <f t="shared" ca="1" si="110"/>
        <v>4</v>
      </c>
      <c r="AM391" s="31">
        <f t="shared" ca="1" si="111"/>
        <v>1</v>
      </c>
    </row>
    <row r="392" spans="14:39">
      <c r="N392" s="26">
        <v>384</v>
      </c>
      <c r="O392" s="30">
        <f t="shared" ca="1" si="118"/>
        <v>33.108428877698067</v>
      </c>
      <c r="P392" s="30">
        <f t="shared" ca="1" si="118"/>
        <v>20.002999360632405</v>
      </c>
      <c r="Q392" s="30">
        <f t="shared" ca="1" si="118"/>
        <v>30.177112543237918</v>
      </c>
      <c r="R392" s="30">
        <f t="shared" ca="1" si="118"/>
        <v>16.327241114650988</v>
      </c>
      <c r="S392" s="30">
        <f t="shared" ca="1" si="118"/>
        <v>22.911699270607826</v>
      </c>
      <c r="T392" s="30">
        <f t="shared" ca="1" si="118"/>
        <v>5.2528313087661491</v>
      </c>
      <c r="U392" s="30">
        <f t="shared" ca="1" si="118"/>
        <v>12.154669487242259</v>
      </c>
      <c r="V392" s="30">
        <f t="shared" ca="1" si="118"/>
        <v>11.801577730508944</v>
      </c>
      <c r="W392" s="30">
        <f t="shared" ca="1" si="118"/>
        <v>30.060912175155725</v>
      </c>
      <c r="X392" s="30">
        <f t="shared" ca="1" si="118"/>
        <v>17.385136410587378</v>
      </c>
      <c r="Y392" s="30">
        <f t="shared" ca="1" si="118"/>
        <v>15.853565001905542</v>
      </c>
      <c r="Z392" s="30">
        <f t="shared" ca="1" si="118"/>
        <v>20.402792360105753</v>
      </c>
      <c r="AA392" s="26">
        <v>384</v>
      </c>
      <c r="AB392" s="31">
        <f t="shared" ca="1" si="112"/>
        <v>165</v>
      </c>
      <c r="AC392" s="31">
        <f t="shared" ca="1" si="101"/>
        <v>31</v>
      </c>
      <c r="AD392" s="31">
        <f t="shared" ca="1" si="102"/>
        <v>78</v>
      </c>
      <c r="AE392" s="31">
        <f t="shared" ca="1" si="103"/>
        <v>23</v>
      </c>
      <c r="AF392" s="31">
        <f t="shared" ca="1" si="104"/>
        <v>39</v>
      </c>
      <c r="AG392" s="31">
        <f t="shared" ca="1" si="105"/>
        <v>6</v>
      </c>
      <c r="AH392" s="31">
        <f t="shared" ca="1" si="106"/>
        <v>15</v>
      </c>
      <c r="AI392" s="31">
        <f t="shared" ca="1" si="107"/>
        <v>15</v>
      </c>
      <c r="AJ392" s="31">
        <f t="shared" ca="1" si="108"/>
        <v>77</v>
      </c>
      <c r="AK392" s="31">
        <f t="shared" ca="1" si="109"/>
        <v>25</v>
      </c>
      <c r="AL392" s="31">
        <f t="shared" ca="1" si="110"/>
        <v>22</v>
      </c>
      <c r="AM392" s="31">
        <f t="shared" ca="1" si="111"/>
        <v>32</v>
      </c>
    </row>
    <row r="393" spans="14:39">
      <c r="N393" s="26">
        <v>385</v>
      </c>
      <c r="O393" s="30">
        <f t="shared" ca="1" si="118"/>
        <v>25.22360718382151</v>
      </c>
      <c r="P393" s="30">
        <f t="shared" ca="1" si="118"/>
        <v>28.488151489037325</v>
      </c>
      <c r="Q393" s="30">
        <f t="shared" ca="1" si="118"/>
        <v>15.983791522956841</v>
      </c>
      <c r="R393" s="30">
        <f t="shared" ca="1" si="118"/>
        <v>8.4736752756596978</v>
      </c>
      <c r="S393" s="30">
        <f t="shared" ca="1" si="118"/>
        <v>5.5628544011076926</v>
      </c>
      <c r="T393" s="30">
        <f t="shared" ca="1" si="118"/>
        <v>15.126770052155587</v>
      </c>
      <c r="U393" s="30">
        <f t="shared" ca="1" si="118"/>
        <v>23.38957760819746</v>
      </c>
      <c r="V393" s="30">
        <f t="shared" ca="1" si="118"/>
        <v>6.8517643567905759</v>
      </c>
      <c r="W393" s="30">
        <f t="shared" ca="1" si="118"/>
        <v>32.781817518659821</v>
      </c>
      <c r="X393" s="30">
        <f t="shared" ca="1" si="118"/>
        <v>31.902097154271615</v>
      </c>
      <c r="Y393" s="30">
        <f t="shared" ca="1" si="118"/>
        <v>29.439540642835773</v>
      </c>
      <c r="Z393" s="30">
        <f t="shared" ca="1" si="118"/>
        <v>23.714771218210231</v>
      </c>
      <c r="AA393" s="26">
        <v>385</v>
      </c>
      <c r="AB393" s="31">
        <f t="shared" ca="1" si="112"/>
        <v>47</v>
      </c>
      <c r="AC393" s="31">
        <f t="shared" ref="AC393:AC456" ca="1" si="119">MATCH(P393,cum_wt,1)</f>
        <v>64</v>
      </c>
      <c r="AD393" s="31">
        <f t="shared" ref="AD393:AD456" ca="1" si="120">MATCH(Q393,cum_wt,1)</f>
        <v>22</v>
      </c>
      <c r="AE393" s="31">
        <f t="shared" ref="AE393:AE456" ca="1" si="121">MATCH(R393,cum_wt,1)</f>
        <v>10</v>
      </c>
      <c r="AF393" s="31">
        <f t="shared" ref="AF393:AF456" ca="1" si="122">MATCH(S393,cum_wt,1)</f>
        <v>6</v>
      </c>
      <c r="AG393" s="31">
        <f t="shared" ref="AG393:AG456" ca="1" si="123">MATCH(T393,cum_wt,1)</f>
        <v>20</v>
      </c>
      <c r="AH393" s="31">
        <f t="shared" ref="AH393:AH456" ca="1" si="124">MATCH(U393,cum_wt,1)</f>
        <v>40</v>
      </c>
      <c r="AI393" s="31">
        <f t="shared" ref="AI393:AI456" ca="1" si="125">MATCH(V393,cum_wt,1)</f>
        <v>8</v>
      </c>
      <c r="AJ393" s="31">
        <f t="shared" ref="AJ393:AJ456" ca="1" si="126">MATCH(W393,cum_wt,1)</f>
        <v>135</v>
      </c>
      <c r="AK393" s="31">
        <f t="shared" ref="AK393:AK456" ca="1" si="127">MATCH(X393,cum_wt,1)</f>
        <v>104</v>
      </c>
      <c r="AL393" s="31">
        <f t="shared" ref="AL393:AL456" ca="1" si="128">MATCH(Y393,cum_wt,1)</f>
        <v>71</v>
      </c>
      <c r="AM393" s="31">
        <f t="shared" ref="AM393:AM456" ca="1" si="129">MATCH(Z393,cum_wt,1)</f>
        <v>41</v>
      </c>
    </row>
    <row r="394" spans="14:39">
      <c r="N394" s="26">
        <v>386</v>
      </c>
      <c r="O394" s="30">
        <f t="shared" ca="1" si="118"/>
        <v>1.6555260498597371</v>
      </c>
      <c r="P394" s="30">
        <f t="shared" ca="1" si="118"/>
        <v>32.999414638145346</v>
      </c>
      <c r="Q394" s="30">
        <f t="shared" ca="1" si="118"/>
        <v>28.34691866358558</v>
      </c>
      <c r="R394" s="30">
        <f t="shared" ca="1" si="118"/>
        <v>6.5190831801624753</v>
      </c>
      <c r="S394" s="30">
        <f t="shared" ca="1" si="118"/>
        <v>2.8040601673346948</v>
      </c>
      <c r="T394" s="30">
        <f t="shared" ca="1" si="118"/>
        <v>19.73686753606286</v>
      </c>
      <c r="U394" s="30">
        <f t="shared" ca="1" si="118"/>
        <v>22.262007368425376</v>
      </c>
      <c r="V394" s="30">
        <f t="shared" ca="1" si="118"/>
        <v>0.66975671181726415</v>
      </c>
      <c r="W394" s="30">
        <f t="shared" ca="1" si="118"/>
        <v>8.3855114391635315</v>
      </c>
      <c r="X394" s="30">
        <f t="shared" ca="1" si="118"/>
        <v>18.400236111757433</v>
      </c>
      <c r="Y394" s="30">
        <f t="shared" ca="1" si="118"/>
        <v>29.213162472012616</v>
      </c>
      <c r="Z394" s="30">
        <f t="shared" ca="1" si="118"/>
        <v>32.399455254205094</v>
      </c>
      <c r="AA394" s="26">
        <v>386</v>
      </c>
      <c r="AB394" s="31">
        <f t="shared" ref="AB394:AB457" ca="1" si="130">MATCH(O394,cum_wt,1)</f>
        <v>2</v>
      </c>
      <c r="AC394" s="31">
        <f t="shared" ca="1" si="119"/>
        <v>152</v>
      </c>
      <c r="AD394" s="31">
        <f t="shared" ca="1" si="120"/>
        <v>63</v>
      </c>
      <c r="AE394" s="31">
        <f t="shared" ca="1" si="121"/>
        <v>8</v>
      </c>
      <c r="AF394" s="31">
        <f t="shared" ca="1" si="122"/>
        <v>3</v>
      </c>
      <c r="AG394" s="31">
        <f t="shared" ca="1" si="123"/>
        <v>30</v>
      </c>
      <c r="AH394" s="31">
        <f t="shared" ca="1" si="124"/>
        <v>37</v>
      </c>
      <c r="AI394" s="31">
        <f t="shared" ca="1" si="125"/>
        <v>1</v>
      </c>
      <c r="AJ394" s="31">
        <f t="shared" ca="1" si="126"/>
        <v>10</v>
      </c>
      <c r="AK394" s="31">
        <f t="shared" ca="1" si="127"/>
        <v>27</v>
      </c>
      <c r="AL394" s="31">
        <f t="shared" ca="1" si="128"/>
        <v>69</v>
      </c>
      <c r="AM394" s="31">
        <f t="shared" ca="1" si="129"/>
        <v>118</v>
      </c>
    </row>
    <row r="395" spans="14:39">
      <c r="N395" s="26">
        <v>387</v>
      </c>
      <c r="O395" s="30">
        <f t="shared" ca="1" si="118"/>
        <v>13.41640154910173</v>
      </c>
      <c r="P395" s="30">
        <f t="shared" ca="1" si="118"/>
        <v>30.862755853810995</v>
      </c>
      <c r="Q395" s="30">
        <f t="shared" ca="1" si="118"/>
        <v>8.7355531386935379</v>
      </c>
      <c r="R395" s="30">
        <f t="shared" ca="1" si="118"/>
        <v>8.6541316439142904</v>
      </c>
      <c r="S395" s="30">
        <f t="shared" ca="1" si="118"/>
        <v>10.106691325343288</v>
      </c>
      <c r="T395" s="30">
        <f t="shared" ca="1" si="118"/>
        <v>28.010008117279316</v>
      </c>
      <c r="U395" s="30">
        <f t="shared" ca="1" si="118"/>
        <v>7.6011546486104455</v>
      </c>
      <c r="V395" s="30">
        <f t="shared" ca="1" si="118"/>
        <v>7.0863463827057247</v>
      </c>
      <c r="W395" s="30">
        <f t="shared" ca="1" si="118"/>
        <v>30.211153180587061</v>
      </c>
      <c r="X395" s="30">
        <f t="shared" ca="1" si="118"/>
        <v>19.101491608649024</v>
      </c>
      <c r="Y395" s="30">
        <f t="shared" ca="1" si="118"/>
        <v>25.784788635905326</v>
      </c>
      <c r="Z395" s="30">
        <f t="shared" ca="1" si="118"/>
        <v>27.801539432064107</v>
      </c>
      <c r="AA395" s="26">
        <v>387</v>
      </c>
      <c r="AB395" s="31">
        <f t="shared" ca="1" si="130"/>
        <v>17</v>
      </c>
      <c r="AC395" s="31">
        <f t="shared" ca="1" si="119"/>
        <v>86</v>
      </c>
      <c r="AD395" s="31">
        <f t="shared" ca="1" si="120"/>
        <v>10</v>
      </c>
      <c r="AE395" s="31">
        <f t="shared" ca="1" si="121"/>
        <v>10</v>
      </c>
      <c r="AF395" s="31">
        <f t="shared" ca="1" si="122"/>
        <v>12</v>
      </c>
      <c r="AG395" s="31">
        <f t="shared" ca="1" si="123"/>
        <v>61</v>
      </c>
      <c r="AH395" s="31">
        <f t="shared" ca="1" si="124"/>
        <v>9</v>
      </c>
      <c r="AI395" s="31">
        <f t="shared" ca="1" si="125"/>
        <v>8</v>
      </c>
      <c r="AJ395" s="31">
        <f t="shared" ca="1" si="126"/>
        <v>78</v>
      </c>
      <c r="AK395" s="31">
        <f t="shared" ca="1" si="127"/>
        <v>28</v>
      </c>
      <c r="AL395" s="31">
        <f t="shared" ca="1" si="128"/>
        <v>49</v>
      </c>
      <c r="AM395" s="31">
        <f t="shared" ca="1" si="129"/>
        <v>59</v>
      </c>
    </row>
    <row r="396" spans="14:39">
      <c r="N396" s="26">
        <v>388</v>
      </c>
      <c r="O396" s="30">
        <f t="shared" ca="1" si="118"/>
        <v>21.164709201611732</v>
      </c>
      <c r="P396" s="30">
        <f t="shared" ca="1" si="118"/>
        <v>4.8372476276325873</v>
      </c>
      <c r="Q396" s="30">
        <f t="shared" ca="1" si="118"/>
        <v>4.5977223986361162</v>
      </c>
      <c r="R396" s="30">
        <f t="shared" ca="1" si="118"/>
        <v>2.7290377102720274</v>
      </c>
      <c r="S396" s="30">
        <f t="shared" ca="1" si="118"/>
        <v>28.159912706711609</v>
      </c>
      <c r="T396" s="30">
        <f t="shared" ca="1" si="118"/>
        <v>23.088762910429928</v>
      </c>
      <c r="U396" s="30">
        <f t="shared" ca="1" si="118"/>
        <v>15.479737022044382</v>
      </c>
      <c r="V396" s="30">
        <f t="shared" ca="1" si="118"/>
        <v>1.549428641451511</v>
      </c>
      <c r="W396" s="30">
        <f t="shared" ca="1" si="118"/>
        <v>19.298867027226223</v>
      </c>
      <c r="X396" s="30">
        <f t="shared" ca="1" si="118"/>
        <v>28.015601380699042</v>
      </c>
      <c r="Y396" s="30">
        <f t="shared" ca="1" si="118"/>
        <v>9.857424204898301</v>
      </c>
      <c r="Z396" s="30">
        <f t="shared" ca="1" si="118"/>
        <v>0.88541606464486844</v>
      </c>
      <c r="AA396" s="26">
        <v>388</v>
      </c>
      <c r="AB396" s="31">
        <f t="shared" ca="1" si="130"/>
        <v>34</v>
      </c>
      <c r="AC396" s="31">
        <f t="shared" ca="1" si="119"/>
        <v>6</v>
      </c>
      <c r="AD396" s="31">
        <f t="shared" ca="1" si="120"/>
        <v>5</v>
      </c>
      <c r="AE396" s="31">
        <f t="shared" ca="1" si="121"/>
        <v>3</v>
      </c>
      <c r="AF396" s="31">
        <f t="shared" ca="1" si="122"/>
        <v>62</v>
      </c>
      <c r="AG396" s="31">
        <f t="shared" ca="1" si="123"/>
        <v>39</v>
      </c>
      <c r="AH396" s="31">
        <f t="shared" ca="1" si="124"/>
        <v>21</v>
      </c>
      <c r="AI396" s="31">
        <f t="shared" ca="1" si="125"/>
        <v>2</v>
      </c>
      <c r="AJ396" s="31">
        <f t="shared" ca="1" si="126"/>
        <v>29</v>
      </c>
      <c r="AK396" s="31">
        <f t="shared" ca="1" si="127"/>
        <v>61</v>
      </c>
      <c r="AL396" s="31">
        <f t="shared" ca="1" si="128"/>
        <v>12</v>
      </c>
      <c r="AM396" s="31">
        <f t="shared" ca="1" si="129"/>
        <v>1</v>
      </c>
    </row>
    <row r="397" spans="14:39">
      <c r="N397" s="26">
        <v>389</v>
      </c>
      <c r="O397" s="30">
        <f t="shared" ca="1" si="118"/>
        <v>30.566922491714529</v>
      </c>
      <c r="P397" s="30">
        <f t="shared" ca="1" si="118"/>
        <v>16.830948918901029</v>
      </c>
      <c r="Q397" s="30">
        <f t="shared" ca="1" si="118"/>
        <v>12.570754366438631</v>
      </c>
      <c r="R397" s="30">
        <f t="shared" ca="1" si="118"/>
        <v>23.651570505416679</v>
      </c>
      <c r="S397" s="30">
        <f t="shared" ca="1" si="118"/>
        <v>16.56546179834659</v>
      </c>
      <c r="T397" s="30">
        <f t="shared" ca="1" si="118"/>
        <v>29.306148673304214</v>
      </c>
      <c r="U397" s="30">
        <f t="shared" ca="1" si="118"/>
        <v>18.35336986932192</v>
      </c>
      <c r="V397" s="30">
        <f t="shared" ca="1" si="118"/>
        <v>31.402838476003303</v>
      </c>
      <c r="W397" s="30">
        <f t="shared" ca="1" si="118"/>
        <v>14.39641124209739</v>
      </c>
      <c r="X397" s="30">
        <f t="shared" ca="1" si="118"/>
        <v>2.3832088034940625E-2</v>
      </c>
      <c r="Y397" s="30">
        <f t="shared" ca="1" si="118"/>
        <v>11.746275812261269</v>
      </c>
      <c r="Z397" s="30">
        <f t="shared" ca="1" si="118"/>
        <v>7.6402686897549215</v>
      </c>
      <c r="AA397" s="26">
        <v>389</v>
      </c>
      <c r="AB397" s="31">
        <f t="shared" ca="1" si="130"/>
        <v>82</v>
      </c>
      <c r="AC397" s="31">
        <f t="shared" ca="1" si="119"/>
        <v>24</v>
      </c>
      <c r="AD397" s="31">
        <f t="shared" ca="1" si="120"/>
        <v>16</v>
      </c>
      <c r="AE397" s="31">
        <f t="shared" ca="1" si="121"/>
        <v>41</v>
      </c>
      <c r="AF397" s="31">
        <f t="shared" ca="1" si="122"/>
        <v>23</v>
      </c>
      <c r="AG397" s="31">
        <f t="shared" ca="1" si="123"/>
        <v>70</v>
      </c>
      <c r="AH397" s="31">
        <f t="shared" ca="1" si="124"/>
        <v>27</v>
      </c>
      <c r="AI397" s="31">
        <f t="shared" ca="1" si="125"/>
        <v>94</v>
      </c>
      <c r="AJ397" s="31">
        <f t="shared" ca="1" si="126"/>
        <v>19</v>
      </c>
      <c r="AK397" s="31">
        <f t="shared" ca="1" si="127"/>
        <v>1</v>
      </c>
      <c r="AL397" s="31">
        <f t="shared" ca="1" si="128"/>
        <v>15</v>
      </c>
      <c r="AM397" s="31">
        <f t="shared" ca="1" si="129"/>
        <v>9</v>
      </c>
    </row>
    <row r="398" spans="14:39">
      <c r="N398" s="26">
        <v>390</v>
      </c>
      <c r="O398" s="30">
        <f t="shared" ca="1" si="118"/>
        <v>0.84465881549381139</v>
      </c>
      <c r="P398" s="30">
        <f t="shared" ca="1" si="118"/>
        <v>25.449163423071155</v>
      </c>
      <c r="Q398" s="30">
        <f t="shared" ca="1" si="118"/>
        <v>6.6636025516693111</v>
      </c>
      <c r="R398" s="30">
        <f t="shared" ca="1" si="118"/>
        <v>15.901531241554606</v>
      </c>
      <c r="S398" s="30">
        <f t="shared" ca="1" si="118"/>
        <v>5.8966188969954745</v>
      </c>
      <c r="T398" s="30">
        <f t="shared" ca="1" si="118"/>
        <v>12.588329768141014</v>
      </c>
      <c r="U398" s="30">
        <f t="shared" ca="1" si="118"/>
        <v>20.04646227407574</v>
      </c>
      <c r="V398" s="30">
        <f t="shared" ca="1" si="118"/>
        <v>25.519777395356805</v>
      </c>
      <c r="W398" s="30">
        <f t="shared" ca="1" si="118"/>
        <v>28.641456889587246</v>
      </c>
      <c r="X398" s="30">
        <f t="shared" ca="1" si="118"/>
        <v>22.801919280437222</v>
      </c>
      <c r="Y398" s="30">
        <f t="shared" ca="1" si="118"/>
        <v>1.9800125313355816</v>
      </c>
      <c r="Z398" s="30">
        <f t="shared" ca="1" si="118"/>
        <v>0.30757214573625113</v>
      </c>
      <c r="AA398" s="26">
        <v>390</v>
      </c>
      <c r="AB398" s="31">
        <f t="shared" ca="1" si="130"/>
        <v>1</v>
      </c>
      <c r="AC398" s="31">
        <f t="shared" ca="1" si="119"/>
        <v>48</v>
      </c>
      <c r="AD398" s="31">
        <f t="shared" ca="1" si="120"/>
        <v>8</v>
      </c>
      <c r="AE398" s="31">
        <f t="shared" ca="1" si="121"/>
        <v>22</v>
      </c>
      <c r="AF398" s="31">
        <f t="shared" ca="1" si="122"/>
        <v>7</v>
      </c>
      <c r="AG398" s="31">
        <f t="shared" ca="1" si="123"/>
        <v>16</v>
      </c>
      <c r="AH398" s="31">
        <f t="shared" ca="1" si="124"/>
        <v>31</v>
      </c>
      <c r="AI398" s="31">
        <f t="shared" ca="1" si="125"/>
        <v>48</v>
      </c>
      <c r="AJ398" s="31">
        <f t="shared" ca="1" si="126"/>
        <v>65</v>
      </c>
      <c r="AK398" s="31">
        <f t="shared" ca="1" si="127"/>
        <v>38</v>
      </c>
      <c r="AL398" s="31">
        <f t="shared" ca="1" si="128"/>
        <v>3</v>
      </c>
      <c r="AM398" s="31">
        <f t="shared" ca="1" si="129"/>
        <v>1</v>
      </c>
    </row>
    <row r="399" spans="14:39">
      <c r="N399" s="26">
        <v>391</v>
      </c>
      <c r="O399" s="30">
        <f t="shared" ref="O399:Z408" ca="1" si="131">RAND()*sumweights</f>
        <v>22.464204635793209</v>
      </c>
      <c r="P399" s="30">
        <f t="shared" ca="1" si="131"/>
        <v>1.1792084230786568</v>
      </c>
      <c r="Q399" s="30">
        <f t="shared" ca="1" si="131"/>
        <v>17.655401413549278</v>
      </c>
      <c r="R399" s="30">
        <f t="shared" ca="1" si="131"/>
        <v>26.846925850523306</v>
      </c>
      <c r="S399" s="30">
        <f t="shared" ca="1" si="131"/>
        <v>1.0076038356107892E-2</v>
      </c>
      <c r="T399" s="30">
        <f t="shared" ca="1" si="131"/>
        <v>21.05396403740065</v>
      </c>
      <c r="U399" s="30">
        <f t="shared" ca="1" si="131"/>
        <v>20.771440988512726</v>
      </c>
      <c r="V399" s="30">
        <f t="shared" ca="1" si="131"/>
        <v>17.385114376076082</v>
      </c>
      <c r="W399" s="30">
        <f t="shared" ca="1" si="131"/>
        <v>18.308248408174553</v>
      </c>
      <c r="X399" s="30">
        <f t="shared" ca="1" si="131"/>
        <v>30.34632930020495</v>
      </c>
      <c r="Y399" s="30">
        <f t="shared" ca="1" si="131"/>
        <v>27.056475594656781</v>
      </c>
      <c r="Z399" s="30">
        <f t="shared" ca="1" si="131"/>
        <v>3.5988596922172209</v>
      </c>
      <c r="AA399" s="26">
        <v>391</v>
      </c>
      <c r="AB399" s="31">
        <f t="shared" ca="1" si="130"/>
        <v>37</v>
      </c>
      <c r="AC399" s="31">
        <f t="shared" ca="1" si="119"/>
        <v>2</v>
      </c>
      <c r="AD399" s="31">
        <f t="shared" ca="1" si="120"/>
        <v>25</v>
      </c>
      <c r="AE399" s="31">
        <f t="shared" ca="1" si="121"/>
        <v>54</v>
      </c>
      <c r="AF399" s="31">
        <f t="shared" ca="1" si="122"/>
        <v>1</v>
      </c>
      <c r="AG399" s="31">
        <f t="shared" ca="1" si="123"/>
        <v>33</v>
      </c>
      <c r="AH399" s="31">
        <f t="shared" ca="1" si="124"/>
        <v>33</v>
      </c>
      <c r="AI399" s="31">
        <f t="shared" ca="1" si="125"/>
        <v>25</v>
      </c>
      <c r="AJ399" s="31">
        <f t="shared" ca="1" si="126"/>
        <v>27</v>
      </c>
      <c r="AK399" s="31">
        <f t="shared" ca="1" si="127"/>
        <v>80</v>
      </c>
      <c r="AL399" s="31">
        <f t="shared" ca="1" si="128"/>
        <v>55</v>
      </c>
      <c r="AM399" s="31">
        <f t="shared" ca="1" si="129"/>
        <v>4</v>
      </c>
    </row>
    <row r="400" spans="14:39">
      <c r="N400" s="26">
        <v>392</v>
      </c>
      <c r="O400" s="30">
        <f t="shared" ca="1" si="131"/>
        <v>2.1488633041386174</v>
      </c>
      <c r="P400" s="30">
        <f t="shared" ca="1" si="131"/>
        <v>22.492129158681447</v>
      </c>
      <c r="Q400" s="30">
        <f t="shared" ca="1" si="131"/>
        <v>8.5239223442876053</v>
      </c>
      <c r="R400" s="30">
        <f t="shared" ca="1" si="131"/>
        <v>6.7837314327944807</v>
      </c>
      <c r="S400" s="30">
        <f t="shared" ca="1" si="131"/>
        <v>25.406878942130227</v>
      </c>
      <c r="T400" s="30">
        <f t="shared" ca="1" si="131"/>
        <v>25.763092706078588</v>
      </c>
      <c r="U400" s="30">
        <f t="shared" ca="1" si="131"/>
        <v>0.99442167591609265</v>
      </c>
      <c r="V400" s="30">
        <f t="shared" ca="1" si="131"/>
        <v>8.6212606257425577</v>
      </c>
      <c r="W400" s="30">
        <f t="shared" ca="1" si="131"/>
        <v>3.4357265321462482</v>
      </c>
      <c r="X400" s="30">
        <f t="shared" ca="1" si="131"/>
        <v>5.9001373822018683</v>
      </c>
      <c r="Y400" s="30">
        <f t="shared" ca="1" si="131"/>
        <v>31.780598852472789</v>
      </c>
      <c r="Z400" s="30">
        <f t="shared" ca="1" si="131"/>
        <v>17.037762590106059</v>
      </c>
      <c r="AA400" s="26">
        <v>392</v>
      </c>
      <c r="AB400" s="31">
        <f t="shared" ca="1" si="130"/>
        <v>3</v>
      </c>
      <c r="AC400" s="31">
        <f t="shared" ca="1" si="119"/>
        <v>37</v>
      </c>
      <c r="AD400" s="31">
        <f t="shared" ca="1" si="120"/>
        <v>10</v>
      </c>
      <c r="AE400" s="31">
        <f t="shared" ca="1" si="121"/>
        <v>8</v>
      </c>
      <c r="AF400" s="31">
        <f t="shared" ca="1" si="122"/>
        <v>48</v>
      </c>
      <c r="AG400" s="31">
        <f t="shared" ca="1" si="123"/>
        <v>49</v>
      </c>
      <c r="AH400" s="31">
        <f t="shared" ca="1" si="124"/>
        <v>1</v>
      </c>
      <c r="AI400" s="31">
        <f t="shared" ca="1" si="125"/>
        <v>10</v>
      </c>
      <c r="AJ400" s="31">
        <f t="shared" ca="1" si="126"/>
        <v>4</v>
      </c>
      <c r="AK400" s="31">
        <f t="shared" ca="1" si="127"/>
        <v>7</v>
      </c>
      <c r="AL400" s="31">
        <f t="shared" ca="1" si="128"/>
        <v>101</v>
      </c>
      <c r="AM400" s="31">
        <f t="shared" ca="1" si="129"/>
        <v>24</v>
      </c>
    </row>
    <row r="401" spans="14:39">
      <c r="N401" s="26">
        <v>393</v>
      </c>
      <c r="O401" s="30">
        <f t="shared" ca="1" si="131"/>
        <v>12.345959918906837</v>
      </c>
      <c r="P401" s="30">
        <f t="shared" ca="1" si="131"/>
        <v>22.289043708300312</v>
      </c>
      <c r="Q401" s="30">
        <f t="shared" ca="1" si="131"/>
        <v>4.1654826024805454</v>
      </c>
      <c r="R401" s="30">
        <f t="shared" ca="1" si="131"/>
        <v>9.0977657784219108</v>
      </c>
      <c r="S401" s="30">
        <f t="shared" ca="1" si="131"/>
        <v>26.45188456800004</v>
      </c>
      <c r="T401" s="30">
        <f t="shared" ca="1" si="131"/>
        <v>17.42532799314931</v>
      </c>
      <c r="U401" s="30">
        <f t="shared" ca="1" si="131"/>
        <v>6.2565867343738626</v>
      </c>
      <c r="V401" s="30">
        <f t="shared" ca="1" si="131"/>
        <v>15.531751467609661</v>
      </c>
      <c r="W401" s="30">
        <f t="shared" ca="1" si="131"/>
        <v>31.321898501220069</v>
      </c>
      <c r="X401" s="30">
        <f t="shared" ca="1" si="131"/>
        <v>21.904432789466583</v>
      </c>
      <c r="Y401" s="30">
        <f t="shared" ca="1" si="131"/>
        <v>4.7019105182736318</v>
      </c>
      <c r="Z401" s="30">
        <f t="shared" ca="1" si="131"/>
        <v>10.790176562322177</v>
      </c>
      <c r="AA401" s="26">
        <v>393</v>
      </c>
      <c r="AB401" s="31">
        <f t="shared" ca="1" si="130"/>
        <v>16</v>
      </c>
      <c r="AC401" s="31">
        <f t="shared" ca="1" si="119"/>
        <v>37</v>
      </c>
      <c r="AD401" s="31">
        <f t="shared" ca="1" si="120"/>
        <v>5</v>
      </c>
      <c r="AE401" s="31">
        <f t="shared" ca="1" si="121"/>
        <v>11</v>
      </c>
      <c r="AF401" s="31">
        <f t="shared" ca="1" si="122"/>
        <v>52</v>
      </c>
      <c r="AG401" s="31">
        <f t="shared" ca="1" si="123"/>
        <v>25</v>
      </c>
      <c r="AH401" s="31">
        <f t="shared" ca="1" si="124"/>
        <v>7</v>
      </c>
      <c r="AI401" s="31">
        <f t="shared" ca="1" si="125"/>
        <v>21</v>
      </c>
      <c r="AJ401" s="31">
        <f t="shared" ca="1" si="126"/>
        <v>93</v>
      </c>
      <c r="AK401" s="31">
        <f t="shared" ca="1" si="127"/>
        <v>36</v>
      </c>
      <c r="AL401" s="31">
        <f t="shared" ca="1" si="128"/>
        <v>5</v>
      </c>
      <c r="AM401" s="31">
        <f t="shared" ca="1" si="129"/>
        <v>13</v>
      </c>
    </row>
    <row r="402" spans="14:39">
      <c r="N402" s="26">
        <v>394</v>
      </c>
      <c r="O402" s="30">
        <f t="shared" ca="1" si="131"/>
        <v>31.431279151219925</v>
      </c>
      <c r="P402" s="30">
        <f t="shared" ca="1" si="131"/>
        <v>11.042641501760295</v>
      </c>
      <c r="Q402" s="30">
        <f t="shared" ca="1" si="131"/>
        <v>18.273955160127809</v>
      </c>
      <c r="R402" s="30">
        <f t="shared" ca="1" si="131"/>
        <v>27.903784609055045</v>
      </c>
      <c r="S402" s="30">
        <f t="shared" ca="1" si="131"/>
        <v>25.980807871332221</v>
      </c>
      <c r="T402" s="30">
        <f t="shared" ca="1" si="131"/>
        <v>9.8054073552869507</v>
      </c>
      <c r="U402" s="30">
        <f t="shared" ca="1" si="131"/>
        <v>13.336915717687226</v>
      </c>
      <c r="V402" s="30">
        <f t="shared" ca="1" si="131"/>
        <v>26.132491172839799</v>
      </c>
      <c r="W402" s="30">
        <f t="shared" ca="1" si="131"/>
        <v>8.2304891736584782</v>
      </c>
      <c r="X402" s="30">
        <f t="shared" ca="1" si="131"/>
        <v>0.69354713641572696</v>
      </c>
      <c r="Y402" s="30">
        <f t="shared" ca="1" si="131"/>
        <v>20.610312415041914</v>
      </c>
      <c r="Z402" s="30">
        <f t="shared" ca="1" si="131"/>
        <v>15.377291993322178</v>
      </c>
      <c r="AA402" s="26">
        <v>394</v>
      </c>
      <c r="AB402" s="31">
        <f t="shared" ca="1" si="130"/>
        <v>95</v>
      </c>
      <c r="AC402" s="31">
        <f t="shared" ca="1" si="119"/>
        <v>14</v>
      </c>
      <c r="AD402" s="31">
        <f t="shared" ca="1" si="120"/>
        <v>27</v>
      </c>
      <c r="AE402" s="31">
        <f t="shared" ca="1" si="121"/>
        <v>60</v>
      </c>
      <c r="AF402" s="31">
        <f t="shared" ca="1" si="122"/>
        <v>50</v>
      </c>
      <c r="AG402" s="31">
        <f t="shared" ca="1" si="123"/>
        <v>12</v>
      </c>
      <c r="AH402" s="31">
        <f t="shared" ca="1" si="124"/>
        <v>17</v>
      </c>
      <c r="AI402" s="31">
        <f t="shared" ca="1" si="125"/>
        <v>51</v>
      </c>
      <c r="AJ402" s="31">
        <f t="shared" ca="1" si="126"/>
        <v>10</v>
      </c>
      <c r="AK402" s="31">
        <f t="shared" ca="1" si="127"/>
        <v>1</v>
      </c>
      <c r="AL402" s="31">
        <f t="shared" ca="1" si="128"/>
        <v>32</v>
      </c>
      <c r="AM402" s="31">
        <f t="shared" ca="1" si="129"/>
        <v>21</v>
      </c>
    </row>
    <row r="403" spans="14:39">
      <c r="N403" s="26">
        <v>395</v>
      </c>
      <c r="O403" s="30">
        <f t="shared" ca="1" si="131"/>
        <v>1.1657171216876969</v>
      </c>
      <c r="P403" s="30">
        <f t="shared" ca="1" si="131"/>
        <v>3.7405756732999071</v>
      </c>
      <c r="Q403" s="30">
        <f t="shared" ca="1" si="131"/>
        <v>23.815359451354187</v>
      </c>
      <c r="R403" s="30">
        <f t="shared" ca="1" si="131"/>
        <v>12.722000768801569</v>
      </c>
      <c r="S403" s="30">
        <f t="shared" ca="1" si="131"/>
        <v>3.7960393827234289</v>
      </c>
      <c r="T403" s="30">
        <f t="shared" ca="1" si="131"/>
        <v>3.9543215919735633</v>
      </c>
      <c r="U403" s="30">
        <f t="shared" ca="1" si="131"/>
        <v>29.169944632401528</v>
      </c>
      <c r="V403" s="30">
        <f t="shared" ca="1" si="131"/>
        <v>8.1140794956962239</v>
      </c>
      <c r="W403" s="30">
        <f t="shared" ca="1" si="131"/>
        <v>16.093715549377318</v>
      </c>
      <c r="X403" s="30">
        <f t="shared" ca="1" si="131"/>
        <v>15.848592425111324</v>
      </c>
      <c r="Y403" s="30">
        <f t="shared" ca="1" si="131"/>
        <v>3.0250787284638254</v>
      </c>
      <c r="Z403" s="30">
        <f t="shared" ca="1" si="131"/>
        <v>14.045073794943246</v>
      </c>
      <c r="AA403" s="26">
        <v>395</v>
      </c>
      <c r="AB403" s="31">
        <f t="shared" ca="1" si="130"/>
        <v>2</v>
      </c>
      <c r="AC403" s="31">
        <f t="shared" ca="1" si="119"/>
        <v>4</v>
      </c>
      <c r="AD403" s="31">
        <f t="shared" ca="1" si="120"/>
        <v>42</v>
      </c>
      <c r="AE403" s="31">
        <f t="shared" ca="1" si="121"/>
        <v>16</v>
      </c>
      <c r="AF403" s="31">
        <f t="shared" ca="1" si="122"/>
        <v>4</v>
      </c>
      <c r="AG403" s="31">
        <f t="shared" ca="1" si="123"/>
        <v>5</v>
      </c>
      <c r="AH403" s="31">
        <f t="shared" ca="1" si="124"/>
        <v>69</v>
      </c>
      <c r="AI403" s="31">
        <f t="shared" ca="1" si="125"/>
        <v>10</v>
      </c>
      <c r="AJ403" s="31">
        <f t="shared" ca="1" si="126"/>
        <v>22</v>
      </c>
      <c r="AK403" s="31">
        <f t="shared" ca="1" si="127"/>
        <v>22</v>
      </c>
      <c r="AL403" s="31">
        <f t="shared" ca="1" si="128"/>
        <v>4</v>
      </c>
      <c r="AM403" s="31">
        <f t="shared" ca="1" si="129"/>
        <v>18</v>
      </c>
    </row>
    <row r="404" spans="14:39">
      <c r="N404" s="26">
        <v>396</v>
      </c>
      <c r="O404" s="30">
        <f t="shared" ca="1" si="131"/>
        <v>11.052655207098852</v>
      </c>
      <c r="P404" s="30">
        <f t="shared" ca="1" si="131"/>
        <v>9.5897679190903418</v>
      </c>
      <c r="Q404" s="30">
        <f t="shared" ca="1" si="131"/>
        <v>4.2742767284369361</v>
      </c>
      <c r="R404" s="30">
        <f t="shared" ca="1" si="131"/>
        <v>10.050373234162469</v>
      </c>
      <c r="S404" s="30">
        <f t="shared" ca="1" si="131"/>
        <v>24.566269890197866</v>
      </c>
      <c r="T404" s="30">
        <f t="shared" ca="1" si="131"/>
        <v>25.224569456847249</v>
      </c>
      <c r="U404" s="30">
        <f t="shared" ca="1" si="131"/>
        <v>31.618032918460226</v>
      </c>
      <c r="V404" s="30">
        <f t="shared" ca="1" si="131"/>
        <v>17.415216259023495</v>
      </c>
      <c r="W404" s="30">
        <f t="shared" ca="1" si="131"/>
        <v>11.019681986180391</v>
      </c>
      <c r="X404" s="30">
        <f t="shared" ca="1" si="131"/>
        <v>4.7544981301492077</v>
      </c>
      <c r="Y404" s="30">
        <f t="shared" ca="1" si="131"/>
        <v>16.65772967494544</v>
      </c>
      <c r="Z404" s="30">
        <f t="shared" ca="1" si="131"/>
        <v>24.17429695528476</v>
      </c>
      <c r="AA404" s="26">
        <v>396</v>
      </c>
      <c r="AB404" s="31">
        <f t="shared" ca="1" si="130"/>
        <v>14</v>
      </c>
      <c r="AC404" s="31">
        <f t="shared" ca="1" si="119"/>
        <v>12</v>
      </c>
      <c r="AD404" s="31">
        <f t="shared" ca="1" si="120"/>
        <v>5</v>
      </c>
      <c r="AE404" s="31">
        <f t="shared" ca="1" si="121"/>
        <v>12</v>
      </c>
      <c r="AF404" s="31">
        <f t="shared" ca="1" si="122"/>
        <v>44</v>
      </c>
      <c r="AG404" s="31">
        <f t="shared" ca="1" si="123"/>
        <v>47</v>
      </c>
      <c r="AH404" s="31">
        <f t="shared" ca="1" si="124"/>
        <v>98</v>
      </c>
      <c r="AI404" s="31">
        <f t="shared" ca="1" si="125"/>
        <v>25</v>
      </c>
      <c r="AJ404" s="31">
        <f t="shared" ca="1" si="126"/>
        <v>14</v>
      </c>
      <c r="AK404" s="31">
        <f t="shared" ca="1" si="127"/>
        <v>6</v>
      </c>
      <c r="AL404" s="31">
        <f t="shared" ca="1" si="128"/>
        <v>23</v>
      </c>
      <c r="AM404" s="31">
        <f t="shared" ca="1" si="129"/>
        <v>43</v>
      </c>
    </row>
    <row r="405" spans="14:39">
      <c r="N405" s="26">
        <v>397</v>
      </c>
      <c r="O405" s="30">
        <f t="shared" ca="1" si="131"/>
        <v>33.136283871663473</v>
      </c>
      <c r="P405" s="30">
        <f t="shared" ca="1" si="131"/>
        <v>27.544089066320254</v>
      </c>
      <c r="Q405" s="30">
        <f t="shared" ca="1" si="131"/>
        <v>16.947979748207917</v>
      </c>
      <c r="R405" s="30">
        <f t="shared" ca="1" si="131"/>
        <v>32.430655532166881</v>
      </c>
      <c r="S405" s="30">
        <f t="shared" ca="1" si="131"/>
        <v>15.40094083364011</v>
      </c>
      <c r="T405" s="30">
        <f t="shared" ca="1" si="131"/>
        <v>14.601708138602445</v>
      </c>
      <c r="U405" s="30">
        <f t="shared" ca="1" si="131"/>
        <v>10.711351942730465</v>
      </c>
      <c r="V405" s="30">
        <f t="shared" ca="1" si="131"/>
        <v>9.7408452896579245</v>
      </c>
      <c r="W405" s="30">
        <f t="shared" ca="1" si="131"/>
        <v>1.6087259453142682</v>
      </c>
      <c r="X405" s="30">
        <f t="shared" ca="1" si="131"/>
        <v>12.080023016374872</v>
      </c>
      <c r="Y405" s="30">
        <f t="shared" ca="1" si="131"/>
        <v>14.004576020332735</v>
      </c>
      <c r="Z405" s="30">
        <f t="shared" ca="1" si="131"/>
        <v>5.7545573097080336</v>
      </c>
      <c r="AA405" s="26">
        <v>397</v>
      </c>
      <c r="AB405" s="31">
        <f t="shared" ca="1" si="130"/>
        <v>169</v>
      </c>
      <c r="AC405" s="31">
        <f t="shared" ca="1" si="119"/>
        <v>58</v>
      </c>
      <c r="AD405" s="31">
        <f t="shared" ca="1" si="120"/>
        <v>24</v>
      </c>
      <c r="AE405" s="31">
        <f t="shared" ca="1" si="121"/>
        <v>119</v>
      </c>
      <c r="AF405" s="31">
        <f t="shared" ca="1" si="122"/>
        <v>21</v>
      </c>
      <c r="AG405" s="31">
        <f t="shared" ca="1" si="123"/>
        <v>19</v>
      </c>
      <c r="AH405" s="31">
        <f t="shared" ca="1" si="124"/>
        <v>13</v>
      </c>
      <c r="AI405" s="31">
        <f t="shared" ca="1" si="125"/>
        <v>12</v>
      </c>
      <c r="AJ405" s="31">
        <f t="shared" ca="1" si="126"/>
        <v>2</v>
      </c>
      <c r="AK405" s="31">
        <f t="shared" ca="1" si="127"/>
        <v>15</v>
      </c>
      <c r="AL405" s="31">
        <f t="shared" ca="1" si="128"/>
        <v>18</v>
      </c>
      <c r="AM405" s="31">
        <f t="shared" ca="1" si="129"/>
        <v>7</v>
      </c>
    </row>
    <row r="406" spans="14:39">
      <c r="N406" s="26">
        <v>398</v>
      </c>
      <c r="O406" s="30">
        <f t="shared" ca="1" si="131"/>
        <v>18.196232624129301</v>
      </c>
      <c r="P406" s="30">
        <f t="shared" ca="1" si="131"/>
        <v>31.00376263843539</v>
      </c>
      <c r="Q406" s="30">
        <f t="shared" ca="1" si="131"/>
        <v>15.882027680112014</v>
      </c>
      <c r="R406" s="30">
        <f t="shared" ca="1" si="131"/>
        <v>9.9699375360437568</v>
      </c>
      <c r="S406" s="30">
        <f t="shared" ca="1" si="131"/>
        <v>18.870178561612878</v>
      </c>
      <c r="T406" s="30">
        <f t="shared" ca="1" si="131"/>
        <v>26.385221119470057</v>
      </c>
      <c r="U406" s="30">
        <f t="shared" ca="1" si="131"/>
        <v>20.556900287426949</v>
      </c>
      <c r="V406" s="30">
        <f t="shared" ca="1" si="131"/>
        <v>31.470956068407865</v>
      </c>
      <c r="W406" s="30">
        <f t="shared" ca="1" si="131"/>
        <v>1.3920834278536005</v>
      </c>
      <c r="X406" s="30">
        <f t="shared" ca="1" si="131"/>
        <v>5.7641487276376839</v>
      </c>
      <c r="Y406" s="30">
        <f t="shared" ca="1" si="131"/>
        <v>2.061667006971502</v>
      </c>
      <c r="Z406" s="30">
        <f t="shared" ca="1" si="131"/>
        <v>29.997713167339001</v>
      </c>
      <c r="AA406" s="26">
        <v>398</v>
      </c>
      <c r="AB406" s="31">
        <f t="shared" ca="1" si="130"/>
        <v>26</v>
      </c>
      <c r="AC406" s="31">
        <f t="shared" ca="1" si="119"/>
        <v>88</v>
      </c>
      <c r="AD406" s="31">
        <f t="shared" ca="1" si="120"/>
        <v>22</v>
      </c>
      <c r="AE406" s="31">
        <f t="shared" ca="1" si="121"/>
        <v>12</v>
      </c>
      <c r="AF406" s="31">
        <f t="shared" ca="1" si="122"/>
        <v>28</v>
      </c>
      <c r="AG406" s="31">
        <f t="shared" ca="1" si="123"/>
        <v>52</v>
      </c>
      <c r="AH406" s="31">
        <f t="shared" ca="1" si="124"/>
        <v>32</v>
      </c>
      <c r="AI406" s="31">
        <f t="shared" ca="1" si="125"/>
        <v>95</v>
      </c>
      <c r="AJ406" s="31">
        <f t="shared" ca="1" si="126"/>
        <v>2</v>
      </c>
      <c r="AK406" s="31">
        <f t="shared" ca="1" si="127"/>
        <v>7</v>
      </c>
      <c r="AL406" s="31">
        <f t="shared" ca="1" si="128"/>
        <v>3</v>
      </c>
      <c r="AM406" s="31">
        <f t="shared" ca="1" si="129"/>
        <v>76</v>
      </c>
    </row>
    <row r="407" spans="14:39">
      <c r="N407" s="26">
        <v>399</v>
      </c>
      <c r="O407" s="30">
        <f t="shared" ca="1" si="131"/>
        <v>19.57772720614156</v>
      </c>
      <c r="P407" s="30">
        <f t="shared" ca="1" si="131"/>
        <v>23.385470813044865</v>
      </c>
      <c r="Q407" s="30">
        <f t="shared" ca="1" si="131"/>
        <v>19.431697798602102</v>
      </c>
      <c r="R407" s="30">
        <f t="shared" ca="1" si="131"/>
        <v>9.0870138283384208</v>
      </c>
      <c r="S407" s="30">
        <f t="shared" ca="1" si="131"/>
        <v>29.855477608293992</v>
      </c>
      <c r="T407" s="30">
        <f t="shared" ca="1" si="131"/>
        <v>3.463025561558335</v>
      </c>
      <c r="U407" s="30">
        <f t="shared" ca="1" si="131"/>
        <v>21.316684356547153</v>
      </c>
      <c r="V407" s="30">
        <f t="shared" ca="1" si="131"/>
        <v>26.772577323783604</v>
      </c>
      <c r="W407" s="30">
        <f t="shared" ca="1" si="131"/>
        <v>30.680615448407313</v>
      </c>
      <c r="X407" s="30">
        <f t="shared" ca="1" si="131"/>
        <v>8.6157486115177448</v>
      </c>
      <c r="Y407" s="30">
        <f t="shared" ca="1" si="131"/>
        <v>3.8722185555223603</v>
      </c>
      <c r="Z407" s="30">
        <f t="shared" ca="1" si="131"/>
        <v>25.182505143726324</v>
      </c>
      <c r="AA407" s="26">
        <v>399</v>
      </c>
      <c r="AB407" s="31">
        <f t="shared" ca="1" si="130"/>
        <v>30</v>
      </c>
      <c r="AC407" s="31">
        <f t="shared" ca="1" si="119"/>
        <v>40</v>
      </c>
      <c r="AD407" s="31">
        <f t="shared" ca="1" si="120"/>
        <v>29</v>
      </c>
      <c r="AE407" s="31">
        <f t="shared" ca="1" si="121"/>
        <v>11</v>
      </c>
      <c r="AF407" s="31">
        <f t="shared" ca="1" si="122"/>
        <v>75</v>
      </c>
      <c r="AG407" s="31">
        <f t="shared" ca="1" si="123"/>
        <v>4</v>
      </c>
      <c r="AH407" s="31">
        <f t="shared" ca="1" si="124"/>
        <v>34</v>
      </c>
      <c r="AI407" s="31">
        <f t="shared" ca="1" si="125"/>
        <v>54</v>
      </c>
      <c r="AJ407" s="31">
        <f t="shared" ca="1" si="126"/>
        <v>84</v>
      </c>
      <c r="AK407" s="31">
        <f t="shared" ca="1" si="127"/>
        <v>10</v>
      </c>
      <c r="AL407" s="31">
        <f t="shared" ca="1" si="128"/>
        <v>5</v>
      </c>
      <c r="AM407" s="31">
        <f t="shared" ca="1" si="129"/>
        <v>47</v>
      </c>
    </row>
    <row r="408" spans="14:39">
      <c r="N408" s="26">
        <v>400</v>
      </c>
      <c r="O408" s="30">
        <f t="shared" ca="1" si="131"/>
        <v>11.963620471840297</v>
      </c>
      <c r="P408" s="30">
        <f t="shared" ca="1" si="131"/>
        <v>28.914405009524199</v>
      </c>
      <c r="Q408" s="30">
        <f t="shared" ca="1" si="131"/>
        <v>28.624799321158083</v>
      </c>
      <c r="R408" s="30">
        <f t="shared" ca="1" si="131"/>
        <v>2.6754497204180612</v>
      </c>
      <c r="S408" s="30">
        <f t="shared" ca="1" si="131"/>
        <v>7.197221003442098</v>
      </c>
      <c r="T408" s="30">
        <f t="shared" ca="1" si="131"/>
        <v>1.8823887241158732</v>
      </c>
      <c r="U408" s="30">
        <f t="shared" ca="1" si="131"/>
        <v>26.097339071390614</v>
      </c>
      <c r="V408" s="30">
        <f t="shared" ca="1" si="131"/>
        <v>1.1245528809593353</v>
      </c>
      <c r="W408" s="30">
        <f t="shared" ca="1" si="131"/>
        <v>6.4479052064906828</v>
      </c>
      <c r="X408" s="30">
        <f t="shared" ca="1" si="131"/>
        <v>32.602436237534164</v>
      </c>
      <c r="Y408" s="30">
        <f t="shared" ca="1" si="131"/>
        <v>12.39509538656233</v>
      </c>
      <c r="Z408" s="30">
        <f t="shared" ca="1" si="131"/>
        <v>5.4681648858648391</v>
      </c>
      <c r="AA408" s="26">
        <v>400</v>
      </c>
      <c r="AB408" s="31">
        <f t="shared" ca="1" si="130"/>
        <v>15</v>
      </c>
      <c r="AC408" s="31">
        <f t="shared" ca="1" si="119"/>
        <v>67</v>
      </c>
      <c r="AD408" s="31">
        <f t="shared" ca="1" si="120"/>
        <v>65</v>
      </c>
      <c r="AE408" s="31">
        <f t="shared" ca="1" si="121"/>
        <v>3</v>
      </c>
      <c r="AF408" s="31">
        <f t="shared" ca="1" si="122"/>
        <v>8</v>
      </c>
      <c r="AG408" s="31">
        <f t="shared" ca="1" si="123"/>
        <v>2</v>
      </c>
      <c r="AH408" s="31">
        <f t="shared" ca="1" si="124"/>
        <v>51</v>
      </c>
      <c r="AI408" s="31">
        <f t="shared" ca="1" si="125"/>
        <v>2</v>
      </c>
      <c r="AJ408" s="31">
        <f t="shared" ca="1" si="126"/>
        <v>8</v>
      </c>
      <c r="AK408" s="31">
        <f t="shared" ca="1" si="127"/>
        <v>126</v>
      </c>
      <c r="AL408" s="31">
        <f t="shared" ca="1" si="128"/>
        <v>16</v>
      </c>
      <c r="AM408" s="31">
        <f t="shared" ca="1" si="129"/>
        <v>6</v>
      </c>
    </row>
    <row r="409" spans="14:39">
      <c r="N409" s="26">
        <v>401</v>
      </c>
      <c r="O409" s="30">
        <f t="shared" ref="O409:Z418" ca="1" si="132">RAND()*sumweights</f>
        <v>31.116434318082483</v>
      </c>
      <c r="P409" s="30">
        <f t="shared" ca="1" si="132"/>
        <v>29.750544501774488</v>
      </c>
      <c r="Q409" s="30">
        <f t="shared" ca="1" si="132"/>
        <v>18.852373097684886</v>
      </c>
      <c r="R409" s="30">
        <f t="shared" ca="1" si="132"/>
        <v>19.201484382453959</v>
      </c>
      <c r="S409" s="30">
        <f t="shared" ca="1" si="132"/>
        <v>20.836254840938761</v>
      </c>
      <c r="T409" s="30">
        <f t="shared" ca="1" si="132"/>
        <v>9.8010235504552252</v>
      </c>
      <c r="U409" s="30">
        <f t="shared" ca="1" si="132"/>
        <v>12.414746116920673</v>
      </c>
      <c r="V409" s="30">
        <f t="shared" ca="1" si="132"/>
        <v>26.73052092285182</v>
      </c>
      <c r="W409" s="30">
        <f t="shared" ca="1" si="132"/>
        <v>21.121323521687113</v>
      </c>
      <c r="X409" s="30">
        <f t="shared" ca="1" si="132"/>
        <v>8.6320995151095481</v>
      </c>
      <c r="Y409" s="30">
        <f t="shared" ca="1" si="132"/>
        <v>6.9976357365223629</v>
      </c>
      <c r="Z409" s="30">
        <f t="shared" ca="1" si="132"/>
        <v>10.198158918638136</v>
      </c>
      <c r="AA409" s="26">
        <v>401</v>
      </c>
      <c r="AB409" s="31">
        <f t="shared" ca="1" si="130"/>
        <v>89</v>
      </c>
      <c r="AC409" s="31">
        <f t="shared" ca="1" si="119"/>
        <v>74</v>
      </c>
      <c r="AD409" s="31">
        <f t="shared" ca="1" si="120"/>
        <v>28</v>
      </c>
      <c r="AE409" s="31">
        <f t="shared" ca="1" si="121"/>
        <v>29</v>
      </c>
      <c r="AF409" s="31">
        <f t="shared" ca="1" si="122"/>
        <v>33</v>
      </c>
      <c r="AG409" s="31">
        <f t="shared" ca="1" si="123"/>
        <v>12</v>
      </c>
      <c r="AH409" s="31">
        <f t="shared" ca="1" si="124"/>
        <v>16</v>
      </c>
      <c r="AI409" s="31">
        <f t="shared" ca="1" si="125"/>
        <v>54</v>
      </c>
      <c r="AJ409" s="31">
        <f t="shared" ca="1" si="126"/>
        <v>33</v>
      </c>
      <c r="AK409" s="31">
        <f t="shared" ca="1" si="127"/>
        <v>10</v>
      </c>
      <c r="AL409" s="31">
        <f t="shared" ca="1" si="128"/>
        <v>8</v>
      </c>
      <c r="AM409" s="31">
        <f t="shared" ca="1" si="129"/>
        <v>12</v>
      </c>
    </row>
    <row r="410" spans="14:39">
      <c r="N410" s="26">
        <v>402</v>
      </c>
      <c r="O410" s="30">
        <f t="shared" ca="1" si="132"/>
        <v>7.9730606694062374</v>
      </c>
      <c r="P410" s="30">
        <f t="shared" ca="1" si="132"/>
        <v>12.496358829928136</v>
      </c>
      <c r="Q410" s="30">
        <f t="shared" ca="1" si="132"/>
        <v>10.666636215232966</v>
      </c>
      <c r="R410" s="30">
        <f t="shared" ca="1" si="132"/>
        <v>7.3701183435261468</v>
      </c>
      <c r="S410" s="30">
        <f t="shared" ca="1" si="132"/>
        <v>17.375620736741229</v>
      </c>
      <c r="T410" s="30">
        <f t="shared" ca="1" si="132"/>
        <v>15.798150866865686</v>
      </c>
      <c r="U410" s="30">
        <f t="shared" ca="1" si="132"/>
        <v>3.6848877131434081</v>
      </c>
      <c r="V410" s="30">
        <f t="shared" ca="1" si="132"/>
        <v>13.632748889846333</v>
      </c>
      <c r="W410" s="30">
        <f t="shared" ca="1" si="132"/>
        <v>24.950938194319484</v>
      </c>
      <c r="X410" s="30">
        <f t="shared" ca="1" si="132"/>
        <v>23.168277029102992</v>
      </c>
      <c r="Y410" s="30">
        <f t="shared" ca="1" si="132"/>
        <v>26.625579610522475</v>
      </c>
      <c r="Z410" s="30">
        <f t="shared" ca="1" si="132"/>
        <v>31.03608431444669</v>
      </c>
      <c r="AA410" s="26">
        <v>402</v>
      </c>
      <c r="AB410" s="31">
        <f t="shared" ca="1" si="130"/>
        <v>9</v>
      </c>
      <c r="AC410" s="31">
        <f t="shared" ca="1" si="119"/>
        <v>16</v>
      </c>
      <c r="AD410" s="31">
        <f t="shared" ca="1" si="120"/>
        <v>13</v>
      </c>
      <c r="AE410" s="31">
        <f t="shared" ca="1" si="121"/>
        <v>9</v>
      </c>
      <c r="AF410" s="31">
        <f t="shared" ca="1" si="122"/>
        <v>25</v>
      </c>
      <c r="AG410" s="31">
        <f t="shared" ca="1" si="123"/>
        <v>22</v>
      </c>
      <c r="AH410" s="31">
        <f t="shared" ca="1" si="124"/>
        <v>4</v>
      </c>
      <c r="AI410" s="31">
        <f t="shared" ca="1" si="125"/>
        <v>18</v>
      </c>
      <c r="AJ410" s="31">
        <f t="shared" ca="1" si="126"/>
        <v>46</v>
      </c>
      <c r="AK410" s="31">
        <f t="shared" ca="1" si="127"/>
        <v>39</v>
      </c>
      <c r="AL410" s="31">
        <f t="shared" ca="1" si="128"/>
        <v>53</v>
      </c>
      <c r="AM410" s="31">
        <f t="shared" ca="1" si="129"/>
        <v>88</v>
      </c>
    </row>
    <row r="411" spans="14:39">
      <c r="N411" s="26">
        <v>403</v>
      </c>
      <c r="O411" s="30">
        <f t="shared" ca="1" si="132"/>
        <v>19.520882425640707</v>
      </c>
      <c r="P411" s="30">
        <f t="shared" ca="1" si="132"/>
        <v>26.733034129038963</v>
      </c>
      <c r="Q411" s="30">
        <f t="shared" ca="1" si="132"/>
        <v>23.505243511768835</v>
      </c>
      <c r="R411" s="30">
        <f t="shared" ca="1" si="132"/>
        <v>17.820602919852114</v>
      </c>
      <c r="S411" s="30">
        <f t="shared" ca="1" si="132"/>
        <v>23.51482062682528</v>
      </c>
      <c r="T411" s="30">
        <f t="shared" ca="1" si="132"/>
        <v>1.7004953992965297</v>
      </c>
      <c r="U411" s="30">
        <f t="shared" ca="1" si="132"/>
        <v>0.22883767310404632</v>
      </c>
      <c r="V411" s="30">
        <f t="shared" ca="1" si="132"/>
        <v>19.944614864174895</v>
      </c>
      <c r="W411" s="30">
        <f t="shared" ca="1" si="132"/>
        <v>32.655504541317072</v>
      </c>
      <c r="X411" s="30">
        <f t="shared" ca="1" si="132"/>
        <v>19.817805284304853</v>
      </c>
      <c r="Y411" s="30">
        <f t="shared" ca="1" si="132"/>
        <v>6.1034430058523226</v>
      </c>
      <c r="Z411" s="30">
        <f t="shared" ca="1" si="132"/>
        <v>8.9615662058945382</v>
      </c>
      <c r="AA411" s="26">
        <v>403</v>
      </c>
      <c r="AB411" s="31">
        <f t="shared" ca="1" si="130"/>
        <v>29</v>
      </c>
      <c r="AC411" s="31">
        <f t="shared" ca="1" si="119"/>
        <v>54</v>
      </c>
      <c r="AD411" s="31">
        <f t="shared" ca="1" si="120"/>
        <v>41</v>
      </c>
      <c r="AE411" s="31">
        <f t="shared" ca="1" si="121"/>
        <v>26</v>
      </c>
      <c r="AF411" s="31">
        <f t="shared" ca="1" si="122"/>
        <v>41</v>
      </c>
      <c r="AG411" s="31">
        <f t="shared" ca="1" si="123"/>
        <v>2</v>
      </c>
      <c r="AH411" s="31">
        <f t="shared" ca="1" si="124"/>
        <v>1</v>
      </c>
      <c r="AI411" s="31">
        <f t="shared" ca="1" si="125"/>
        <v>30</v>
      </c>
      <c r="AJ411" s="31">
        <f t="shared" ca="1" si="126"/>
        <v>128</v>
      </c>
      <c r="AK411" s="31">
        <f t="shared" ca="1" si="127"/>
        <v>30</v>
      </c>
      <c r="AL411" s="31">
        <f t="shared" ca="1" si="128"/>
        <v>7</v>
      </c>
      <c r="AM411" s="31">
        <f t="shared" ca="1" si="129"/>
        <v>11</v>
      </c>
    </row>
    <row r="412" spans="14:39">
      <c r="N412" s="26">
        <v>404</v>
      </c>
      <c r="O412" s="30">
        <f t="shared" ca="1" si="132"/>
        <v>5.923892241680826</v>
      </c>
      <c r="P412" s="30">
        <f t="shared" ca="1" si="132"/>
        <v>3.0902114891673627</v>
      </c>
      <c r="Q412" s="30">
        <f t="shared" ca="1" si="132"/>
        <v>32.980323729069134</v>
      </c>
      <c r="R412" s="30">
        <f t="shared" ca="1" si="132"/>
        <v>4.7177941476484051</v>
      </c>
      <c r="S412" s="30">
        <f t="shared" ca="1" si="132"/>
        <v>6.2340728437018642</v>
      </c>
      <c r="T412" s="30">
        <f t="shared" ca="1" si="132"/>
        <v>0.94494530149128086</v>
      </c>
      <c r="U412" s="30">
        <f t="shared" ca="1" si="132"/>
        <v>10.803758503836209</v>
      </c>
      <c r="V412" s="30">
        <f t="shared" ca="1" si="132"/>
        <v>11.526745493042956</v>
      </c>
      <c r="W412" s="30">
        <f t="shared" ca="1" si="132"/>
        <v>21.350214677702244</v>
      </c>
      <c r="X412" s="30">
        <f t="shared" ca="1" si="132"/>
        <v>14.227315408295299</v>
      </c>
      <c r="Y412" s="30">
        <f t="shared" ca="1" si="132"/>
        <v>12.138050934978706</v>
      </c>
      <c r="Z412" s="30">
        <f t="shared" ca="1" si="132"/>
        <v>8.4150353815928671</v>
      </c>
      <c r="AA412" s="26">
        <v>404</v>
      </c>
      <c r="AB412" s="31">
        <f t="shared" ca="1" si="130"/>
        <v>7</v>
      </c>
      <c r="AC412" s="31">
        <f t="shared" ca="1" si="119"/>
        <v>4</v>
      </c>
      <c r="AD412" s="31">
        <f t="shared" ca="1" si="120"/>
        <v>150</v>
      </c>
      <c r="AE412" s="31">
        <f t="shared" ca="1" si="121"/>
        <v>6</v>
      </c>
      <c r="AF412" s="31">
        <f t="shared" ca="1" si="122"/>
        <v>7</v>
      </c>
      <c r="AG412" s="31">
        <f t="shared" ca="1" si="123"/>
        <v>1</v>
      </c>
      <c r="AH412" s="31">
        <f t="shared" ca="1" si="124"/>
        <v>13</v>
      </c>
      <c r="AI412" s="31">
        <f t="shared" ca="1" si="125"/>
        <v>14</v>
      </c>
      <c r="AJ412" s="31">
        <f t="shared" ca="1" si="126"/>
        <v>34</v>
      </c>
      <c r="AK412" s="31">
        <f t="shared" ca="1" si="127"/>
        <v>19</v>
      </c>
      <c r="AL412" s="31">
        <f t="shared" ca="1" si="128"/>
        <v>15</v>
      </c>
      <c r="AM412" s="31">
        <f t="shared" ca="1" si="129"/>
        <v>10</v>
      </c>
    </row>
    <row r="413" spans="14:39">
      <c r="N413" s="26">
        <v>405</v>
      </c>
      <c r="O413" s="30">
        <f t="shared" ca="1" si="132"/>
        <v>18.514955225573424</v>
      </c>
      <c r="P413" s="30">
        <f t="shared" ca="1" si="132"/>
        <v>32.327804709536082</v>
      </c>
      <c r="Q413" s="30">
        <f t="shared" ca="1" si="132"/>
        <v>27.82576351757606</v>
      </c>
      <c r="R413" s="30">
        <f t="shared" ca="1" si="132"/>
        <v>28.053076090856653</v>
      </c>
      <c r="S413" s="30">
        <f t="shared" ca="1" si="132"/>
        <v>19.680790675929252</v>
      </c>
      <c r="T413" s="30">
        <f t="shared" ca="1" si="132"/>
        <v>21.569957615905814</v>
      </c>
      <c r="U413" s="30">
        <f t="shared" ca="1" si="132"/>
        <v>20.15319715839864</v>
      </c>
      <c r="V413" s="30">
        <f t="shared" ca="1" si="132"/>
        <v>13.27374549254116</v>
      </c>
      <c r="W413" s="30">
        <f t="shared" ca="1" si="132"/>
        <v>5.2680470812152613</v>
      </c>
      <c r="X413" s="30">
        <f t="shared" ca="1" si="132"/>
        <v>2.1881312116357434</v>
      </c>
      <c r="Y413" s="30">
        <f t="shared" ca="1" si="132"/>
        <v>22.839271734469278</v>
      </c>
      <c r="Z413" s="30">
        <f t="shared" ca="1" si="132"/>
        <v>1.7296446146406663</v>
      </c>
      <c r="AA413" s="26">
        <v>405</v>
      </c>
      <c r="AB413" s="31">
        <f t="shared" ca="1" si="130"/>
        <v>27</v>
      </c>
      <c r="AC413" s="31">
        <f t="shared" ca="1" si="119"/>
        <v>115</v>
      </c>
      <c r="AD413" s="31">
        <f t="shared" ca="1" si="120"/>
        <v>60</v>
      </c>
      <c r="AE413" s="31">
        <f t="shared" ca="1" si="121"/>
        <v>61</v>
      </c>
      <c r="AF413" s="31">
        <f t="shared" ca="1" si="122"/>
        <v>30</v>
      </c>
      <c r="AG413" s="31">
        <f t="shared" ca="1" si="123"/>
        <v>35</v>
      </c>
      <c r="AH413" s="31">
        <f t="shared" ca="1" si="124"/>
        <v>31</v>
      </c>
      <c r="AI413" s="31">
        <f t="shared" ca="1" si="125"/>
        <v>17</v>
      </c>
      <c r="AJ413" s="31">
        <f t="shared" ca="1" si="126"/>
        <v>6</v>
      </c>
      <c r="AK413" s="31">
        <f t="shared" ca="1" si="127"/>
        <v>3</v>
      </c>
      <c r="AL413" s="31">
        <f t="shared" ca="1" si="128"/>
        <v>38</v>
      </c>
      <c r="AM413" s="31">
        <f t="shared" ca="1" si="129"/>
        <v>2</v>
      </c>
    </row>
    <row r="414" spans="14:39">
      <c r="N414" s="26">
        <v>406</v>
      </c>
      <c r="O414" s="30">
        <f t="shared" ca="1" si="132"/>
        <v>19.05307319203559</v>
      </c>
      <c r="P414" s="30">
        <f t="shared" ca="1" si="132"/>
        <v>26.261049983862129</v>
      </c>
      <c r="Q414" s="30">
        <f t="shared" ca="1" si="132"/>
        <v>18.331483559191927</v>
      </c>
      <c r="R414" s="30">
        <f t="shared" ca="1" si="132"/>
        <v>26.565646147465632</v>
      </c>
      <c r="S414" s="30">
        <f t="shared" ca="1" si="132"/>
        <v>25.194293383316559</v>
      </c>
      <c r="T414" s="30">
        <f t="shared" ca="1" si="132"/>
        <v>13.825142523844988</v>
      </c>
      <c r="U414" s="30">
        <f t="shared" ca="1" si="132"/>
        <v>14.822981125458853</v>
      </c>
      <c r="V414" s="30">
        <f t="shared" ca="1" si="132"/>
        <v>30.407622707217371</v>
      </c>
      <c r="W414" s="30">
        <f t="shared" ca="1" si="132"/>
        <v>28.657613695133996</v>
      </c>
      <c r="X414" s="30">
        <f t="shared" ca="1" si="132"/>
        <v>0.51654075330464932</v>
      </c>
      <c r="Y414" s="30">
        <f t="shared" ca="1" si="132"/>
        <v>31.348743202406062</v>
      </c>
      <c r="Z414" s="30">
        <f t="shared" ca="1" si="132"/>
        <v>22.569794230901309</v>
      </c>
      <c r="AA414" s="26">
        <v>406</v>
      </c>
      <c r="AB414" s="31">
        <f t="shared" ca="1" si="130"/>
        <v>28</v>
      </c>
      <c r="AC414" s="31">
        <f t="shared" ca="1" si="119"/>
        <v>51</v>
      </c>
      <c r="AD414" s="31">
        <f t="shared" ca="1" si="120"/>
        <v>27</v>
      </c>
      <c r="AE414" s="31">
        <f t="shared" ca="1" si="121"/>
        <v>53</v>
      </c>
      <c r="AF414" s="31">
        <f t="shared" ca="1" si="122"/>
        <v>47</v>
      </c>
      <c r="AG414" s="31">
        <f t="shared" ca="1" si="123"/>
        <v>18</v>
      </c>
      <c r="AH414" s="31">
        <f t="shared" ca="1" si="124"/>
        <v>20</v>
      </c>
      <c r="AI414" s="31">
        <f t="shared" ca="1" si="125"/>
        <v>80</v>
      </c>
      <c r="AJ414" s="31">
        <f t="shared" ca="1" si="126"/>
        <v>65</v>
      </c>
      <c r="AK414" s="31">
        <f t="shared" ca="1" si="127"/>
        <v>1</v>
      </c>
      <c r="AL414" s="31">
        <f t="shared" ca="1" si="128"/>
        <v>93</v>
      </c>
      <c r="AM414" s="31">
        <f t="shared" ca="1" si="129"/>
        <v>38</v>
      </c>
    </row>
    <row r="415" spans="14:39">
      <c r="N415" s="26">
        <v>407</v>
      </c>
      <c r="O415" s="30">
        <f t="shared" ca="1" si="132"/>
        <v>17.388238573373748</v>
      </c>
      <c r="P415" s="30">
        <f t="shared" ca="1" si="132"/>
        <v>17.670570853254521</v>
      </c>
      <c r="Q415" s="30">
        <f t="shared" ca="1" si="132"/>
        <v>5.3312898710860015</v>
      </c>
      <c r="R415" s="30">
        <f t="shared" ca="1" si="132"/>
        <v>2.9778822402101772</v>
      </c>
      <c r="S415" s="30">
        <f t="shared" ca="1" si="132"/>
        <v>13.265765919693754</v>
      </c>
      <c r="T415" s="30">
        <f t="shared" ca="1" si="132"/>
        <v>12.505312380083328</v>
      </c>
      <c r="U415" s="30">
        <f t="shared" ca="1" si="132"/>
        <v>7.618429724083347</v>
      </c>
      <c r="V415" s="30">
        <f t="shared" ca="1" si="132"/>
        <v>25.991087401491235</v>
      </c>
      <c r="W415" s="30">
        <f t="shared" ca="1" si="132"/>
        <v>18.154767177150031</v>
      </c>
      <c r="X415" s="30">
        <f t="shared" ca="1" si="132"/>
        <v>23.277549446020885</v>
      </c>
      <c r="Y415" s="30">
        <f t="shared" ca="1" si="132"/>
        <v>1.2204046652709755</v>
      </c>
      <c r="Z415" s="30">
        <f t="shared" ca="1" si="132"/>
        <v>27.811329769014662</v>
      </c>
      <c r="AA415" s="26">
        <v>407</v>
      </c>
      <c r="AB415" s="31">
        <f t="shared" ca="1" si="130"/>
        <v>25</v>
      </c>
      <c r="AC415" s="31">
        <f t="shared" ca="1" si="119"/>
        <v>25</v>
      </c>
      <c r="AD415" s="31">
        <f t="shared" ca="1" si="120"/>
        <v>6</v>
      </c>
      <c r="AE415" s="31">
        <f t="shared" ca="1" si="121"/>
        <v>4</v>
      </c>
      <c r="AF415" s="31">
        <f t="shared" ca="1" si="122"/>
        <v>17</v>
      </c>
      <c r="AG415" s="31">
        <f t="shared" ca="1" si="123"/>
        <v>16</v>
      </c>
      <c r="AH415" s="31">
        <f t="shared" ca="1" si="124"/>
        <v>9</v>
      </c>
      <c r="AI415" s="31">
        <f t="shared" ca="1" si="125"/>
        <v>50</v>
      </c>
      <c r="AJ415" s="31">
        <f t="shared" ca="1" si="126"/>
        <v>26</v>
      </c>
      <c r="AK415" s="31">
        <f t="shared" ca="1" si="127"/>
        <v>40</v>
      </c>
      <c r="AL415" s="31">
        <f t="shared" ca="1" si="128"/>
        <v>2</v>
      </c>
      <c r="AM415" s="31">
        <f t="shared" ca="1" si="129"/>
        <v>60</v>
      </c>
    </row>
    <row r="416" spans="14:39">
      <c r="N416" s="26">
        <v>408</v>
      </c>
      <c r="O416" s="30">
        <f t="shared" ca="1" si="132"/>
        <v>16.537532705701889</v>
      </c>
      <c r="P416" s="30">
        <f t="shared" ca="1" si="132"/>
        <v>0.33157748884783561</v>
      </c>
      <c r="Q416" s="30">
        <f t="shared" ca="1" si="132"/>
        <v>20.232099571656533</v>
      </c>
      <c r="R416" s="30">
        <f t="shared" ca="1" si="132"/>
        <v>2.9917556045202143</v>
      </c>
      <c r="S416" s="30">
        <f t="shared" ca="1" si="132"/>
        <v>32.106526247233361</v>
      </c>
      <c r="T416" s="30">
        <f t="shared" ca="1" si="132"/>
        <v>1.4630993876359344</v>
      </c>
      <c r="U416" s="30">
        <f t="shared" ca="1" si="132"/>
        <v>27.347473411594777</v>
      </c>
      <c r="V416" s="30">
        <f t="shared" ca="1" si="132"/>
        <v>20.398440467669847</v>
      </c>
      <c r="W416" s="30">
        <f t="shared" ca="1" si="132"/>
        <v>8.6635332719866351</v>
      </c>
      <c r="X416" s="30">
        <f t="shared" ca="1" si="132"/>
        <v>16.549957041822214</v>
      </c>
      <c r="Y416" s="30">
        <f t="shared" ca="1" si="132"/>
        <v>19.595095849464922</v>
      </c>
      <c r="Z416" s="30">
        <f t="shared" ca="1" si="132"/>
        <v>11.432421322399668</v>
      </c>
      <c r="AA416" s="26">
        <v>408</v>
      </c>
      <c r="AB416" s="31">
        <f t="shared" ca="1" si="130"/>
        <v>23</v>
      </c>
      <c r="AC416" s="31">
        <f t="shared" ca="1" si="119"/>
        <v>1</v>
      </c>
      <c r="AD416" s="31">
        <f t="shared" ca="1" si="120"/>
        <v>31</v>
      </c>
      <c r="AE416" s="31">
        <f t="shared" ca="1" si="121"/>
        <v>4</v>
      </c>
      <c r="AF416" s="31">
        <f t="shared" ca="1" si="122"/>
        <v>109</v>
      </c>
      <c r="AG416" s="31">
        <f t="shared" ca="1" si="123"/>
        <v>2</v>
      </c>
      <c r="AH416" s="31">
        <f t="shared" ca="1" si="124"/>
        <v>57</v>
      </c>
      <c r="AI416" s="31">
        <f t="shared" ca="1" si="125"/>
        <v>32</v>
      </c>
      <c r="AJ416" s="31">
        <f t="shared" ca="1" si="126"/>
        <v>10</v>
      </c>
      <c r="AK416" s="31">
        <f t="shared" ca="1" si="127"/>
        <v>23</v>
      </c>
      <c r="AL416" s="31">
        <f t="shared" ca="1" si="128"/>
        <v>30</v>
      </c>
      <c r="AM416" s="31">
        <f t="shared" ca="1" si="129"/>
        <v>14</v>
      </c>
    </row>
    <row r="417" spans="14:39">
      <c r="N417" s="26">
        <v>409</v>
      </c>
      <c r="O417" s="30">
        <f t="shared" ca="1" si="132"/>
        <v>30.274723042546782</v>
      </c>
      <c r="P417" s="30">
        <f t="shared" ca="1" si="132"/>
        <v>4.0914877369971867</v>
      </c>
      <c r="Q417" s="30">
        <f t="shared" ca="1" si="132"/>
        <v>13.481659809063316</v>
      </c>
      <c r="R417" s="30">
        <f t="shared" ca="1" si="132"/>
        <v>31.369481613389745</v>
      </c>
      <c r="S417" s="30">
        <f t="shared" ca="1" si="132"/>
        <v>10.499740850984121</v>
      </c>
      <c r="T417" s="30">
        <f t="shared" ca="1" si="132"/>
        <v>30.067594638527233</v>
      </c>
      <c r="U417" s="30">
        <f t="shared" ca="1" si="132"/>
        <v>13.798484227535093</v>
      </c>
      <c r="V417" s="30">
        <f t="shared" ca="1" si="132"/>
        <v>13.25140089920858</v>
      </c>
      <c r="W417" s="30">
        <f t="shared" ca="1" si="132"/>
        <v>8.6071613525128985</v>
      </c>
      <c r="X417" s="30">
        <f t="shared" ca="1" si="132"/>
        <v>22.321478300875473</v>
      </c>
      <c r="Y417" s="30">
        <f t="shared" ca="1" si="132"/>
        <v>7.7176586858459357</v>
      </c>
      <c r="Z417" s="30">
        <f t="shared" ca="1" si="132"/>
        <v>21.69672317382015</v>
      </c>
      <c r="AA417" s="26">
        <v>409</v>
      </c>
      <c r="AB417" s="31">
        <f t="shared" ca="1" si="130"/>
        <v>79</v>
      </c>
      <c r="AC417" s="31">
        <f t="shared" ca="1" si="119"/>
        <v>5</v>
      </c>
      <c r="AD417" s="31">
        <f t="shared" ca="1" si="120"/>
        <v>18</v>
      </c>
      <c r="AE417" s="31">
        <f t="shared" ca="1" si="121"/>
        <v>93</v>
      </c>
      <c r="AF417" s="31">
        <f t="shared" ca="1" si="122"/>
        <v>13</v>
      </c>
      <c r="AG417" s="31">
        <f t="shared" ca="1" si="123"/>
        <v>77</v>
      </c>
      <c r="AH417" s="31">
        <f t="shared" ca="1" si="124"/>
        <v>18</v>
      </c>
      <c r="AI417" s="31">
        <f t="shared" ca="1" si="125"/>
        <v>17</v>
      </c>
      <c r="AJ417" s="31">
        <f t="shared" ca="1" si="126"/>
        <v>10</v>
      </c>
      <c r="AK417" s="31">
        <f t="shared" ca="1" si="127"/>
        <v>37</v>
      </c>
      <c r="AL417" s="31">
        <f t="shared" ca="1" si="128"/>
        <v>9</v>
      </c>
      <c r="AM417" s="31">
        <f t="shared" ca="1" si="129"/>
        <v>35</v>
      </c>
    </row>
    <row r="418" spans="14:39">
      <c r="N418" s="26">
        <v>410</v>
      </c>
      <c r="O418" s="30">
        <f t="shared" ca="1" si="132"/>
        <v>7.8076858850038615</v>
      </c>
      <c r="P418" s="30">
        <f t="shared" ca="1" si="132"/>
        <v>32.189543783195447</v>
      </c>
      <c r="Q418" s="30">
        <f t="shared" ca="1" si="132"/>
        <v>32.042362328994585</v>
      </c>
      <c r="R418" s="30">
        <f t="shared" ca="1" si="132"/>
        <v>24.358593122340462</v>
      </c>
      <c r="S418" s="30">
        <f t="shared" ca="1" si="132"/>
        <v>8.3131146833832563</v>
      </c>
      <c r="T418" s="30">
        <f t="shared" ca="1" si="132"/>
        <v>2.6603635888598984</v>
      </c>
      <c r="U418" s="30">
        <f t="shared" ca="1" si="132"/>
        <v>25.155030769968981</v>
      </c>
      <c r="V418" s="30">
        <f t="shared" ca="1" si="132"/>
        <v>9.8781826318484178</v>
      </c>
      <c r="W418" s="30">
        <f t="shared" ca="1" si="132"/>
        <v>19.901668989174773</v>
      </c>
      <c r="X418" s="30">
        <f t="shared" ca="1" si="132"/>
        <v>26.078822593721284</v>
      </c>
      <c r="Y418" s="30">
        <f t="shared" ca="1" si="132"/>
        <v>13.954865800550804</v>
      </c>
      <c r="Z418" s="30">
        <f t="shared" ca="1" si="132"/>
        <v>2.2975358115862288</v>
      </c>
      <c r="AA418" s="26">
        <v>410</v>
      </c>
      <c r="AB418" s="31">
        <f t="shared" ca="1" si="130"/>
        <v>9</v>
      </c>
      <c r="AC418" s="31">
        <f t="shared" ca="1" si="119"/>
        <v>111</v>
      </c>
      <c r="AD418" s="31">
        <f t="shared" ca="1" si="120"/>
        <v>107</v>
      </c>
      <c r="AE418" s="31">
        <f t="shared" ca="1" si="121"/>
        <v>44</v>
      </c>
      <c r="AF418" s="31">
        <f t="shared" ca="1" si="122"/>
        <v>10</v>
      </c>
      <c r="AG418" s="31">
        <f t="shared" ca="1" si="123"/>
        <v>3</v>
      </c>
      <c r="AH418" s="31">
        <f t="shared" ca="1" si="124"/>
        <v>47</v>
      </c>
      <c r="AI418" s="31">
        <f t="shared" ca="1" si="125"/>
        <v>12</v>
      </c>
      <c r="AJ418" s="31">
        <f t="shared" ca="1" si="126"/>
        <v>30</v>
      </c>
      <c r="AK418" s="31">
        <f t="shared" ca="1" si="127"/>
        <v>51</v>
      </c>
      <c r="AL418" s="31">
        <f t="shared" ca="1" si="128"/>
        <v>18</v>
      </c>
      <c r="AM418" s="31">
        <f t="shared" ca="1" si="129"/>
        <v>3</v>
      </c>
    </row>
    <row r="419" spans="14:39">
      <c r="N419" s="26">
        <v>411</v>
      </c>
      <c r="O419" s="30">
        <f t="shared" ref="O419:Z428" ca="1" si="133">RAND()*sumweights</f>
        <v>1.8450189877085601</v>
      </c>
      <c r="P419" s="30">
        <f t="shared" ca="1" si="133"/>
        <v>31.045476699840012</v>
      </c>
      <c r="Q419" s="30">
        <f t="shared" ca="1" si="133"/>
        <v>32.066361125537171</v>
      </c>
      <c r="R419" s="30">
        <f t="shared" ca="1" si="133"/>
        <v>17.029373421827312</v>
      </c>
      <c r="S419" s="30">
        <f t="shared" ca="1" si="133"/>
        <v>26.868000186277133</v>
      </c>
      <c r="T419" s="30">
        <f t="shared" ca="1" si="133"/>
        <v>20.079083844971187</v>
      </c>
      <c r="U419" s="30">
        <f t="shared" ca="1" si="133"/>
        <v>26.597097872867408</v>
      </c>
      <c r="V419" s="30">
        <f t="shared" ca="1" si="133"/>
        <v>17.141513689046214</v>
      </c>
      <c r="W419" s="30">
        <f t="shared" ca="1" si="133"/>
        <v>5.2950342830574737</v>
      </c>
      <c r="X419" s="30">
        <f t="shared" ca="1" si="133"/>
        <v>31.746213457527517</v>
      </c>
      <c r="Y419" s="30">
        <f t="shared" ca="1" si="133"/>
        <v>12.273423098422658</v>
      </c>
      <c r="Z419" s="30">
        <f t="shared" ca="1" si="133"/>
        <v>9.0403620994984042</v>
      </c>
      <c r="AA419" s="26">
        <v>411</v>
      </c>
      <c r="AB419" s="31">
        <f t="shared" ca="1" si="130"/>
        <v>2</v>
      </c>
      <c r="AC419" s="31">
        <f t="shared" ca="1" si="119"/>
        <v>88</v>
      </c>
      <c r="AD419" s="31">
        <f t="shared" ca="1" si="120"/>
        <v>108</v>
      </c>
      <c r="AE419" s="31">
        <f t="shared" ca="1" si="121"/>
        <v>24</v>
      </c>
      <c r="AF419" s="31">
        <f t="shared" ca="1" si="122"/>
        <v>54</v>
      </c>
      <c r="AG419" s="31">
        <f t="shared" ca="1" si="123"/>
        <v>31</v>
      </c>
      <c r="AH419" s="31">
        <f t="shared" ca="1" si="124"/>
        <v>53</v>
      </c>
      <c r="AI419" s="31">
        <f t="shared" ca="1" si="125"/>
        <v>24</v>
      </c>
      <c r="AJ419" s="31">
        <f t="shared" ca="1" si="126"/>
        <v>6</v>
      </c>
      <c r="AK419" s="31">
        <f t="shared" ca="1" si="127"/>
        <v>100</v>
      </c>
      <c r="AL419" s="31">
        <f t="shared" ca="1" si="128"/>
        <v>16</v>
      </c>
      <c r="AM419" s="31">
        <f t="shared" ca="1" si="129"/>
        <v>11</v>
      </c>
    </row>
    <row r="420" spans="14:39">
      <c r="N420" s="26">
        <v>412</v>
      </c>
      <c r="O420" s="30">
        <f t="shared" ca="1" si="133"/>
        <v>9.762045950331343</v>
      </c>
      <c r="P420" s="30">
        <f t="shared" ca="1" si="133"/>
        <v>4.1429045181251691</v>
      </c>
      <c r="Q420" s="30">
        <f t="shared" ca="1" si="133"/>
        <v>15.32753917695358</v>
      </c>
      <c r="R420" s="30">
        <f t="shared" ca="1" si="133"/>
        <v>5.7760949320435344</v>
      </c>
      <c r="S420" s="30">
        <f t="shared" ca="1" si="133"/>
        <v>6.6693970261764015</v>
      </c>
      <c r="T420" s="30">
        <f t="shared" ca="1" si="133"/>
        <v>32.663182947412018</v>
      </c>
      <c r="U420" s="30">
        <f t="shared" ca="1" si="133"/>
        <v>14.576849410767251</v>
      </c>
      <c r="V420" s="30">
        <f t="shared" ca="1" si="133"/>
        <v>3.7618283130548371</v>
      </c>
      <c r="W420" s="30">
        <f t="shared" ca="1" si="133"/>
        <v>22.303918449589933</v>
      </c>
      <c r="X420" s="30">
        <f t="shared" ca="1" si="133"/>
        <v>3.2867354126422246</v>
      </c>
      <c r="Y420" s="30">
        <f t="shared" ca="1" si="133"/>
        <v>10.743256180504009</v>
      </c>
      <c r="Z420" s="30">
        <f t="shared" ca="1" si="133"/>
        <v>32.549786688803941</v>
      </c>
      <c r="AA420" s="26">
        <v>412</v>
      </c>
      <c r="AB420" s="31">
        <f t="shared" ca="1" si="130"/>
        <v>12</v>
      </c>
      <c r="AC420" s="31">
        <f t="shared" ca="1" si="119"/>
        <v>5</v>
      </c>
      <c r="AD420" s="31">
        <f t="shared" ca="1" si="120"/>
        <v>21</v>
      </c>
      <c r="AE420" s="31">
        <f t="shared" ca="1" si="121"/>
        <v>7</v>
      </c>
      <c r="AF420" s="31">
        <f t="shared" ca="1" si="122"/>
        <v>8</v>
      </c>
      <c r="AG420" s="31">
        <f t="shared" ca="1" si="123"/>
        <v>129</v>
      </c>
      <c r="AH420" s="31">
        <f t="shared" ca="1" si="124"/>
        <v>19</v>
      </c>
      <c r="AI420" s="31">
        <f t="shared" ca="1" si="125"/>
        <v>4</v>
      </c>
      <c r="AJ420" s="31">
        <f t="shared" ca="1" si="126"/>
        <v>37</v>
      </c>
      <c r="AK420" s="31">
        <f t="shared" ca="1" si="127"/>
        <v>4</v>
      </c>
      <c r="AL420" s="31">
        <f t="shared" ca="1" si="128"/>
        <v>13</v>
      </c>
      <c r="AM420" s="31">
        <f t="shared" ca="1" si="129"/>
        <v>124</v>
      </c>
    </row>
    <row r="421" spans="14:39">
      <c r="N421" s="26">
        <v>413</v>
      </c>
      <c r="O421" s="30">
        <f t="shared" ca="1" si="133"/>
        <v>5.9699634662032466</v>
      </c>
      <c r="P421" s="30">
        <f t="shared" ca="1" si="133"/>
        <v>13.007312021681246</v>
      </c>
      <c r="Q421" s="30">
        <f t="shared" ca="1" si="133"/>
        <v>11.752514508084113</v>
      </c>
      <c r="R421" s="30">
        <f t="shared" ca="1" si="133"/>
        <v>10.287345809203469</v>
      </c>
      <c r="S421" s="30">
        <f t="shared" ca="1" si="133"/>
        <v>13.687231470906877</v>
      </c>
      <c r="T421" s="30">
        <f t="shared" ca="1" si="133"/>
        <v>22.509144166673423</v>
      </c>
      <c r="U421" s="30">
        <f t="shared" ca="1" si="133"/>
        <v>17.358913735127398</v>
      </c>
      <c r="V421" s="30">
        <f t="shared" ca="1" si="133"/>
        <v>3.0257454774142758</v>
      </c>
      <c r="W421" s="30">
        <f t="shared" ca="1" si="133"/>
        <v>12.760016502158864</v>
      </c>
      <c r="X421" s="30">
        <f t="shared" ca="1" si="133"/>
        <v>18.423786264438949</v>
      </c>
      <c r="Y421" s="30">
        <f t="shared" ca="1" si="133"/>
        <v>4.415860908294353</v>
      </c>
      <c r="Z421" s="30">
        <f t="shared" ca="1" si="133"/>
        <v>25.849765413937352</v>
      </c>
      <c r="AA421" s="26">
        <v>413</v>
      </c>
      <c r="AB421" s="31">
        <f t="shared" ca="1" si="130"/>
        <v>7</v>
      </c>
      <c r="AC421" s="31">
        <f t="shared" ca="1" si="119"/>
        <v>17</v>
      </c>
      <c r="AD421" s="31">
        <f t="shared" ca="1" si="120"/>
        <v>15</v>
      </c>
      <c r="AE421" s="31">
        <f t="shared" ca="1" si="121"/>
        <v>13</v>
      </c>
      <c r="AF421" s="31">
        <f t="shared" ca="1" si="122"/>
        <v>18</v>
      </c>
      <c r="AG421" s="31">
        <f t="shared" ca="1" si="123"/>
        <v>37</v>
      </c>
      <c r="AH421" s="31">
        <f t="shared" ca="1" si="124"/>
        <v>25</v>
      </c>
      <c r="AI421" s="31">
        <f t="shared" ca="1" si="125"/>
        <v>4</v>
      </c>
      <c r="AJ421" s="31">
        <f t="shared" ca="1" si="126"/>
        <v>16</v>
      </c>
      <c r="AK421" s="31">
        <f t="shared" ca="1" si="127"/>
        <v>27</v>
      </c>
      <c r="AL421" s="31">
        <f t="shared" ca="1" si="128"/>
        <v>5</v>
      </c>
      <c r="AM421" s="31">
        <f t="shared" ca="1" si="129"/>
        <v>50</v>
      </c>
    </row>
    <row r="422" spans="14:39">
      <c r="N422" s="26">
        <v>414</v>
      </c>
      <c r="O422" s="30">
        <f t="shared" ca="1" si="133"/>
        <v>16.216893529699753</v>
      </c>
      <c r="P422" s="30">
        <f t="shared" ca="1" si="133"/>
        <v>31.650565859102091</v>
      </c>
      <c r="Q422" s="30">
        <f t="shared" ca="1" si="133"/>
        <v>19.368741563691646</v>
      </c>
      <c r="R422" s="30">
        <f t="shared" ca="1" si="133"/>
        <v>7.2418312095265565</v>
      </c>
      <c r="S422" s="30">
        <f t="shared" ca="1" si="133"/>
        <v>6.1047290214020951</v>
      </c>
      <c r="T422" s="30">
        <f t="shared" ca="1" si="133"/>
        <v>25.776232395303722</v>
      </c>
      <c r="U422" s="30">
        <f t="shared" ca="1" si="133"/>
        <v>18.173221801705491</v>
      </c>
      <c r="V422" s="30">
        <f t="shared" ca="1" si="133"/>
        <v>25.378484683332204</v>
      </c>
      <c r="W422" s="30">
        <f t="shared" ca="1" si="133"/>
        <v>9.7387330080470083</v>
      </c>
      <c r="X422" s="30">
        <f t="shared" ca="1" si="133"/>
        <v>11.355870808506845</v>
      </c>
      <c r="Y422" s="30">
        <f t="shared" ca="1" si="133"/>
        <v>16.337274241159371</v>
      </c>
      <c r="Z422" s="30">
        <f t="shared" ca="1" si="133"/>
        <v>26.954196600261852</v>
      </c>
      <c r="AA422" s="26">
        <v>414</v>
      </c>
      <c r="AB422" s="31">
        <f t="shared" ca="1" si="130"/>
        <v>22</v>
      </c>
      <c r="AC422" s="31">
        <f t="shared" ca="1" si="119"/>
        <v>99</v>
      </c>
      <c r="AD422" s="31">
        <f t="shared" ca="1" si="120"/>
        <v>29</v>
      </c>
      <c r="AE422" s="31">
        <f t="shared" ca="1" si="121"/>
        <v>9</v>
      </c>
      <c r="AF422" s="31">
        <f t="shared" ca="1" si="122"/>
        <v>7</v>
      </c>
      <c r="AG422" s="31">
        <f t="shared" ca="1" si="123"/>
        <v>49</v>
      </c>
      <c r="AH422" s="31">
        <f t="shared" ca="1" si="124"/>
        <v>26</v>
      </c>
      <c r="AI422" s="31">
        <f t="shared" ca="1" si="125"/>
        <v>48</v>
      </c>
      <c r="AJ422" s="31">
        <f t="shared" ca="1" si="126"/>
        <v>12</v>
      </c>
      <c r="AK422" s="31">
        <f t="shared" ca="1" si="127"/>
        <v>14</v>
      </c>
      <c r="AL422" s="31">
        <f t="shared" ca="1" si="128"/>
        <v>23</v>
      </c>
      <c r="AM422" s="31">
        <f t="shared" ca="1" si="129"/>
        <v>55</v>
      </c>
    </row>
    <row r="423" spans="14:39">
      <c r="N423" s="26">
        <v>415</v>
      </c>
      <c r="O423" s="30">
        <f t="shared" ca="1" si="133"/>
        <v>5.1667155721238061</v>
      </c>
      <c r="P423" s="30">
        <f t="shared" ca="1" si="133"/>
        <v>1.1031014143015927</v>
      </c>
      <c r="Q423" s="30">
        <f t="shared" ca="1" si="133"/>
        <v>25.657601494715387</v>
      </c>
      <c r="R423" s="30">
        <f t="shared" ca="1" si="133"/>
        <v>18.348658740192878</v>
      </c>
      <c r="S423" s="30">
        <f t="shared" ca="1" si="133"/>
        <v>18.510701753860857</v>
      </c>
      <c r="T423" s="30">
        <f t="shared" ca="1" si="133"/>
        <v>7.8243817316986242</v>
      </c>
      <c r="U423" s="30">
        <f t="shared" ca="1" si="133"/>
        <v>23.809894231955106</v>
      </c>
      <c r="V423" s="30">
        <f t="shared" ca="1" si="133"/>
        <v>12.917145948555447</v>
      </c>
      <c r="W423" s="30">
        <f t="shared" ca="1" si="133"/>
        <v>21.436296743704897</v>
      </c>
      <c r="X423" s="30">
        <f t="shared" ca="1" si="133"/>
        <v>8.7234434163863224</v>
      </c>
      <c r="Y423" s="30">
        <f t="shared" ca="1" si="133"/>
        <v>33.168905371849718</v>
      </c>
      <c r="Z423" s="30">
        <f t="shared" ca="1" si="133"/>
        <v>12.142760378831024</v>
      </c>
      <c r="AA423" s="26">
        <v>415</v>
      </c>
      <c r="AB423" s="31">
        <f t="shared" ca="1" si="130"/>
        <v>6</v>
      </c>
      <c r="AC423" s="31">
        <f t="shared" ca="1" si="119"/>
        <v>2</v>
      </c>
      <c r="AD423" s="31">
        <f t="shared" ca="1" si="120"/>
        <v>49</v>
      </c>
      <c r="AE423" s="31">
        <f t="shared" ca="1" si="121"/>
        <v>27</v>
      </c>
      <c r="AF423" s="31">
        <f t="shared" ca="1" si="122"/>
        <v>27</v>
      </c>
      <c r="AG423" s="31">
        <f t="shared" ca="1" si="123"/>
        <v>9</v>
      </c>
      <c r="AH423" s="31">
        <f t="shared" ca="1" si="124"/>
        <v>42</v>
      </c>
      <c r="AI423" s="31">
        <f t="shared" ca="1" si="125"/>
        <v>17</v>
      </c>
      <c r="AJ423" s="31">
        <f t="shared" ca="1" si="126"/>
        <v>34</v>
      </c>
      <c r="AK423" s="31">
        <f t="shared" ca="1" si="127"/>
        <v>10</v>
      </c>
      <c r="AL423" s="31">
        <f t="shared" ca="1" si="128"/>
        <v>175</v>
      </c>
      <c r="AM423" s="31">
        <f t="shared" ca="1" si="129"/>
        <v>15</v>
      </c>
    </row>
    <row r="424" spans="14:39">
      <c r="N424" s="26">
        <v>416</v>
      </c>
      <c r="O424" s="30">
        <f t="shared" ca="1" si="133"/>
        <v>6.5492716616341102</v>
      </c>
      <c r="P424" s="30">
        <f t="shared" ca="1" si="133"/>
        <v>3.8385878215768723</v>
      </c>
      <c r="Q424" s="30">
        <f t="shared" ca="1" si="133"/>
        <v>30.209838513569249</v>
      </c>
      <c r="R424" s="30">
        <f t="shared" ca="1" si="133"/>
        <v>21.401540237807172</v>
      </c>
      <c r="S424" s="30">
        <f t="shared" ca="1" si="133"/>
        <v>31.873433624048346</v>
      </c>
      <c r="T424" s="30">
        <f t="shared" ca="1" si="133"/>
        <v>9.900457519931658</v>
      </c>
      <c r="U424" s="30">
        <f t="shared" ca="1" si="133"/>
        <v>14.498205279113249</v>
      </c>
      <c r="V424" s="30">
        <f t="shared" ca="1" si="133"/>
        <v>19.139913992892737</v>
      </c>
      <c r="W424" s="30">
        <f t="shared" ca="1" si="133"/>
        <v>8.4650640001315285</v>
      </c>
      <c r="X424" s="30">
        <f t="shared" ca="1" si="133"/>
        <v>7.2051325154110994</v>
      </c>
      <c r="Y424" s="30">
        <f t="shared" ca="1" si="133"/>
        <v>12.280096843180711</v>
      </c>
      <c r="Z424" s="30">
        <f t="shared" ca="1" si="133"/>
        <v>15.816375085262232</v>
      </c>
      <c r="AA424" s="26">
        <v>416</v>
      </c>
      <c r="AB424" s="31">
        <f t="shared" ca="1" si="130"/>
        <v>8</v>
      </c>
      <c r="AC424" s="31">
        <f t="shared" ca="1" si="119"/>
        <v>5</v>
      </c>
      <c r="AD424" s="31">
        <f t="shared" ca="1" si="120"/>
        <v>78</v>
      </c>
      <c r="AE424" s="31">
        <f t="shared" ca="1" si="121"/>
        <v>34</v>
      </c>
      <c r="AF424" s="31">
        <f t="shared" ca="1" si="122"/>
        <v>103</v>
      </c>
      <c r="AG424" s="31">
        <f t="shared" ca="1" si="123"/>
        <v>12</v>
      </c>
      <c r="AH424" s="31">
        <f t="shared" ca="1" si="124"/>
        <v>19</v>
      </c>
      <c r="AI424" s="31">
        <f t="shared" ca="1" si="125"/>
        <v>29</v>
      </c>
      <c r="AJ424" s="31">
        <f t="shared" ca="1" si="126"/>
        <v>10</v>
      </c>
      <c r="AK424" s="31">
        <f t="shared" ca="1" si="127"/>
        <v>8</v>
      </c>
      <c r="AL424" s="31">
        <f t="shared" ca="1" si="128"/>
        <v>16</v>
      </c>
      <c r="AM424" s="31">
        <f t="shared" ca="1" si="129"/>
        <v>22</v>
      </c>
    </row>
    <row r="425" spans="14:39">
      <c r="N425" s="26">
        <v>417</v>
      </c>
      <c r="O425" s="30">
        <f t="shared" ca="1" si="133"/>
        <v>19.387850383857465</v>
      </c>
      <c r="P425" s="30">
        <f t="shared" ca="1" si="133"/>
        <v>7.8405518051864567</v>
      </c>
      <c r="Q425" s="30">
        <f t="shared" ca="1" si="133"/>
        <v>7.2951048004195025</v>
      </c>
      <c r="R425" s="30">
        <f t="shared" ca="1" si="133"/>
        <v>6.2645380200219272</v>
      </c>
      <c r="S425" s="30">
        <f t="shared" ca="1" si="133"/>
        <v>7.7640448927808201</v>
      </c>
      <c r="T425" s="30">
        <f t="shared" ca="1" si="133"/>
        <v>30.855040558471917</v>
      </c>
      <c r="U425" s="30">
        <f t="shared" ca="1" si="133"/>
        <v>28.469932203034773</v>
      </c>
      <c r="V425" s="30">
        <f t="shared" ca="1" si="133"/>
        <v>13.265766468232604</v>
      </c>
      <c r="W425" s="30">
        <f t="shared" ca="1" si="133"/>
        <v>21.503398002282069</v>
      </c>
      <c r="X425" s="30">
        <f t="shared" ca="1" si="133"/>
        <v>31.785371027187661</v>
      </c>
      <c r="Y425" s="30">
        <f t="shared" ca="1" si="133"/>
        <v>11.313988696845525</v>
      </c>
      <c r="Z425" s="30">
        <f t="shared" ca="1" si="133"/>
        <v>23.001321167608964</v>
      </c>
      <c r="AA425" s="26">
        <v>417</v>
      </c>
      <c r="AB425" s="31">
        <f t="shared" ca="1" si="130"/>
        <v>29</v>
      </c>
      <c r="AC425" s="31">
        <f t="shared" ca="1" si="119"/>
        <v>9</v>
      </c>
      <c r="AD425" s="31">
        <f t="shared" ca="1" si="120"/>
        <v>9</v>
      </c>
      <c r="AE425" s="31">
        <f t="shared" ca="1" si="121"/>
        <v>7</v>
      </c>
      <c r="AF425" s="31">
        <f t="shared" ca="1" si="122"/>
        <v>9</v>
      </c>
      <c r="AG425" s="31">
        <f t="shared" ca="1" si="123"/>
        <v>86</v>
      </c>
      <c r="AH425" s="31">
        <f t="shared" ca="1" si="124"/>
        <v>64</v>
      </c>
      <c r="AI425" s="31">
        <f t="shared" ca="1" si="125"/>
        <v>17</v>
      </c>
      <c r="AJ425" s="31">
        <f t="shared" ca="1" si="126"/>
        <v>35</v>
      </c>
      <c r="AK425" s="31">
        <f t="shared" ca="1" si="127"/>
        <v>101</v>
      </c>
      <c r="AL425" s="31">
        <f t="shared" ca="1" si="128"/>
        <v>14</v>
      </c>
      <c r="AM425" s="31">
        <f t="shared" ca="1" si="129"/>
        <v>39</v>
      </c>
    </row>
    <row r="426" spans="14:39">
      <c r="N426" s="26">
        <v>418</v>
      </c>
      <c r="O426" s="30">
        <f t="shared" ca="1" si="133"/>
        <v>21.590464557381907</v>
      </c>
      <c r="P426" s="30">
        <f t="shared" ca="1" si="133"/>
        <v>3.279105988564158</v>
      </c>
      <c r="Q426" s="30">
        <f t="shared" ca="1" si="133"/>
        <v>32.923179968762753</v>
      </c>
      <c r="R426" s="30">
        <f t="shared" ca="1" si="133"/>
        <v>6.1884126567250597</v>
      </c>
      <c r="S426" s="30">
        <f t="shared" ca="1" si="133"/>
        <v>18.608241854636649</v>
      </c>
      <c r="T426" s="30">
        <f t="shared" ca="1" si="133"/>
        <v>8.6002186128089448</v>
      </c>
      <c r="U426" s="30">
        <f t="shared" ca="1" si="133"/>
        <v>19.098242797176379</v>
      </c>
      <c r="V426" s="30">
        <f t="shared" ca="1" si="133"/>
        <v>31.955081036955878</v>
      </c>
      <c r="W426" s="30">
        <f t="shared" ca="1" si="133"/>
        <v>4.0742147003396978</v>
      </c>
      <c r="X426" s="30">
        <f t="shared" ca="1" si="133"/>
        <v>26.705710259853074</v>
      </c>
      <c r="Y426" s="30">
        <f t="shared" ca="1" si="133"/>
        <v>18.695942686412199</v>
      </c>
      <c r="Z426" s="30">
        <f t="shared" ca="1" si="133"/>
        <v>21.698156922497397</v>
      </c>
      <c r="AA426" s="26">
        <v>418</v>
      </c>
      <c r="AB426" s="31">
        <f t="shared" ca="1" si="130"/>
        <v>35</v>
      </c>
      <c r="AC426" s="31">
        <f t="shared" ca="1" si="119"/>
        <v>4</v>
      </c>
      <c r="AD426" s="31">
        <f t="shared" ca="1" si="120"/>
        <v>145</v>
      </c>
      <c r="AE426" s="31">
        <f t="shared" ca="1" si="121"/>
        <v>7</v>
      </c>
      <c r="AF426" s="31">
        <f t="shared" ca="1" si="122"/>
        <v>27</v>
      </c>
      <c r="AG426" s="31">
        <f t="shared" ca="1" si="123"/>
        <v>10</v>
      </c>
      <c r="AH426" s="31">
        <f t="shared" ca="1" si="124"/>
        <v>28</v>
      </c>
      <c r="AI426" s="31">
        <f t="shared" ca="1" si="125"/>
        <v>105</v>
      </c>
      <c r="AJ426" s="31">
        <f t="shared" ca="1" si="126"/>
        <v>5</v>
      </c>
      <c r="AK426" s="31">
        <f t="shared" ca="1" si="127"/>
        <v>54</v>
      </c>
      <c r="AL426" s="31">
        <f t="shared" ca="1" si="128"/>
        <v>28</v>
      </c>
      <c r="AM426" s="31">
        <f t="shared" ca="1" si="129"/>
        <v>35</v>
      </c>
    </row>
    <row r="427" spans="14:39">
      <c r="N427" s="26">
        <v>419</v>
      </c>
      <c r="O427" s="30">
        <f t="shared" ca="1" si="133"/>
        <v>7.4823689161348188</v>
      </c>
      <c r="P427" s="30">
        <f t="shared" ca="1" si="133"/>
        <v>29.372349828358711</v>
      </c>
      <c r="Q427" s="30">
        <f t="shared" ca="1" si="133"/>
        <v>30.427087231370582</v>
      </c>
      <c r="R427" s="30">
        <f t="shared" ca="1" si="133"/>
        <v>31.76757200064301</v>
      </c>
      <c r="S427" s="30">
        <f t="shared" ca="1" si="133"/>
        <v>15.177012068566075</v>
      </c>
      <c r="T427" s="30">
        <f t="shared" ca="1" si="133"/>
        <v>3.5071773977965282</v>
      </c>
      <c r="U427" s="30">
        <f t="shared" ca="1" si="133"/>
        <v>16.876478911881104</v>
      </c>
      <c r="V427" s="30">
        <f t="shared" ca="1" si="133"/>
        <v>23.070950523161258</v>
      </c>
      <c r="W427" s="30">
        <f t="shared" ca="1" si="133"/>
        <v>4.1271434160932259</v>
      </c>
      <c r="X427" s="30">
        <f t="shared" ca="1" si="133"/>
        <v>17.964626456693562</v>
      </c>
      <c r="Y427" s="30">
        <f t="shared" ca="1" si="133"/>
        <v>24.131959289357951</v>
      </c>
      <c r="Z427" s="30">
        <f t="shared" ca="1" si="133"/>
        <v>12.30357439343207</v>
      </c>
      <c r="AA427" s="26">
        <v>419</v>
      </c>
      <c r="AB427" s="31">
        <f t="shared" ca="1" si="130"/>
        <v>9</v>
      </c>
      <c r="AC427" s="31">
        <f t="shared" ca="1" si="119"/>
        <v>70</v>
      </c>
      <c r="AD427" s="31">
        <f t="shared" ca="1" si="120"/>
        <v>81</v>
      </c>
      <c r="AE427" s="31">
        <f t="shared" ca="1" si="121"/>
        <v>101</v>
      </c>
      <c r="AF427" s="31">
        <f t="shared" ca="1" si="122"/>
        <v>20</v>
      </c>
      <c r="AG427" s="31">
        <f t="shared" ca="1" si="123"/>
        <v>4</v>
      </c>
      <c r="AH427" s="31">
        <f t="shared" ca="1" si="124"/>
        <v>24</v>
      </c>
      <c r="AI427" s="31">
        <f t="shared" ca="1" si="125"/>
        <v>39</v>
      </c>
      <c r="AJ427" s="31">
        <f t="shared" ca="1" si="126"/>
        <v>5</v>
      </c>
      <c r="AK427" s="31">
        <f t="shared" ca="1" si="127"/>
        <v>26</v>
      </c>
      <c r="AL427" s="31">
        <f t="shared" ca="1" si="128"/>
        <v>43</v>
      </c>
      <c r="AM427" s="31">
        <f t="shared" ca="1" si="129"/>
        <v>16</v>
      </c>
    </row>
    <row r="428" spans="14:39">
      <c r="N428" s="26">
        <v>420</v>
      </c>
      <c r="O428" s="30">
        <f t="shared" ca="1" si="133"/>
        <v>20.167873810742716</v>
      </c>
      <c r="P428" s="30">
        <f t="shared" ca="1" si="133"/>
        <v>19.637321673667508</v>
      </c>
      <c r="Q428" s="30">
        <f t="shared" ca="1" si="133"/>
        <v>11.274754976148502</v>
      </c>
      <c r="R428" s="30">
        <f t="shared" ca="1" si="133"/>
        <v>5.4834057057514052</v>
      </c>
      <c r="S428" s="30">
        <f t="shared" ca="1" si="133"/>
        <v>1.6241290016647665</v>
      </c>
      <c r="T428" s="30">
        <f t="shared" ca="1" si="133"/>
        <v>28.503111798409925</v>
      </c>
      <c r="U428" s="30">
        <f t="shared" ca="1" si="133"/>
        <v>13.242946338146588</v>
      </c>
      <c r="V428" s="30">
        <f t="shared" ca="1" si="133"/>
        <v>13.241209352663114</v>
      </c>
      <c r="W428" s="30">
        <f t="shared" ca="1" si="133"/>
        <v>14.03099302354804</v>
      </c>
      <c r="X428" s="30">
        <f t="shared" ca="1" si="133"/>
        <v>22.227754091634221</v>
      </c>
      <c r="Y428" s="30">
        <f t="shared" ca="1" si="133"/>
        <v>2.43327923202621</v>
      </c>
      <c r="Z428" s="30">
        <f t="shared" ca="1" si="133"/>
        <v>7.7985261893916187</v>
      </c>
      <c r="AA428" s="26">
        <v>420</v>
      </c>
      <c r="AB428" s="31">
        <f t="shared" ca="1" si="130"/>
        <v>31</v>
      </c>
      <c r="AC428" s="31">
        <f t="shared" ca="1" si="119"/>
        <v>30</v>
      </c>
      <c r="AD428" s="31">
        <f t="shared" ca="1" si="120"/>
        <v>14</v>
      </c>
      <c r="AE428" s="31">
        <f t="shared" ca="1" si="121"/>
        <v>6</v>
      </c>
      <c r="AF428" s="31">
        <f t="shared" ca="1" si="122"/>
        <v>2</v>
      </c>
      <c r="AG428" s="31">
        <f t="shared" ca="1" si="123"/>
        <v>64</v>
      </c>
      <c r="AH428" s="31">
        <f t="shared" ca="1" si="124"/>
        <v>17</v>
      </c>
      <c r="AI428" s="31">
        <f t="shared" ca="1" si="125"/>
        <v>17</v>
      </c>
      <c r="AJ428" s="31">
        <f t="shared" ca="1" si="126"/>
        <v>18</v>
      </c>
      <c r="AK428" s="31">
        <f t="shared" ca="1" si="127"/>
        <v>37</v>
      </c>
      <c r="AL428" s="31">
        <f t="shared" ca="1" si="128"/>
        <v>3</v>
      </c>
      <c r="AM428" s="31">
        <f t="shared" ca="1" si="129"/>
        <v>9</v>
      </c>
    </row>
    <row r="429" spans="14:39">
      <c r="N429" s="26">
        <v>421</v>
      </c>
      <c r="O429" s="30">
        <f t="shared" ref="O429:Z438" ca="1" si="134">RAND()*sumweights</f>
        <v>31.507036364985662</v>
      </c>
      <c r="P429" s="30">
        <f t="shared" ca="1" si="134"/>
        <v>32.7727613631099</v>
      </c>
      <c r="Q429" s="30">
        <f t="shared" ca="1" si="134"/>
        <v>28.24176902708383</v>
      </c>
      <c r="R429" s="30">
        <f t="shared" ca="1" si="134"/>
        <v>6.7338613181984988</v>
      </c>
      <c r="S429" s="30">
        <f t="shared" ca="1" si="134"/>
        <v>31.414223172395435</v>
      </c>
      <c r="T429" s="30">
        <f t="shared" ca="1" si="134"/>
        <v>15.2064196091857</v>
      </c>
      <c r="U429" s="30">
        <f t="shared" ca="1" si="134"/>
        <v>19.634420279765145</v>
      </c>
      <c r="V429" s="30">
        <f t="shared" ca="1" si="134"/>
        <v>23.232717920418434</v>
      </c>
      <c r="W429" s="30">
        <f t="shared" ca="1" si="134"/>
        <v>1.8020813162900535</v>
      </c>
      <c r="X429" s="30">
        <f t="shared" ca="1" si="134"/>
        <v>33.023748933678313</v>
      </c>
      <c r="Y429" s="30">
        <f t="shared" ca="1" si="134"/>
        <v>27.735245508537488</v>
      </c>
      <c r="Z429" s="30">
        <f t="shared" ca="1" si="134"/>
        <v>17.492320567455867</v>
      </c>
      <c r="AA429" s="26">
        <v>421</v>
      </c>
      <c r="AB429" s="31">
        <f t="shared" ca="1" si="130"/>
        <v>96</v>
      </c>
      <c r="AC429" s="31">
        <f t="shared" ca="1" si="119"/>
        <v>135</v>
      </c>
      <c r="AD429" s="31">
        <f t="shared" ca="1" si="120"/>
        <v>62</v>
      </c>
      <c r="AE429" s="31">
        <f t="shared" ca="1" si="121"/>
        <v>8</v>
      </c>
      <c r="AF429" s="31">
        <f t="shared" ca="1" si="122"/>
        <v>94</v>
      </c>
      <c r="AG429" s="31">
        <f t="shared" ca="1" si="123"/>
        <v>20</v>
      </c>
      <c r="AH429" s="31">
        <f t="shared" ca="1" si="124"/>
        <v>30</v>
      </c>
      <c r="AI429" s="31">
        <f t="shared" ca="1" si="125"/>
        <v>40</v>
      </c>
      <c r="AJ429" s="31">
        <f t="shared" ca="1" si="126"/>
        <v>2</v>
      </c>
      <c r="AK429" s="31">
        <f t="shared" ca="1" si="127"/>
        <v>154</v>
      </c>
      <c r="AL429" s="31">
        <f t="shared" ca="1" si="128"/>
        <v>59</v>
      </c>
      <c r="AM429" s="31">
        <f t="shared" ca="1" si="129"/>
        <v>25</v>
      </c>
    </row>
    <row r="430" spans="14:39">
      <c r="N430" s="26">
        <v>422</v>
      </c>
      <c r="O430" s="30">
        <f t="shared" ca="1" si="134"/>
        <v>7.8466599989566141</v>
      </c>
      <c r="P430" s="30">
        <f t="shared" ca="1" si="134"/>
        <v>15.651940380331849</v>
      </c>
      <c r="Q430" s="30">
        <f t="shared" ca="1" si="134"/>
        <v>10.533858094381902</v>
      </c>
      <c r="R430" s="30">
        <f t="shared" ca="1" si="134"/>
        <v>29.737177787971046</v>
      </c>
      <c r="S430" s="30">
        <f t="shared" ca="1" si="134"/>
        <v>20.837701931294657</v>
      </c>
      <c r="T430" s="30">
        <f t="shared" ca="1" si="134"/>
        <v>20.04450064649474</v>
      </c>
      <c r="U430" s="30">
        <f t="shared" ca="1" si="134"/>
        <v>18.281333163286401</v>
      </c>
      <c r="V430" s="30">
        <f t="shared" ca="1" si="134"/>
        <v>6.5539259400182583</v>
      </c>
      <c r="W430" s="30">
        <f t="shared" ca="1" si="134"/>
        <v>0.12271649727096715</v>
      </c>
      <c r="X430" s="30">
        <f t="shared" ca="1" si="134"/>
        <v>5.8930140069275989</v>
      </c>
      <c r="Y430" s="30">
        <f t="shared" ca="1" si="134"/>
        <v>7.2208573576360537</v>
      </c>
      <c r="Z430" s="30">
        <f t="shared" ca="1" si="134"/>
        <v>7.7955394698290519</v>
      </c>
      <c r="AA430" s="26">
        <v>422</v>
      </c>
      <c r="AB430" s="31">
        <f t="shared" ca="1" si="130"/>
        <v>9</v>
      </c>
      <c r="AC430" s="31">
        <f t="shared" ca="1" si="119"/>
        <v>21</v>
      </c>
      <c r="AD430" s="31">
        <f t="shared" ca="1" si="120"/>
        <v>13</v>
      </c>
      <c r="AE430" s="31">
        <f t="shared" ca="1" si="121"/>
        <v>74</v>
      </c>
      <c r="AF430" s="31">
        <f t="shared" ca="1" si="122"/>
        <v>33</v>
      </c>
      <c r="AG430" s="31">
        <f t="shared" ca="1" si="123"/>
        <v>31</v>
      </c>
      <c r="AH430" s="31">
        <f t="shared" ca="1" si="124"/>
        <v>27</v>
      </c>
      <c r="AI430" s="31">
        <f t="shared" ca="1" si="125"/>
        <v>8</v>
      </c>
      <c r="AJ430" s="31">
        <f t="shared" ca="1" si="126"/>
        <v>1</v>
      </c>
      <c r="AK430" s="31">
        <f t="shared" ca="1" si="127"/>
        <v>7</v>
      </c>
      <c r="AL430" s="31">
        <f t="shared" ca="1" si="128"/>
        <v>9</v>
      </c>
      <c r="AM430" s="31">
        <f t="shared" ca="1" si="129"/>
        <v>9</v>
      </c>
    </row>
    <row r="431" spans="14:39">
      <c r="N431" s="26">
        <v>423</v>
      </c>
      <c r="O431" s="30">
        <f t="shared" ca="1" si="134"/>
        <v>13.453590861078315</v>
      </c>
      <c r="P431" s="30">
        <f t="shared" ca="1" si="134"/>
        <v>22.25207834495145</v>
      </c>
      <c r="Q431" s="30">
        <f t="shared" ca="1" si="134"/>
        <v>6.3384546516870302</v>
      </c>
      <c r="R431" s="30">
        <f t="shared" ca="1" si="134"/>
        <v>27.131702467590753</v>
      </c>
      <c r="S431" s="30">
        <f t="shared" ca="1" si="134"/>
        <v>15.407396680868976</v>
      </c>
      <c r="T431" s="30">
        <f t="shared" ca="1" si="134"/>
        <v>14.906178357666947</v>
      </c>
      <c r="U431" s="30">
        <f t="shared" ca="1" si="134"/>
        <v>31.236802058377314</v>
      </c>
      <c r="V431" s="30">
        <f t="shared" ca="1" si="134"/>
        <v>30.040632847974205</v>
      </c>
      <c r="W431" s="30">
        <f t="shared" ca="1" si="134"/>
        <v>24.189522028520734</v>
      </c>
      <c r="X431" s="30">
        <f t="shared" ca="1" si="134"/>
        <v>7.9076866640057331</v>
      </c>
      <c r="Y431" s="30">
        <f t="shared" ca="1" si="134"/>
        <v>8.7188758602073495</v>
      </c>
      <c r="Z431" s="30">
        <f t="shared" ca="1" si="134"/>
        <v>13.532723532439357</v>
      </c>
      <c r="AA431" s="26">
        <v>423</v>
      </c>
      <c r="AB431" s="31">
        <f t="shared" ca="1" si="130"/>
        <v>17</v>
      </c>
      <c r="AC431" s="31">
        <f t="shared" ca="1" si="119"/>
        <v>37</v>
      </c>
      <c r="AD431" s="31">
        <f t="shared" ca="1" si="120"/>
        <v>7</v>
      </c>
      <c r="AE431" s="31">
        <f t="shared" ca="1" si="121"/>
        <v>56</v>
      </c>
      <c r="AF431" s="31">
        <f t="shared" ca="1" si="122"/>
        <v>21</v>
      </c>
      <c r="AG431" s="31">
        <f t="shared" ca="1" si="123"/>
        <v>20</v>
      </c>
      <c r="AH431" s="31">
        <f t="shared" ca="1" si="124"/>
        <v>91</v>
      </c>
      <c r="AI431" s="31">
        <f t="shared" ca="1" si="125"/>
        <v>76</v>
      </c>
      <c r="AJ431" s="31">
        <f t="shared" ca="1" si="126"/>
        <v>43</v>
      </c>
      <c r="AK431" s="31">
        <f t="shared" ca="1" si="127"/>
        <v>9</v>
      </c>
      <c r="AL431" s="31">
        <f t="shared" ca="1" si="128"/>
        <v>10</v>
      </c>
      <c r="AM431" s="31">
        <f t="shared" ca="1" si="129"/>
        <v>18</v>
      </c>
    </row>
    <row r="432" spans="14:39">
      <c r="N432" s="26">
        <v>424</v>
      </c>
      <c r="O432" s="30">
        <f t="shared" ca="1" si="134"/>
        <v>20.851893730848705</v>
      </c>
      <c r="P432" s="30">
        <f t="shared" ca="1" si="134"/>
        <v>2.1188790422665864</v>
      </c>
      <c r="Q432" s="30">
        <f t="shared" ca="1" si="134"/>
        <v>22.321053946345948</v>
      </c>
      <c r="R432" s="30">
        <f t="shared" ca="1" si="134"/>
        <v>30.707077990965622</v>
      </c>
      <c r="S432" s="30">
        <f t="shared" ca="1" si="134"/>
        <v>32.737845215343526</v>
      </c>
      <c r="T432" s="30">
        <f t="shared" ca="1" si="134"/>
        <v>26.03505419748355</v>
      </c>
      <c r="U432" s="30">
        <f t="shared" ca="1" si="134"/>
        <v>12.544510433917823</v>
      </c>
      <c r="V432" s="30">
        <f t="shared" ca="1" si="134"/>
        <v>2.7069906410728501</v>
      </c>
      <c r="W432" s="30">
        <f t="shared" ca="1" si="134"/>
        <v>21.480763674022992</v>
      </c>
      <c r="X432" s="30">
        <f t="shared" ca="1" si="134"/>
        <v>32.027447964337235</v>
      </c>
      <c r="Y432" s="30">
        <f t="shared" ca="1" si="134"/>
        <v>23.369097837218607</v>
      </c>
      <c r="Z432" s="30">
        <f t="shared" ca="1" si="134"/>
        <v>30.561734025089226</v>
      </c>
      <c r="AA432" s="26">
        <v>424</v>
      </c>
      <c r="AB432" s="31">
        <f t="shared" ca="1" si="130"/>
        <v>33</v>
      </c>
      <c r="AC432" s="31">
        <f t="shared" ca="1" si="119"/>
        <v>3</v>
      </c>
      <c r="AD432" s="31">
        <f t="shared" ca="1" si="120"/>
        <v>37</v>
      </c>
      <c r="AE432" s="31">
        <f t="shared" ca="1" si="121"/>
        <v>84</v>
      </c>
      <c r="AF432" s="31">
        <f t="shared" ca="1" si="122"/>
        <v>133</v>
      </c>
      <c r="AG432" s="31">
        <f t="shared" ca="1" si="123"/>
        <v>50</v>
      </c>
      <c r="AH432" s="31">
        <f t="shared" ca="1" si="124"/>
        <v>16</v>
      </c>
      <c r="AI432" s="31">
        <f t="shared" ca="1" si="125"/>
        <v>3</v>
      </c>
      <c r="AJ432" s="31">
        <f t="shared" ca="1" si="126"/>
        <v>34</v>
      </c>
      <c r="AK432" s="31">
        <f t="shared" ca="1" si="127"/>
        <v>107</v>
      </c>
      <c r="AL432" s="31">
        <f t="shared" ca="1" si="128"/>
        <v>40</v>
      </c>
      <c r="AM432" s="31">
        <f t="shared" ca="1" si="129"/>
        <v>82</v>
      </c>
    </row>
    <row r="433" spans="14:39">
      <c r="N433" s="26">
        <v>425</v>
      </c>
      <c r="O433" s="30">
        <f t="shared" ca="1" si="134"/>
        <v>1.5020380508072144</v>
      </c>
      <c r="P433" s="30">
        <f t="shared" ca="1" si="134"/>
        <v>31.017597921494477</v>
      </c>
      <c r="Q433" s="30">
        <f t="shared" ca="1" si="134"/>
        <v>25.178104497906219</v>
      </c>
      <c r="R433" s="30">
        <f t="shared" ca="1" si="134"/>
        <v>30.633927293639008</v>
      </c>
      <c r="S433" s="30">
        <f t="shared" ca="1" si="134"/>
        <v>11.596143170157767</v>
      </c>
      <c r="T433" s="30">
        <f t="shared" ca="1" si="134"/>
        <v>6.2023466103488643</v>
      </c>
      <c r="U433" s="30">
        <f t="shared" ca="1" si="134"/>
        <v>31.273160300193798</v>
      </c>
      <c r="V433" s="30">
        <f t="shared" ca="1" si="134"/>
        <v>18.219050011704741</v>
      </c>
      <c r="W433" s="30">
        <f t="shared" ca="1" si="134"/>
        <v>20.967637376047737</v>
      </c>
      <c r="X433" s="30">
        <f t="shared" ca="1" si="134"/>
        <v>17.426014511508992</v>
      </c>
      <c r="Y433" s="30">
        <f t="shared" ca="1" si="134"/>
        <v>11.750725096783516</v>
      </c>
      <c r="Z433" s="30">
        <f t="shared" ca="1" si="134"/>
        <v>3.6503695146741393</v>
      </c>
      <c r="AA433" s="26">
        <v>425</v>
      </c>
      <c r="AB433" s="31">
        <f t="shared" ca="1" si="130"/>
        <v>2</v>
      </c>
      <c r="AC433" s="31">
        <f t="shared" ca="1" si="119"/>
        <v>88</v>
      </c>
      <c r="AD433" s="31">
        <f t="shared" ca="1" si="120"/>
        <v>47</v>
      </c>
      <c r="AE433" s="31">
        <f t="shared" ca="1" si="121"/>
        <v>83</v>
      </c>
      <c r="AF433" s="31">
        <f t="shared" ca="1" si="122"/>
        <v>15</v>
      </c>
      <c r="AG433" s="31">
        <f t="shared" ca="1" si="123"/>
        <v>7</v>
      </c>
      <c r="AH433" s="31">
        <f t="shared" ca="1" si="124"/>
        <v>92</v>
      </c>
      <c r="AI433" s="31">
        <f t="shared" ca="1" si="125"/>
        <v>26</v>
      </c>
      <c r="AJ433" s="31">
        <f t="shared" ca="1" si="126"/>
        <v>33</v>
      </c>
      <c r="AK433" s="31">
        <f t="shared" ca="1" si="127"/>
        <v>25</v>
      </c>
      <c r="AL433" s="31">
        <f t="shared" ca="1" si="128"/>
        <v>15</v>
      </c>
      <c r="AM433" s="31">
        <f t="shared" ca="1" si="129"/>
        <v>4</v>
      </c>
    </row>
    <row r="434" spans="14:39">
      <c r="N434" s="26">
        <v>426</v>
      </c>
      <c r="O434" s="30">
        <f t="shared" ca="1" si="134"/>
        <v>31.560809536973512</v>
      </c>
      <c r="P434" s="30">
        <f t="shared" ca="1" si="134"/>
        <v>7.3604213406649404</v>
      </c>
      <c r="Q434" s="30">
        <f t="shared" ca="1" si="134"/>
        <v>21.251949197524905</v>
      </c>
      <c r="R434" s="30">
        <f t="shared" ca="1" si="134"/>
        <v>15.250520546787678</v>
      </c>
      <c r="S434" s="30">
        <f t="shared" ca="1" si="134"/>
        <v>4.8394004105004536</v>
      </c>
      <c r="T434" s="30">
        <f t="shared" ca="1" si="134"/>
        <v>12.077453494640325</v>
      </c>
      <c r="U434" s="30">
        <f t="shared" ca="1" si="134"/>
        <v>18.773852661121474</v>
      </c>
      <c r="V434" s="30">
        <f t="shared" ca="1" si="134"/>
        <v>11.598658634491294</v>
      </c>
      <c r="W434" s="30">
        <f t="shared" ca="1" si="134"/>
        <v>17.409132438002842</v>
      </c>
      <c r="X434" s="30">
        <f t="shared" ca="1" si="134"/>
        <v>32.383170465550378</v>
      </c>
      <c r="Y434" s="30">
        <f t="shared" ca="1" si="134"/>
        <v>26.269269202651998</v>
      </c>
      <c r="Z434" s="30">
        <f t="shared" ca="1" si="134"/>
        <v>16.612089525871628</v>
      </c>
      <c r="AA434" s="26">
        <v>426</v>
      </c>
      <c r="AB434" s="31">
        <f t="shared" ca="1" si="130"/>
        <v>97</v>
      </c>
      <c r="AC434" s="31">
        <f t="shared" ca="1" si="119"/>
        <v>9</v>
      </c>
      <c r="AD434" s="31">
        <f t="shared" ca="1" si="120"/>
        <v>34</v>
      </c>
      <c r="AE434" s="31">
        <f t="shared" ca="1" si="121"/>
        <v>21</v>
      </c>
      <c r="AF434" s="31">
        <f t="shared" ca="1" si="122"/>
        <v>6</v>
      </c>
      <c r="AG434" s="31">
        <f t="shared" ca="1" si="123"/>
        <v>15</v>
      </c>
      <c r="AH434" s="31">
        <f t="shared" ca="1" si="124"/>
        <v>28</v>
      </c>
      <c r="AI434" s="31">
        <f t="shared" ca="1" si="125"/>
        <v>15</v>
      </c>
      <c r="AJ434" s="31">
        <f t="shared" ca="1" si="126"/>
        <v>25</v>
      </c>
      <c r="AK434" s="31">
        <f t="shared" ca="1" si="127"/>
        <v>117</v>
      </c>
      <c r="AL434" s="31">
        <f t="shared" ca="1" si="128"/>
        <v>51</v>
      </c>
      <c r="AM434" s="31">
        <f t="shared" ca="1" si="129"/>
        <v>23</v>
      </c>
    </row>
    <row r="435" spans="14:39">
      <c r="N435" s="26">
        <v>427</v>
      </c>
      <c r="O435" s="30">
        <f t="shared" ca="1" si="134"/>
        <v>18.15100017493052</v>
      </c>
      <c r="P435" s="30">
        <f t="shared" ca="1" si="134"/>
        <v>13.594675219842339</v>
      </c>
      <c r="Q435" s="30">
        <f t="shared" ca="1" si="134"/>
        <v>3.2469618461156911</v>
      </c>
      <c r="R435" s="30">
        <f t="shared" ca="1" si="134"/>
        <v>32.054654551675988</v>
      </c>
      <c r="S435" s="30">
        <f t="shared" ca="1" si="134"/>
        <v>12.845618249686101</v>
      </c>
      <c r="T435" s="30">
        <f t="shared" ca="1" si="134"/>
        <v>13.795829138668269</v>
      </c>
      <c r="U435" s="30">
        <f t="shared" ca="1" si="134"/>
        <v>27.691018827378532</v>
      </c>
      <c r="V435" s="30">
        <f t="shared" ca="1" si="134"/>
        <v>30.665189805594292</v>
      </c>
      <c r="W435" s="30">
        <f t="shared" ca="1" si="134"/>
        <v>22.167723571700805</v>
      </c>
      <c r="X435" s="30">
        <f t="shared" ca="1" si="134"/>
        <v>16.605532519604139</v>
      </c>
      <c r="Y435" s="30">
        <f t="shared" ca="1" si="134"/>
        <v>5.1574956331405017</v>
      </c>
      <c r="Z435" s="30">
        <f t="shared" ca="1" si="134"/>
        <v>10.469318541946334</v>
      </c>
      <c r="AA435" s="26">
        <v>427</v>
      </c>
      <c r="AB435" s="31">
        <f t="shared" ca="1" si="130"/>
        <v>26</v>
      </c>
      <c r="AC435" s="31">
        <f t="shared" ca="1" si="119"/>
        <v>18</v>
      </c>
      <c r="AD435" s="31">
        <f t="shared" ca="1" si="120"/>
        <v>4</v>
      </c>
      <c r="AE435" s="31">
        <f t="shared" ca="1" si="121"/>
        <v>108</v>
      </c>
      <c r="AF435" s="31">
        <f t="shared" ca="1" si="122"/>
        <v>16</v>
      </c>
      <c r="AG435" s="31">
        <f t="shared" ca="1" si="123"/>
        <v>18</v>
      </c>
      <c r="AH435" s="31">
        <f t="shared" ca="1" si="124"/>
        <v>59</v>
      </c>
      <c r="AI435" s="31">
        <f t="shared" ca="1" si="125"/>
        <v>83</v>
      </c>
      <c r="AJ435" s="31">
        <f t="shared" ca="1" si="126"/>
        <v>36</v>
      </c>
      <c r="AK435" s="31">
        <f t="shared" ca="1" si="127"/>
        <v>23</v>
      </c>
      <c r="AL435" s="31">
        <f t="shared" ca="1" si="128"/>
        <v>6</v>
      </c>
      <c r="AM435" s="31">
        <f t="shared" ca="1" si="129"/>
        <v>13</v>
      </c>
    </row>
    <row r="436" spans="14:39">
      <c r="N436" s="26">
        <v>428</v>
      </c>
      <c r="O436" s="30">
        <f t="shared" ca="1" si="134"/>
        <v>2.3592967228759396</v>
      </c>
      <c r="P436" s="30">
        <f t="shared" ca="1" si="134"/>
        <v>32.105669914771035</v>
      </c>
      <c r="Q436" s="30">
        <f t="shared" ca="1" si="134"/>
        <v>19.524270851329021</v>
      </c>
      <c r="R436" s="30">
        <f t="shared" ca="1" si="134"/>
        <v>15.399980279641969</v>
      </c>
      <c r="S436" s="30">
        <f t="shared" ca="1" si="134"/>
        <v>21.307568683018246</v>
      </c>
      <c r="T436" s="30">
        <f t="shared" ca="1" si="134"/>
        <v>10.415759022289508</v>
      </c>
      <c r="U436" s="30">
        <f t="shared" ca="1" si="134"/>
        <v>4.7223250562164925</v>
      </c>
      <c r="V436" s="30">
        <f t="shared" ca="1" si="134"/>
        <v>32.307757084890682</v>
      </c>
      <c r="W436" s="30">
        <f t="shared" ca="1" si="134"/>
        <v>4.5876186475157956</v>
      </c>
      <c r="X436" s="30">
        <f t="shared" ca="1" si="134"/>
        <v>15.270953919653355</v>
      </c>
      <c r="Y436" s="30">
        <f t="shared" ca="1" si="134"/>
        <v>11.323727301023826</v>
      </c>
      <c r="Z436" s="30">
        <f t="shared" ca="1" si="134"/>
        <v>25.835034705338835</v>
      </c>
      <c r="AA436" s="26">
        <v>428</v>
      </c>
      <c r="AB436" s="31">
        <f t="shared" ca="1" si="130"/>
        <v>3</v>
      </c>
      <c r="AC436" s="31">
        <f t="shared" ca="1" si="119"/>
        <v>109</v>
      </c>
      <c r="AD436" s="31">
        <f t="shared" ca="1" si="120"/>
        <v>29</v>
      </c>
      <c r="AE436" s="31">
        <f t="shared" ca="1" si="121"/>
        <v>21</v>
      </c>
      <c r="AF436" s="31">
        <f t="shared" ca="1" si="122"/>
        <v>34</v>
      </c>
      <c r="AG436" s="31">
        <f t="shared" ca="1" si="123"/>
        <v>13</v>
      </c>
      <c r="AH436" s="31">
        <f t="shared" ca="1" si="124"/>
        <v>6</v>
      </c>
      <c r="AI436" s="31">
        <f t="shared" ca="1" si="125"/>
        <v>115</v>
      </c>
      <c r="AJ436" s="31">
        <f t="shared" ca="1" si="126"/>
        <v>5</v>
      </c>
      <c r="AK436" s="31">
        <f t="shared" ca="1" si="127"/>
        <v>21</v>
      </c>
      <c r="AL436" s="31">
        <f t="shared" ca="1" si="128"/>
        <v>14</v>
      </c>
      <c r="AM436" s="31">
        <f t="shared" ca="1" si="129"/>
        <v>49</v>
      </c>
    </row>
    <row r="437" spans="14:39">
      <c r="N437" s="26">
        <v>429</v>
      </c>
      <c r="O437" s="30">
        <f t="shared" ca="1" si="134"/>
        <v>1.8341312783803281</v>
      </c>
      <c r="P437" s="30">
        <f t="shared" ca="1" si="134"/>
        <v>29.76553778289113</v>
      </c>
      <c r="Q437" s="30">
        <f t="shared" ca="1" si="134"/>
        <v>9.549992975320162</v>
      </c>
      <c r="R437" s="30">
        <f t="shared" ca="1" si="134"/>
        <v>26.312322857695939</v>
      </c>
      <c r="S437" s="30">
        <f t="shared" ca="1" si="134"/>
        <v>18.899494120340353</v>
      </c>
      <c r="T437" s="30">
        <f t="shared" ca="1" si="134"/>
        <v>9.9205638902347513</v>
      </c>
      <c r="U437" s="30">
        <f t="shared" ca="1" si="134"/>
        <v>17.716568929009917</v>
      </c>
      <c r="V437" s="30">
        <f t="shared" ca="1" si="134"/>
        <v>10.114167194936051</v>
      </c>
      <c r="W437" s="30">
        <f t="shared" ca="1" si="134"/>
        <v>22.058327858249491</v>
      </c>
      <c r="X437" s="30">
        <f t="shared" ca="1" si="134"/>
        <v>7.6626442233663186</v>
      </c>
      <c r="Y437" s="30">
        <f t="shared" ca="1" si="134"/>
        <v>24.652092654868895</v>
      </c>
      <c r="Z437" s="30">
        <f t="shared" ca="1" si="134"/>
        <v>1.7671861547419956</v>
      </c>
      <c r="AA437" s="26">
        <v>429</v>
      </c>
      <c r="AB437" s="31">
        <f t="shared" ca="1" si="130"/>
        <v>2</v>
      </c>
      <c r="AC437" s="31">
        <f t="shared" ca="1" si="119"/>
        <v>74</v>
      </c>
      <c r="AD437" s="31">
        <f t="shared" ca="1" si="120"/>
        <v>12</v>
      </c>
      <c r="AE437" s="31">
        <f t="shared" ca="1" si="121"/>
        <v>52</v>
      </c>
      <c r="AF437" s="31">
        <f t="shared" ca="1" si="122"/>
        <v>28</v>
      </c>
      <c r="AG437" s="31">
        <f t="shared" ca="1" si="123"/>
        <v>12</v>
      </c>
      <c r="AH437" s="31">
        <f t="shared" ca="1" si="124"/>
        <v>25</v>
      </c>
      <c r="AI437" s="31">
        <f t="shared" ca="1" si="125"/>
        <v>12</v>
      </c>
      <c r="AJ437" s="31">
        <f t="shared" ca="1" si="126"/>
        <v>36</v>
      </c>
      <c r="AK437" s="31">
        <f t="shared" ca="1" si="127"/>
        <v>9</v>
      </c>
      <c r="AL437" s="31">
        <f t="shared" ca="1" si="128"/>
        <v>45</v>
      </c>
      <c r="AM437" s="31">
        <f t="shared" ca="1" si="129"/>
        <v>2</v>
      </c>
    </row>
    <row r="438" spans="14:39">
      <c r="N438" s="26">
        <v>430</v>
      </c>
      <c r="O438" s="30">
        <f t="shared" ca="1" si="134"/>
        <v>9.4680386823131713</v>
      </c>
      <c r="P438" s="30">
        <f t="shared" ca="1" si="134"/>
        <v>31.406591117990782</v>
      </c>
      <c r="Q438" s="30">
        <f t="shared" ca="1" si="134"/>
        <v>24.490570550607615</v>
      </c>
      <c r="R438" s="30">
        <f t="shared" ca="1" si="134"/>
        <v>29.745527196393777</v>
      </c>
      <c r="S438" s="30">
        <f t="shared" ca="1" si="134"/>
        <v>20.040204691455955</v>
      </c>
      <c r="T438" s="30">
        <f t="shared" ca="1" si="134"/>
        <v>29.070689276115889</v>
      </c>
      <c r="U438" s="30">
        <f t="shared" ca="1" si="134"/>
        <v>15.1786041031573</v>
      </c>
      <c r="V438" s="30">
        <f t="shared" ca="1" si="134"/>
        <v>13.377125166473817</v>
      </c>
      <c r="W438" s="30">
        <f t="shared" ca="1" si="134"/>
        <v>9.1662091248049204</v>
      </c>
      <c r="X438" s="30">
        <f t="shared" ca="1" si="134"/>
        <v>1.9244040525651236</v>
      </c>
      <c r="Y438" s="30">
        <f t="shared" ca="1" si="134"/>
        <v>1.5270820076340883</v>
      </c>
      <c r="Z438" s="30">
        <f t="shared" ca="1" si="134"/>
        <v>27.754875084192712</v>
      </c>
      <c r="AA438" s="26">
        <v>430</v>
      </c>
      <c r="AB438" s="31">
        <f t="shared" ca="1" si="130"/>
        <v>11</v>
      </c>
      <c r="AC438" s="31">
        <f t="shared" ca="1" si="119"/>
        <v>94</v>
      </c>
      <c r="AD438" s="31">
        <f t="shared" ca="1" si="120"/>
        <v>44</v>
      </c>
      <c r="AE438" s="31">
        <f t="shared" ca="1" si="121"/>
        <v>74</v>
      </c>
      <c r="AF438" s="31">
        <f t="shared" ca="1" si="122"/>
        <v>31</v>
      </c>
      <c r="AG438" s="31">
        <f t="shared" ca="1" si="123"/>
        <v>68</v>
      </c>
      <c r="AH438" s="31">
        <f t="shared" ca="1" si="124"/>
        <v>20</v>
      </c>
      <c r="AI438" s="31">
        <f t="shared" ca="1" si="125"/>
        <v>17</v>
      </c>
      <c r="AJ438" s="31">
        <f t="shared" ca="1" si="126"/>
        <v>11</v>
      </c>
      <c r="AK438" s="31">
        <f t="shared" ca="1" si="127"/>
        <v>2</v>
      </c>
      <c r="AL438" s="31">
        <f t="shared" ca="1" si="128"/>
        <v>2</v>
      </c>
      <c r="AM438" s="31">
        <f t="shared" ca="1" si="129"/>
        <v>59</v>
      </c>
    </row>
    <row r="439" spans="14:39">
      <c r="N439" s="26">
        <v>431</v>
      </c>
      <c r="O439" s="30">
        <f t="shared" ref="O439:Z448" ca="1" si="135">RAND()*sumweights</f>
        <v>13.049601585060177</v>
      </c>
      <c r="P439" s="30">
        <f t="shared" ca="1" si="135"/>
        <v>2.8189904825318561</v>
      </c>
      <c r="Q439" s="30">
        <f t="shared" ca="1" si="135"/>
        <v>5.6103668800752482</v>
      </c>
      <c r="R439" s="30">
        <f t="shared" ca="1" si="135"/>
        <v>30.904920420655813</v>
      </c>
      <c r="S439" s="30">
        <f t="shared" ca="1" si="135"/>
        <v>5.1639900196808215</v>
      </c>
      <c r="T439" s="30">
        <f t="shared" ca="1" si="135"/>
        <v>14.491057062382268</v>
      </c>
      <c r="U439" s="30">
        <f t="shared" ca="1" si="135"/>
        <v>31.729451689760939</v>
      </c>
      <c r="V439" s="30">
        <f t="shared" ca="1" si="135"/>
        <v>6.6224929833680442</v>
      </c>
      <c r="W439" s="30">
        <f t="shared" ca="1" si="135"/>
        <v>23.64255720552471</v>
      </c>
      <c r="X439" s="30">
        <f t="shared" ca="1" si="135"/>
        <v>5.3334386315923075</v>
      </c>
      <c r="Y439" s="30">
        <f t="shared" ca="1" si="135"/>
        <v>5.9999141624218391</v>
      </c>
      <c r="Z439" s="30">
        <f t="shared" ca="1" si="135"/>
        <v>29.225901133446651</v>
      </c>
      <c r="AA439" s="26">
        <v>431</v>
      </c>
      <c r="AB439" s="31">
        <f t="shared" ca="1" si="130"/>
        <v>17</v>
      </c>
      <c r="AC439" s="31">
        <f t="shared" ca="1" si="119"/>
        <v>3</v>
      </c>
      <c r="AD439" s="31">
        <f t="shared" ca="1" si="120"/>
        <v>7</v>
      </c>
      <c r="AE439" s="31">
        <f t="shared" ca="1" si="121"/>
        <v>86</v>
      </c>
      <c r="AF439" s="31">
        <f t="shared" ca="1" si="122"/>
        <v>6</v>
      </c>
      <c r="AG439" s="31">
        <f t="shared" ca="1" si="123"/>
        <v>19</v>
      </c>
      <c r="AH439" s="31">
        <f t="shared" ca="1" si="124"/>
        <v>100</v>
      </c>
      <c r="AI439" s="31">
        <f t="shared" ca="1" si="125"/>
        <v>8</v>
      </c>
      <c r="AJ439" s="31">
        <f t="shared" ca="1" si="126"/>
        <v>41</v>
      </c>
      <c r="AK439" s="31">
        <f t="shared" ca="1" si="127"/>
        <v>6</v>
      </c>
      <c r="AL439" s="31">
        <f t="shared" ca="1" si="128"/>
        <v>7</v>
      </c>
      <c r="AM439" s="31">
        <f t="shared" ca="1" si="129"/>
        <v>69</v>
      </c>
    </row>
    <row r="440" spans="14:39">
      <c r="N440" s="26">
        <v>432</v>
      </c>
      <c r="O440" s="30">
        <f t="shared" ca="1" si="135"/>
        <v>11.286388914390693</v>
      </c>
      <c r="P440" s="30">
        <f t="shared" ca="1" si="135"/>
        <v>20.45525044389138</v>
      </c>
      <c r="Q440" s="30">
        <f t="shared" ca="1" si="135"/>
        <v>2.8086955934111533</v>
      </c>
      <c r="R440" s="30">
        <f t="shared" ca="1" si="135"/>
        <v>32.109687721530719</v>
      </c>
      <c r="S440" s="30">
        <f t="shared" ca="1" si="135"/>
        <v>32.097457956537724</v>
      </c>
      <c r="T440" s="30">
        <f t="shared" ca="1" si="135"/>
        <v>27.705608258796794</v>
      </c>
      <c r="U440" s="30">
        <f t="shared" ca="1" si="135"/>
        <v>2.866203057148907</v>
      </c>
      <c r="V440" s="30">
        <f t="shared" ca="1" si="135"/>
        <v>23.373134822174656</v>
      </c>
      <c r="W440" s="30">
        <f t="shared" ca="1" si="135"/>
        <v>17.362246427425536</v>
      </c>
      <c r="X440" s="30">
        <f t="shared" ca="1" si="135"/>
        <v>27.381124202340558</v>
      </c>
      <c r="Y440" s="30">
        <f t="shared" ca="1" si="135"/>
        <v>22.37293296615443</v>
      </c>
      <c r="Z440" s="30">
        <f t="shared" ca="1" si="135"/>
        <v>23.690382348631331</v>
      </c>
      <c r="AA440" s="26">
        <v>432</v>
      </c>
      <c r="AB440" s="31">
        <f t="shared" ca="1" si="130"/>
        <v>14</v>
      </c>
      <c r="AC440" s="31">
        <f t="shared" ca="1" si="119"/>
        <v>32</v>
      </c>
      <c r="AD440" s="31">
        <f t="shared" ca="1" si="120"/>
        <v>3</v>
      </c>
      <c r="AE440" s="31">
        <f t="shared" ca="1" si="121"/>
        <v>109</v>
      </c>
      <c r="AF440" s="31">
        <f t="shared" ca="1" si="122"/>
        <v>109</v>
      </c>
      <c r="AG440" s="31">
        <f t="shared" ca="1" si="123"/>
        <v>59</v>
      </c>
      <c r="AH440" s="31">
        <f t="shared" ca="1" si="124"/>
        <v>3</v>
      </c>
      <c r="AI440" s="31">
        <f t="shared" ca="1" si="125"/>
        <v>40</v>
      </c>
      <c r="AJ440" s="31">
        <f t="shared" ca="1" si="126"/>
        <v>25</v>
      </c>
      <c r="AK440" s="31">
        <f t="shared" ca="1" si="127"/>
        <v>57</v>
      </c>
      <c r="AL440" s="31">
        <f t="shared" ca="1" si="128"/>
        <v>37</v>
      </c>
      <c r="AM440" s="31">
        <f t="shared" ca="1" si="129"/>
        <v>41</v>
      </c>
    </row>
    <row r="441" spans="14:39">
      <c r="N441" s="26">
        <v>433</v>
      </c>
      <c r="O441" s="30">
        <f t="shared" ca="1" si="135"/>
        <v>19.425101586664432</v>
      </c>
      <c r="P441" s="30">
        <f t="shared" ca="1" si="135"/>
        <v>6.9033715518429064</v>
      </c>
      <c r="Q441" s="30">
        <f t="shared" ca="1" si="135"/>
        <v>2.391260079048497</v>
      </c>
      <c r="R441" s="30">
        <f t="shared" ca="1" si="135"/>
        <v>11.033146049870703</v>
      </c>
      <c r="S441" s="30">
        <f t="shared" ca="1" si="135"/>
        <v>27.900779555098691</v>
      </c>
      <c r="T441" s="30">
        <f t="shared" ca="1" si="135"/>
        <v>1.6810220500146364</v>
      </c>
      <c r="U441" s="30">
        <f t="shared" ca="1" si="135"/>
        <v>28.374086386459386</v>
      </c>
      <c r="V441" s="30">
        <f t="shared" ca="1" si="135"/>
        <v>30.110402697598875</v>
      </c>
      <c r="W441" s="30">
        <f t="shared" ca="1" si="135"/>
        <v>22.898201673604344</v>
      </c>
      <c r="X441" s="30">
        <f t="shared" ca="1" si="135"/>
        <v>24.85267156640986</v>
      </c>
      <c r="Y441" s="30">
        <f t="shared" ca="1" si="135"/>
        <v>18.009759933414962</v>
      </c>
      <c r="Z441" s="30">
        <f t="shared" ca="1" si="135"/>
        <v>3.2498402451850525</v>
      </c>
      <c r="AA441" s="26">
        <v>433</v>
      </c>
      <c r="AB441" s="31">
        <f t="shared" ca="1" si="130"/>
        <v>29</v>
      </c>
      <c r="AC441" s="31">
        <f t="shared" ca="1" si="119"/>
        <v>8</v>
      </c>
      <c r="AD441" s="31">
        <f t="shared" ca="1" si="120"/>
        <v>3</v>
      </c>
      <c r="AE441" s="31">
        <f t="shared" ca="1" si="121"/>
        <v>14</v>
      </c>
      <c r="AF441" s="31">
        <f t="shared" ca="1" si="122"/>
        <v>60</v>
      </c>
      <c r="AG441" s="31">
        <f t="shared" ca="1" si="123"/>
        <v>2</v>
      </c>
      <c r="AH441" s="31">
        <f t="shared" ca="1" si="124"/>
        <v>63</v>
      </c>
      <c r="AI441" s="31">
        <f t="shared" ca="1" si="125"/>
        <v>77</v>
      </c>
      <c r="AJ441" s="31">
        <f t="shared" ca="1" si="126"/>
        <v>39</v>
      </c>
      <c r="AK441" s="31">
        <f t="shared" ca="1" si="127"/>
        <v>45</v>
      </c>
      <c r="AL441" s="31">
        <f t="shared" ca="1" si="128"/>
        <v>26</v>
      </c>
      <c r="AM441" s="31">
        <f t="shared" ca="1" si="129"/>
        <v>4</v>
      </c>
    </row>
    <row r="442" spans="14:39">
      <c r="N442" s="26">
        <v>434</v>
      </c>
      <c r="O442" s="30">
        <f t="shared" ca="1" si="135"/>
        <v>5.1705356419377058</v>
      </c>
      <c r="P442" s="30">
        <f t="shared" ca="1" si="135"/>
        <v>17.372686099019518</v>
      </c>
      <c r="Q442" s="30">
        <f t="shared" ca="1" si="135"/>
        <v>14.473421428613976</v>
      </c>
      <c r="R442" s="30">
        <f t="shared" ca="1" si="135"/>
        <v>15.71158395815258</v>
      </c>
      <c r="S442" s="30">
        <f t="shared" ca="1" si="135"/>
        <v>12.686324484690838</v>
      </c>
      <c r="T442" s="30">
        <f t="shared" ca="1" si="135"/>
        <v>15.208293439215781</v>
      </c>
      <c r="U442" s="30">
        <f t="shared" ca="1" si="135"/>
        <v>32.039915802677776</v>
      </c>
      <c r="V442" s="30">
        <f t="shared" ca="1" si="135"/>
        <v>8.3421282698237746</v>
      </c>
      <c r="W442" s="30">
        <f t="shared" ca="1" si="135"/>
        <v>18.015542419866915</v>
      </c>
      <c r="X442" s="30">
        <f t="shared" ca="1" si="135"/>
        <v>6.2645222627215089</v>
      </c>
      <c r="Y442" s="30">
        <f t="shared" ca="1" si="135"/>
        <v>2.2954850875896238</v>
      </c>
      <c r="Z442" s="30">
        <f t="shared" ca="1" si="135"/>
        <v>20.180376610324036</v>
      </c>
      <c r="AA442" s="26">
        <v>434</v>
      </c>
      <c r="AB442" s="31">
        <f t="shared" ca="1" si="130"/>
        <v>6</v>
      </c>
      <c r="AC442" s="31">
        <f t="shared" ca="1" si="119"/>
        <v>25</v>
      </c>
      <c r="AD442" s="31">
        <f t="shared" ca="1" si="120"/>
        <v>19</v>
      </c>
      <c r="AE442" s="31">
        <f t="shared" ca="1" si="121"/>
        <v>21</v>
      </c>
      <c r="AF442" s="31">
        <f t="shared" ca="1" si="122"/>
        <v>16</v>
      </c>
      <c r="AG442" s="31">
        <f t="shared" ca="1" si="123"/>
        <v>21</v>
      </c>
      <c r="AH442" s="31">
        <f t="shared" ca="1" si="124"/>
        <v>107</v>
      </c>
      <c r="AI442" s="31">
        <f t="shared" ca="1" si="125"/>
        <v>10</v>
      </c>
      <c r="AJ442" s="31">
        <f t="shared" ca="1" si="126"/>
        <v>26</v>
      </c>
      <c r="AK442" s="31">
        <f t="shared" ca="1" si="127"/>
        <v>7</v>
      </c>
      <c r="AL442" s="31">
        <f t="shared" ca="1" si="128"/>
        <v>3</v>
      </c>
      <c r="AM442" s="31">
        <f t="shared" ca="1" si="129"/>
        <v>31</v>
      </c>
    </row>
    <row r="443" spans="14:39">
      <c r="N443" s="26">
        <v>435</v>
      </c>
      <c r="O443" s="30">
        <f t="shared" ca="1" si="135"/>
        <v>5.6359833179850067</v>
      </c>
      <c r="P443" s="30">
        <f t="shared" ca="1" si="135"/>
        <v>33.23448027632729</v>
      </c>
      <c r="Q443" s="30">
        <f t="shared" ca="1" si="135"/>
        <v>22.884794530250971</v>
      </c>
      <c r="R443" s="30">
        <f t="shared" ca="1" si="135"/>
        <v>24.23964482152293</v>
      </c>
      <c r="S443" s="30">
        <f t="shared" ca="1" si="135"/>
        <v>28.050636763930324</v>
      </c>
      <c r="T443" s="30">
        <f t="shared" ca="1" si="135"/>
        <v>7.1022349758019416</v>
      </c>
      <c r="U443" s="30">
        <f t="shared" ca="1" si="135"/>
        <v>10.601285622681903</v>
      </c>
      <c r="V443" s="30">
        <f t="shared" ca="1" si="135"/>
        <v>13.837646216220888</v>
      </c>
      <c r="W443" s="30">
        <f t="shared" ca="1" si="135"/>
        <v>12.835665820437503</v>
      </c>
      <c r="X443" s="30">
        <f t="shared" ca="1" si="135"/>
        <v>1.9376580507980348</v>
      </c>
      <c r="Y443" s="30">
        <f t="shared" ca="1" si="135"/>
        <v>23.216094309971901</v>
      </c>
      <c r="Z443" s="30">
        <f t="shared" ca="1" si="135"/>
        <v>5.5830445551295842</v>
      </c>
      <c r="AA443" s="26">
        <v>435</v>
      </c>
      <c r="AB443" s="31">
        <f t="shared" ca="1" si="130"/>
        <v>7</v>
      </c>
      <c r="AC443" s="31">
        <f t="shared" ca="1" si="119"/>
        <v>192</v>
      </c>
      <c r="AD443" s="31">
        <f t="shared" ca="1" si="120"/>
        <v>39</v>
      </c>
      <c r="AE443" s="31">
        <f t="shared" ca="1" si="121"/>
        <v>43</v>
      </c>
      <c r="AF443" s="31">
        <f t="shared" ca="1" si="122"/>
        <v>61</v>
      </c>
      <c r="AG443" s="31">
        <f t="shared" ca="1" si="123"/>
        <v>8</v>
      </c>
      <c r="AH443" s="31">
        <f t="shared" ca="1" si="124"/>
        <v>13</v>
      </c>
      <c r="AI443" s="31">
        <f t="shared" ca="1" si="125"/>
        <v>18</v>
      </c>
      <c r="AJ443" s="31">
        <f t="shared" ca="1" si="126"/>
        <v>16</v>
      </c>
      <c r="AK443" s="31">
        <f t="shared" ca="1" si="127"/>
        <v>2</v>
      </c>
      <c r="AL443" s="31">
        <f t="shared" ca="1" si="128"/>
        <v>40</v>
      </c>
      <c r="AM443" s="31">
        <f t="shared" ca="1" si="129"/>
        <v>7</v>
      </c>
    </row>
    <row r="444" spans="14:39">
      <c r="N444" s="26">
        <v>436</v>
      </c>
      <c r="O444" s="30">
        <f t="shared" ca="1" si="135"/>
        <v>22.202557847658994</v>
      </c>
      <c r="P444" s="30">
        <f t="shared" ca="1" si="135"/>
        <v>28.960593297825053</v>
      </c>
      <c r="Q444" s="30">
        <f t="shared" ca="1" si="135"/>
        <v>18.836376094100071</v>
      </c>
      <c r="R444" s="30">
        <f t="shared" ca="1" si="135"/>
        <v>1.2355972302650255</v>
      </c>
      <c r="S444" s="30">
        <f t="shared" ca="1" si="135"/>
        <v>18.17378945231933</v>
      </c>
      <c r="T444" s="30">
        <f t="shared" ca="1" si="135"/>
        <v>1.1081101736303027</v>
      </c>
      <c r="U444" s="30">
        <f t="shared" ca="1" si="135"/>
        <v>5.9958864493457522</v>
      </c>
      <c r="V444" s="30">
        <f t="shared" ca="1" si="135"/>
        <v>29.503063571421972</v>
      </c>
      <c r="W444" s="30">
        <f t="shared" ca="1" si="135"/>
        <v>18.24572421191618</v>
      </c>
      <c r="X444" s="30">
        <f t="shared" ca="1" si="135"/>
        <v>11.095437262220319</v>
      </c>
      <c r="Y444" s="30">
        <f t="shared" ca="1" si="135"/>
        <v>17.62374216945798</v>
      </c>
      <c r="Z444" s="30">
        <f t="shared" ca="1" si="135"/>
        <v>16.833062033699552</v>
      </c>
      <c r="AA444" s="26">
        <v>436</v>
      </c>
      <c r="AB444" s="31">
        <f t="shared" ca="1" si="130"/>
        <v>37</v>
      </c>
      <c r="AC444" s="31">
        <f t="shared" ca="1" si="119"/>
        <v>67</v>
      </c>
      <c r="AD444" s="31">
        <f t="shared" ca="1" si="120"/>
        <v>28</v>
      </c>
      <c r="AE444" s="31">
        <f t="shared" ca="1" si="121"/>
        <v>2</v>
      </c>
      <c r="AF444" s="31">
        <f t="shared" ca="1" si="122"/>
        <v>26</v>
      </c>
      <c r="AG444" s="31">
        <f t="shared" ca="1" si="123"/>
        <v>2</v>
      </c>
      <c r="AH444" s="31">
        <f t="shared" ca="1" si="124"/>
        <v>7</v>
      </c>
      <c r="AI444" s="31">
        <f t="shared" ca="1" si="125"/>
        <v>72</v>
      </c>
      <c r="AJ444" s="31">
        <f t="shared" ca="1" si="126"/>
        <v>27</v>
      </c>
      <c r="AK444" s="31">
        <f t="shared" ca="1" si="127"/>
        <v>14</v>
      </c>
      <c r="AL444" s="31">
        <f t="shared" ca="1" si="128"/>
        <v>25</v>
      </c>
      <c r="AM444" s="31">
        <f t="shared" ca="1" si="129"/>
        <v>24</v>
      </c>
    </row>
    <row r="445" spans="14:39">
      <c r="N445" s="26">
        <v>437</v>
      </c>
      <c r="O445" s="30">
        <f t="shared" ca="1" si="135"/>
        <v>11.619573018715249</v>
      </c>
      <c r="P445" s="30">
        <f t="shared" ca="1" si="135"/>
        <v>21.042980825433794</v>
      </c>
      <c r="Q445" s="30">
        <f t="shared" ca="1" si="135"/>
        <v>10.512345610356839</v>
      </c>
      <c r="R445" s="30">
        <f t="shared" ca="1" si="135"/>
        <v>4.7288088693640296</v>
      </c>
      <c r="S445" s="30">
        <f t="shared" ca="1" si="135"/>
        <v>31.282247671861729</v>
      </c>
      <c r="T445" s="30">
        <f t="shared" ca="1" si="135"/>
        <v>3.1660489704042667</v>
      </c>
      <c r="U445" s="30">
        <f t="shared" ca="1" si="135"/>
        <v>28.72312725630406</v>
      </c>
      <c r="V445" s="30">
        <f t="shared" ca="1" si="135"/>
        <v>9.4748014787635135</v>
      </c>
      <c r="W445" s="30">
        <f t="shared" ca="1" si="135"/>
        <v>20.648651718303068</v>
      </c>
      <c r="X445" s="30">
        <f t="shared" ca="1" si="135"/>
        <v>21.688072334042271</v>
      </c>
      <c r="Y445" s="30">
        <f t="shared" ca="1" si="135"/>
        <v>12.278140901286484</v>
      </c>
      <c r="Z445" s="30">
        <f t="shared" ca="1" si="135"/>
        <v>25.349590803814301</v>
      </c>
      <c r="AA445" s="26">
        <v>437</v>
      </c>
      <c r="AB445" s="31">
        <f t="shared" ca="1" si="130"/>
        <v>15</v>
      </c>
      <c r="AC445" s="31">
        <f t="shared" ca="1" si="119"/>
        <v>33</v>
      </c>
      <c r="AD445" s="31">
        <f t="shared" ca="1" si="120"/>
        <v>13</v>
      </c>
      <c r="AE445" s="31">
        <f t="shared" ca="1" si="121"/>
        <v>6</v>
      </c>
      <c r="AF445" s="31">
        <f t="shared" ca="1" si="122"/>
        <v>92</v>
      </c>
      <c r="AG445" s="31">
        <f t="shared" ca="1" si="123"/>
        <v>4</v>
      </c>
      <c r="AH445" s="31">
        <f t="shared" ca="1" si="124"/>
        <v>65</v>
      </c>
      <c r="AI445" s="31">
        <f t="shared" ca="1" si="125"/>
        <v>11</v>
      </c>
      <c r="AJ445" s="31">
        <f t="shared" ca="1" si="126"/>
        <v>32</v>
      </c>
      <c r="AK445" s="31">
        <f t="shared" ca="1" si="127"/>
        <v>35</v>
      </c>
      <c r="AL445" s="31">
        <f t="shared" ca="1" si="128"/>
        <v>16</v>
      </c>
      <c r="AM445" s="31">
        <f t="shared" ca="1" si="129"/>
        <v>47</v>
      </c>
    </row>
    <row r="446" spans="14:39">
      <c r="N446" s="26">
        <v>438</v>
      </c>
      <c r="O446" s="30">
        <f t="shared" ca="1" si="135"/>
        <v>13.584969415543531</v>
      </c>
      <c r="P446" s="30">
        <f t="shared" ca="1" si="135"/>
        <v>11.141272900811501</v>
      </c>
      <c r="Q446" s="30">
        <f t="shared" ca="1" si="135"/>
        <v>20.600235092250504</v>
      </c>
      <c r="R446" s="30">
        <f t="shared" ca="1" si="135"/>
        <v>29.040161850121805</v>
      </c>
      <c r="S446" s="30">
        <f t="shared" ca="1" si="135"/>
        <v>28.990021913506542</v>
      </c>
      <c r="T446" s="30">
        <f t="shared" ca="1" si="135"/>
        <v>26.865478699156608</v>
      </c>
      <c r="U446" s="30">
        <f t="shared" ca="1" si="135"/>
        <v>11.486278723361638</v>
      </c>
      <c r="V446" s="30">
        <f t="shared" ca="1" si="135"/>
        <v>28.199648309731458</v>
      </c>
      <c r="W446" s="30">
        <f t="shared" ca="1" si="135"/>
        <v>12.190084312429429</v>
      </c>
      <c r="X446" s="30">
        <f t="shared" ca="1" si="135"/>
        <v>5.604143393293163</v>
      </c>
      <c r="Y446" s="30">
        <f t="shared" ca="1" si="135"/>
        <v>27.79408380434969</v>
      </c>
      <c r="Z446" s="30">
        <f t="shared" ca="1" si="135"/>
        <v>15.015349950554594</v>
      </c>
      <c r="AA446" s="26">
        <v>438</v>
      </c>
      <c r="AB446" s="31">
        <f t="shared" ca="1" si="130"/>
        <v>18</v>
      </c>
      <c r="AC446" s="31">
        <f t="shared" ca="1" si="119"/>
        <v>14</v>
      </c>
      <c r="AD446" s="31">
        <f t="shared" ca="1" si="120"/>
        <v>32</v>
      </c>
      <c r="AE446" s="31">
        <f t="shared" ca="1" si="121"/>
        <v>68</v>
      </c>
      <c r="AF446" s="31">
        <f t="shared" ca="1" si="122"/>
        <v>67</v>
      </c>
      <c r="AG446" s="31">
        <f t="shared" ca="1" si="123"/>
        <v>54</v>
      </c>
      <c r="AH446" s="31">
        <f t="shared" ca="1" si="124"/>
        <v>14</v>
      </c>
      <c r="AI446" s="31">
        <f t="shared" ca="1" si="125"/>
        <v>62</v>
      </c>
      <c r="AJ446" s="31">
        <f t="shared" ca="1" si="126"/>
        <v>15</v>
      </c>
      <c r="AK446" s="31">
        <f t="shared" ca="1" si="127"/>
        <v>7</v>
      </c>
      <c r="AL446" s="31">
        <f t="shared" ca="1" si="128"/>
        <v>59</v>
      </c>
      <c r="AM446" s="31">
        <f t="shared" ca="1" si="129"/>
        <v>20</v>
      </c>
    </row>
    <row r="447" spans="14:39">
      <c r="N447" s="26">
        <v>439</v>
      </c>
      <c r="O447" s="30">
        <f t="shared" ca="1" si="135"/>
        <v>25.246933286509318</v>
      </c>
      <c r="P447" s="30">
        <f t="shared" ca="1" si="135"/>
        <v>17.161492304609265</v>
      </c>
      <c r="Q447" s="30">
        <f t="shared" ca="1" si="135"/>
        <v>11.322502849130887</v>
      </c>
      <c r="R447" s="30">
        <f t="shared" ca="1" si="135"/>
        <v>18.515768403059973</v>
      </c>
      <c r="S447" s="30">
        <f t="shared" ca="1" si="135"/>
        <v>3.1769729244598417</v>
      </c>
      <c r="T447" s="30">
        <f t="shared" ca="1" si="135"/>
        <v>22.999392652503811</v>
      </c>
      <c r="U447" s="30">
        <f t="shared" ca="1" si="135"/>
        <v>29.4764288030944</v>
      </c>
      <c r="V447" s="30">
        <f t="shared" ca="1" si="135"/>
        <v>3.4564274877056107</v>
      </c>
      <c r="W447" s="30">
        <f t="shared" ca="1" si="135"/>
        <v>28.197938015737407</v>
      </c>
      <c r="X447" s="30">
        <f t="shared" ca="1" si="135"/>
        <v>24.732481021291008</v>
      </c>
      <c r="Y447" s="30">
        <f t="shared" ca="1" si="135"/>
        <v>9.1373527421669074</v>
      </c>
      <c r="Z447" s="30">
        <f t="shared" ca="1" si="135"/>
        <v>28.354984677062586</v>
      </c>
      <c r="AA447" s="26">
        <v>439</v>
      </c>
      <c r="AB447" s="31">
        <f t="shared" ca="1" si="130"/>
        <v>47</v>
      </c>
      <c r="AC447" s="31">
        <f t="shared" ca="1" si="119"/>
        <v>24</v>
      </c>
      <c r="AD447" s="31">
        <f t="shared" ca="1" si="120"/>
        <v>14</v>
      </c>
      <c r="AE447" s="31">
        <f t="shared" ca="1" si="121"/>
        <v>27</v>
      </c>
      <c r="AF447" s="31">
        <f t="shared" ca="1" si="122"/>
        <v>4</v>
      </c>
      <c r="AG447" s="31">
        <f t="shared" ca="1" si="123"/>
        <v>39</v>
      </c>
      <c r="AH447" s="31">
        <f t="shared" ca="1" si="124"/>
        <v>71</v>
      </c>
      <c r="AI447" s="31">
        <f t="shared" ca="1" si="125"/>
        <v>4</v>
      </c>
      <c r="AJ447" s="31">
        <f t="shared" ca="1" si="126"/>
        <v>62</v>
      </c>
      <c r="AK447" s="31">
        <f t="shared" ca="1" si="127"/>
        <v>45</v>
      </c>
      <c r="AL447" s="31">
        <f t="shared" ca="1" si="128"/>
        <v>11</v>
      </c>
      <c r="AM447" s="31">
        <f t="shared" ca="1" si="129"/>
        <v>63</v>
      </c>
    </row>
    <row r="448" spans="14:39">
      <c r="N448" s="26">
        <v>440</v>
      </c>
      <c r="O448" s="30">
        <f t="shared" ca="1" si="135"/>
        <v>11.499779213746018</v>
      </c>
      <c r="P448" s="30">
        <f t="shared" ca="1" si="135"/>
        <v>9.2586484034804215</v>
      </c>
      <c r="Q448" s="30">
        <f t="shared" ca="1" si="135"/>
        <v>15.441321943363624</v>
      </c>
      <c r="R448" s="30">
        <f t="shared" ca="1" si="135"/>
        <v>4.518643915172226</v>
      </c>
      <c r="S448" s="30">
        <f t="shared" ca="1" si="135"/>
        <v>9.4957212095114745</v>
      </c>
      <c r="T448" s="30">
        <f t="shared" ca="1" si="135"/>
        <v>17.044879948522109</v>
      </c>
      <c r="U448" s="30">
        <f t="shared" ca="1" si="135"/>
        <v>23.78543131654412</v>
      </c>
      <c r="V448" s="30">
        <f t="shared" ca="1" si="135"/>
        <v>11.342798447807233</v>
      </c>
      <c r="W448" s="30">
        <f t="shared" ca="1" si="135"/>
        <v>32.402403682986687</v>
      </c>
      <c r="X448" s="30">
        <f t="shared" ca="1" si="135"/>
        <v>2.8206187387775059</v>
      </c>
      <c r="Y448" s="30">
        <f t="shared" ca="1" si="135"/>
        <v>4.6015055336415935</v>
      </c>
      <c r="Z448" s="30">
        <f t="shared" ca="1" si="135"/>
        <v>20.278162357457589</v>
      </c>
      <c r="AA448" s="26">
        <v>440</v>
      </c>
      <c r="AB448" s="31">
        <f t="shared" ca="1" si="130"/>
        <v>14</v>
      </c>
      <c r="AC448" s="31">
        <f t="shared" ca="1" si="119"/>
        <v>11</v>
      </c>
      <c r="AD448" s="31">
        <f t="shared" ca="1" si="120"/>
        <v>21</v>
      </c>
      <c r="AE448" s="31">
        <f t="shared" ca="1" si="121"/>
        <v>5</v>
      </c>
      <c r="AF448" s="31">
        <f t="shared" ca="1" si="122"/>
        <v>12</v>
      </c>
      <c r="AG448" s="31">
        <f t="shared" ca="1" si="123"/>
        <v>24</v>
      </c>
      <c r="AH448" s="31">
        <f t="shared" ca="1" si="124"/>
        <v>42</v>
      </c>
      <c r="AI448" s="31">
        <f t="shared" ca="1" si="125"/>
        <v>14</v>
      </c>
      <c r="AJ448" s="31">
        <f t="shared" ca="1" si="126"/>
        <v>118</v>
      </c>
      <c r="AK448" s="31">
        <f t="shared" ca="1" si="127"/>
        <v>3</v>
      </c>
      <c r="AL448" s="31">
        <f t="shared" ca="1" si="128"/>
        <v>5</v>
      </c>
      <c r="AM448" s="31">
        <f t="shared" ca="1" si="129"/>
        <v>31</v>
      </c>
    </row>
    <row r="449" spans="14:39">
      <c r="N449" s="26">
        <v>441</v>
      </c>
      <c r="O449" s="30">
        <f t="shared" ref="O449:Z458" ca="1" si="136">RAND()*sumweights</f>
        <v>9.8894538612127487</v>
      </c>
      <c r="P449" s="30">
        <f t="shared" ca="1" si="136"/>
        <v>8.0415527798475441</v>
      </c>
      <c r="Q449" s="30">
        <f t="shared" ca="1" si="136"/>
        <v>1.0203362979527699</v>
      </c>
      <c r="R449" s="30">
        <f t="shared" ca="1" si="136"/>
        <v>1.9161014471295557</v>
      </c>
      <c r="S449" s="30">
        <f t="shared" ca="1" si="136"/>
        <v>5.000681166771578</v>
      </c>
      <c r="T449" s="30">
        <f t="shared" ca="1" si="136"/>
        <v>21.811134463118655</v>
      </c>
      <c r="U449" s="30">
        <f t="shared" ca="1" si="136"/>
        <v>32.011449371436946</v>
      </c>
      <c r="V449" s="30">
        <f t="shared" ca="1" si="136"/>
        <v>18.623337328208539</v>
      </c>
      <c r="W449" s="30">
        <f t="shared" ca="1" si="136"/>
        <v>0.32908946550807283</v>
      </c>
      <c r="X449" s="30">
        <f t="shared" ca="1" si="136"/>
        <v>1.9081694215527656</v>
      </c>
      <c r="Y449" s="30">
        <f t="shared" ca="1" si="136"/>
        <v>4.6301367645020424</v>
      </c>
      <c r="Z449" s="30">
        <f t="shared" ca="1" si="136"/>
        <v>13.251864811274489</v>
      </c>
      <c r="AA449" s="26">
        <v>441</v>
      </c>
      <c r="AB449" s="31">
        <f t="shared" ca="1" si="130"/>
        <v>12</v>
      </c>
      <c r="AC449" s="31">
        <f t="shared" ca="1" si="119"/>
        <v>10</v>
      </c>
      <c r="AD449" s="31">
        <f t="shared" ca="1" si="120"/>
        <v>2</v>
      </c>
      <c r="AE449" s="31">
        <f t="shared" ca="1" si="121"/>
        <v>2</v>
      </c>
      <c r="AF449" s="31">
        <f t="shared" ca="1" si="122"/>
        <v>6</v>
      </c>
      <c r="AG449" s="31">
        <f t="shared" ca="1" si="123"/>
        <v>35</v>
      </c>
      <c r="AH449" s="31">
        <f t="shared" ca="1" si="124"/>
        <v>106</v>
      </c>
      <c r="AI449" s="31">
        <f t="shared" ca="1" si="125"/>
        <v>27</v>
      </c>
      <c r="AJ449" s="31">
        <f t="shared" ca="1" si="126"/>
        <v>1</v>
      </c>
      <c r="AK449" s="31">
        <f t="shared" ca="1" si="127"/>
        <v>2</v>
      </c>
      <c r="AL449" s="31">
        <f t="shared" ca="1" si="128"/>
        <v>5</v>
      </c>
      <c r="AM449" s="31">
        <f t="shared" ca="1" si="129"/>
        <v>17</v>
      </c>
    </row>
    <row r="450" spans="14:39">
      <c r="N450" s="26">
        <v>442</v>
      </c>
      <c r="O450" s="30">
        <f t="shared" ca="1" si="136"/>
        <v>15.762253623618545</v>
      </c>
      <c r="P450" s="30">
        <f t="shared" ca="1" si="136"/>
        <v>16.214739697784797</v>
      </c>
      <c r="Q450" s="30">
        <f t="shared" ca="1" si="136"/>
        <v>13.907561446143383</v>
      </c>
      <c r="R450" s="30">
        <f t="shared" ca="1" si="136"/>
        <v>15.60941554874333</v>
      </c>
      <c r="S450" s="30">
        <f t="shared" ca="1" si="136"/>
        <v>16.989691973575127</v>
      </c>
      <c r="T450" s="30">
        <f t="shared" ca="1" si="136"/>
        <v>26.051554065693978</v>
      </c>
      <c r="U450" s="30">
        <f t="shared" ca="1" si="136"/>
        <v>21.917591005932739</v>
      </c>
      <c r="V450" s="30">
        <f t="shared" ca="1" si="136"/>
        <v>2.6857261048627841</v>
      </c>
      <c r="W450" s="30">
        <f t="shared" ca="1" si="136"/>
        <v>2.2344505299921842</v>
      </c>
      <c r="X450" s="30">
        <f t="shared" ca="1" si="136"/>
        <v>6.631899374157137</v>
      </c>
      <c r="Y450" s="30">
        <f t="shared" ca="1" si="136"/>
        <v>29.650402249623582</v>
      </c>
      <c r="Z450" s="30">
        <f t="shared" ca="1" si="136"/>
        <v>31.455620379843971</v>
      </c>
      <c r="AA450" s="26">
        <v>442</v>
      </c>
      <c r="AB450" s="31">
        <f t="shared" ca="1" si="130"/>
        <v>22</v>
      </c>
      <c r="AC450" s="31">
        <f t="shared" ca="1" si="119"/>
        <v>22</v>
      </c>
      <c r="AD450" s="31">
        <f t="shared" ca="1" si="120"/>
        <v>18</v>
      </c>
      <c r="AE450" s="31">
        <f t="shared" ca="1" si="121"/>
        <v>21</v>
      </c>
      <c r="AF450" s="31">
        <f t="shared" ca="1" si="122"/>
        <v>24</v>
      </c>
      <c r="AG450" s="31">
        <f t="shared" ca="1" si="123"/>
        <v>50</v>
      </c>
      <c r="AH450" s="31">
        <f t="shared" ca="1" si="124"/>
        <v>36</v>
      </c>
      <c r="AI450" s="31">
        <f t="shared" ca="1" si="125"/>
        <v>3</v>
      </c>
      <c r="AJ450" s="31">
        <f t="shared" ca="1" si="126"/>
        <v>3</v>
      </c>
      <c r="AK450" s="31">
        <f t="shared" ca="1" si="127"/>
        <v>8</v>
      </c>
      <c r="AL450" s="31">
        <f t="shared" ca="1" si="128"/>
        <v>73</v>
      </c>
      <c r="AM450" s="31">
        <f t="shared" ca="1" si="129"/>
        <v>95</v>
      </c>
    </row>
    <row r="451" spans="14:39">
      <c r="N451" s="26">
        <v>443</v>
      </c>
      <c r="O451" s="30">
        <f t="shared" ca="1" si="136"/>
        <v>14.834370085357543</v>
      </c>
      <c r="P451" s="30">
        <f t="shared" ca="1" si="136"/>
        <v>8.5284645544942261</v>
      </c>
      <c r="Q451" s="30">
        <f t="shared" ca="1" si="136"/>
        <v>21.661082378843695</v>
      </c>
      <c r="R451" s="30">
        <f t="shared" ca="1" si="136"/>
        <v>13.581055631316172</v>
      </c>
      <c r="S451" s="30">
        <f t="shared" ca="1" si="136"/>
        <v>21.855928876632156</v>
      </c>
      <c r="T451" s="30">
        <f t="shared" ca="1" si="136"/>
        <v>32.656868192262095</v>
      </c>
      <c r="U451" s="30">
        <f t="shared" ca="1" si="136"/>
        <v>18.263397745766092</v>
      </c>
      <c r="V451" s="30">
        <f t="shared" ca="1" si="136"/>
        <v>16.001447694433146</v>
      </c>
      <c r="W451" s="30">
        <f t="shared" ca="1" si="136"/>
        <v>3.1476801145783817</v>
      </c>
      <c r="X451" s="30">
        <f t="shared" ca="1" si="136"/>
        <v>18.931421634139866</v>
      </c>
      <c r="Y451" s="30">
        <f t="shared" ca="1" si="136"/>
        <v>26.361834060424052</v>
      </c>
      <c r="Z451" s="30">
        <f t="shared" ca="1" si="136"/>
        <v>33.100939026798038</v>
      </c>
      <c r="AA451" s="26">
        <v>443</v>
      </c>
      <c r="AB451" s="31">
        <f t="shared" ca="1" si="130"/>
        <v>20</v>
      </c>
      <c r="AC451" s="31">
        <f t="shared" ca="1" si="119"/>
        <v>10</v>
      </c>
      <c r="AD451" s="31">
        <f t="shared" ca="1" si="120"/>
        <v>35</v>
      </c>
      <c r="AE451" s="31">
        <f t="shared" ca="1" si="121"/>
        <v>18</v>
      </c>
      <c r="AF451" s="31">
        <f t="shared" ca="1" si="122"/>
        <v>36</v>
      </c>
      <c r="AG451" s="31">
        <f t="shared" ca="1" si="123"/>
        <v>128</v>
      </c>
      <c r="AH451" s="31">
        <f t="shared" ca="1" si="124"/>
        <v>27</v>
      </c>
      <c r="AI451" s="31">
        <f t="shared" ca="1" si="125"/>
        <v>22</v>
      </c>
      <c r="AJ451" s="31">
        <f t="shared" ca="1" si="126"/>
        <v>4</v>
      </c>
      <c r="AK451" s="31">
        <f t="shared" ca="1" si="127"/>
        <v>28</v>
      </c>
      <c r="AL451" s="31">
        <f t="shared" ca="1" si="128"/>
        <v>52</v>
      </c>
      <c r="AM451" s="31">
        <f t="shared" ca="1" si="129"/>
        <v>164</v>
      </c>
    </row>
    <row r="452" spans="14:39">
      <c r="N452" s="26">
        <v>444</v>
      </c>
      <c r="O452" s="30">
        <f t="shared" ca="1" si="136"/>
        <v>10.119373623901554</v>
      </c>
      <c r="P452" s="30">
        <f t="shared" ca="1" si="136"/>
        <v>19.113159524828486</v>
      </c>
      <c r="Q452" s="30">
        <f t="shared" ca="1" si="136"/>
        <v>5.7435342608772828</v>
      </c>
      <c r="R452" s="30">
        <f t="shared" ca="1" si="136"/>
        <v>5.8875505495009612</v>
      </c>
      <c r="S452" s="30">
        <f t="shared" ca="1" si="136"/>
        <v>16.291136064893958</v>
      </c>
      <c r="T452" s="30">
        <f t="shared" ca="1" si="136"/>
        <v>18.339313470369767</v>
      </c>
      <c r="U452" s="30">
        <f t="shared" ca="1" si="136"/>
        <v>21.916751516324979</v>
      </c>
      <c r="V452" s="30">
        <f t="shared" ca="1" si="136"/>
        <v>17.312582315118039</v>
      </c>
      <c r="W452" s="30">
        <f t="shared" ca="1" si="136"/>
        <v>9.7638313256515428</v>
      </c>
      <c r="X452" s="30">
        <f t="shared" ca="1" si="136"/>
        <v>20.882904951098844</v>
      </c>
      <c r="Y452" s="30">
        <f t="shared" ca="1" si="136"/>
        <v>11.537181478461665</v>
      </c>
      <c r="Z452" s="30">
        <f t="shared" ca="1" si="136"/>
        <v>27.310086047519935</v>
      </c>
      <c r="AA452" s="26">
        <v>444</v>
      </c>
      <c r="AB452" s="31">
        <f t="shared" ca="1" si="130"/>
        <v>12</v>
      </c>
      <c r="AC452" s="31">
        <f t="shared" ca="1" si="119"/>
        <v>28</v>
      </c>
      <c r="AD452" s="31">
        <f t="shared" ca="1" si="120"/>
        <v>7</v>
      </c>
      <c r="AE452" s="31">
        <f t="shared" ca="1" si="121"/>
        <v>7</v>
      </c>
      <c r="AF452" s="31">
        <f t="shared" ca="1" si="122"/>
        <v>23</v>
      </c>
      <c r="AG452" s="31">
        <f t="shared" ca="1" si="123"/>
        <v>27</v>
      </c>
      <c r="AH452" s="31">
        <f t="shared" ca="1" si="124"/>
        <v>36</v>
      </c>
      <c r="AI452" s="31">
        <f t="shared" ca="1" si="125"/>
        <v>25</v>
      </c>
      <c r="AJ452" s="31">
        <f t="shared" ca="1" si="126"/>
        <v>12</v>
      </c>
      <c r="AK452" s="31">
        <f t="shared" ca="1" si="127"/>
        <v>33</v>
      </c>
      <c r="AL452" s="31">
        <f t="shared" ca="1" si="128"/>
        <v>14</v>
      </c>
      <c r="AM452" s="31">
        <f t="shared" ca="1" si="129"/>
        <v>57</v>
      </c>
    </row>
    <row r="453" spans="14:39">
      <c r="N453" s="26">
        <v>445</v>
      </c>
      <c r="O453" s="30">
        <f t="shared" ca="1" si="136"/>
        <v>27.978509069794281</v>
      </c>
      <c r="P453" s="30">
        <f t="shared" ca="1" si="136"/>
        <v>16.489141058126265</v>
      </c>
      <c r="Q453" s="30">
        <f t="shared" ca="1" si="136"/>
        <v>5.0355778721636355</v>
      </c>
      <c r="R453" s="30">
        <f t="shared" ca="1" si="136"/>
        <v>3.9962073173032588</v>
      </c>
      <c r="S453" s="30">
        <f t="shared" ca="1" si="136"/>
        <v>3.3188033030703732</v>
      </c>
      <c r="T453" s="30">
        <f t="shared" ca="1" si="136"/>
        <v>13.794370904797699</v>
      </c>
      <c r="U453" s="30">
        <f t="shared" ca="1" si="136"/>
        <v>17.345374750299847</v>
      </c>
      <c r="V453" s="30">
        <f t="shared" ca="1" si="136"/>
        <v>27.092781557123274</v>
      </c>
      <c r="W453" s="30">
        <f t="shared" ca="1" si="136"/>
        <v>26.590043532570405</v>
      </c>
      <c r="X453" s="30">
        <f t="shared" ca="1" si="136"/>
        <v>18.422923418719925</v>
      </c>
      <c r="Y453" s="30">
        <f t="shared" ca="1" si="136"/>
        <v>31.276650410873803</v>
      </c>
      <c r="Z453" s="30">
        <f t="shared" ca="1" si="136"/>
        <v>24.363547303933405</v>
      </c>
      <c r="AA453" s="26">
        <v>445</v>
      </c>
      <c r="AB453" s="31">
        <f t="shared" ca="1" si="130"/>
        <v>61</v>
      </c>
      <c r="AC453" s="31">
        <f t="shared" ca="1" si="119"/>
        <v>23</v>
      </c>
      <c r="AD453" s="31">
        <f t="shared" ca="1" si="120"/>
        <v>6</v>
      </c>
      <c r="AE453" s="31">
        <f t="shared" ca="1" si="121"/>
        <v>5</v>
      </c>
      <c r="AF453" s="31">
        <f t="shared" ca="1" si="122"/>
        <v>4</v>
      </c>
      <c r="AG453" s="31">
        <f t="shared" ca="1" si="123"/>
        <v>18</v>
      </c>
      <c r="AH453" s="31">
        <f t="shared" ca="1" si="124"/>
        <v>25</v>
      </c>
      <c r="AI453" s="31">
        <f t="shared" ca="1" si="125"/>
        <v>56</v>
      </c>
      <c r="AJ453" s="31">
        <f t="shared" ca="1" si="126"/>
        <v>53</v>
      </c>
      <c r="AK453" s="31">
        <f t="shared" ca="1" si="127"/>
        <v>27</v>
      </c>
      <c r="AL453" s="31">
        <f t="shared" ca="1" si="128"/>
        <v>92</v>
      </c>
      <c r="AM453" s="31">
        <f t="shared" ca="1" si="129"/>
        <v>44</v>
      </c>
    </row>
    <row r="454" spans="14:39">
      <c r="N454" s="26">
        <v>446</v>
      </c>
      <c r="O454" s="30">
        <f t="shared" ca="1" si="136"/>
        <v>20.099956784424258</v>
      </c>
      <c r="P454" s="30">
        <f t="shared" ca="1" si="136"/>
        <v>21.27694177447114</v>
      </c>
      <c r="Q454" s="30">
        <f t="shared" ca="1" si="136"/>
        <v>20.88047451466894</v>
      </c>
      <c r="R454" s="30">
        <f t="shared" ca="1" si="136"/>
        <v>2.4516848461164558</v>
      </c>
      <c r="S454" s="30">
        <f t="shared" ca="1" si="136"/>
        <v>28.548337778638629</v>
      </c>
      <c r="T454" s="30">
        <f t="shared" ca="1" si="136"/>
        <v>32.154888949752198</v>
      </c>
      <c r="U454" s="30">
        <f t="shared" ca="1" si="136"/>
        <v>14.697879654508737</v>
      </c>
      <c r="V454" s="30">
        <f t="shared" ca="1" si="136"/>
        <v>1.975946898925119</v>
      </c>
      <c r="W454" s="30">
        <f t="shared" ca="1" si="136"/>
        <v>27.367771471900237</v>
      </c>
      <c r="X454" s="30">
        <f t="shared" ca="1" si="136"/>
        <v>20.678177661927645</v>
      </c>
      <c r="Y454" s="30">
        <f t="shared" ca="1" si="136"/>
        <v>28.566926215744495</v>
      </c>
      <c r="Z454" s="30">
        <f t="shared" ca="1" si="136"/>
        <v>21.701988193942331</v>
      </c>
      <c r="AA454" s="26">
        <v>446</v>
      </c>
      <c r="AB454" s="31">
        <f t="shared" ca="1" si="130"/>
        <v>31</v>
      </c>
      <c r="AC454" s="31">
        <f t="shared" ca="1" si="119"/>
        <v>34</v>
      </c>
      <c r="AD454" s="31">
        <f t="shared" ca="1" si="120"/>
        <v>33</v>
      </c>
      <c r="AE454" s="31">
        <f t="shared" ca="1" si="121"/>
        <v>3</v>
      </c>
      <c r="AF454" s="31">
        <f t="shared" ca="1" si="122"/>
        <v>64</v>
      </c>
      <c r="AG454" s="31">
        <f t="shared" ca="1" si="123"/>
        <v>110</v>
      </c>
      <c r="AH454" s="31">
        <f t="shared" ca="1" si="124"/>
        <v>20</v>
      </c>
      <c r="AI454" s="31">
        <f t="shared" ca="1" si="125"/>
        <v>3</v>
      </c>
      <c r="AJ454" s="31">
        <f t="shared" ca="1" si="126"/>
        <v>57</v>
      </c>
      <c r="AK454" s="31">
        <f t="shared" ca="1" si="127"/>
        <v>32</v>
      </c>
      <c r="AL454" s="31">
        <f t="shared" ca="1" si="128"/>
        <v>64</v>
      </c>
      <c r="AM454" s="31">
        <f t="shared" ca="1" si="129"/>
        <v>35</v>
      </c>
    </row>
    <row r="455" spans="14:39">
      <c r="N455" s="26">
        <v>447</v>
      </c>
      <c r="O455" s="30">
        <f t="shared" ca="1" si="136"/>
        <v>3.4680963463240029</v>
      </c>
      <c r="P455" s="30">
        <f t="shared" ca="1" si="136"/>
        <v>23.132929879416341</v>
      </c>
      <c r="Q455" s="30">
        <f t="shared" ca="1" si="136"/>
        <v>18.20050699554216</v>
      </c>
      <c r="R455" s="30">
        <f t="shared" ca="1" si="136"/>
        <v>4.5849835968345216</v>
      </c>
      <c r="S455" s="30">
        <f t="shared" ca="1" si="136"/>
        <v>4.8170787712523238</v>
      </c>
      <c r="T455" s="30">
        <f t="shared" ca="1" si="136"/>
        <v>12.336442150830502</v>
      </c>
      <c r="U455" s="30">
        <f t="shared" ca="1" si="136"/>
        <v>1.4338994917306667</v>
      </c>
      <c r="V455" s="30">
        <f t="shared" ca="1" si="136"/>
        <v>22.434514469055312</v>
      </c>
      <c r="W455" s="30">
        <f t="shared" ca="1" si="136"/>
        <v>31.874249300836972</v>
      </c>
      <c r="X455" s="30">
        <f t="shared" ca="1" si="136"/>
        <v>9.2133895425892582</v>
      </c>
      <c r="Y455" s="30">
        <f t="shared" ca="1" si="136"/>
        <v>23.959472037489572</v>
      </c>
      <c r="Z455" s="30">
        <f t="shared" ca="1" si="136"/>
        <v>20.146540965028141</v>
      </c>
      <c r="AA455" s="26">
        <v>447</v>
      </c>
      <c r="AB455" s="31">
        <f t="shared" ca="1" si="130"/>
        <v>4</v>
      </c>
      <c r="AC455" s="31">
        <f t="shared" ca="1" si="119"/>
        <v>39</v>
      </c>
      <c r="AD455" s="31">
        <f t="shared" ca="1" si="120"/>
        <v>26</v>
      </c>
      <c r="AE455" s="31">
        <f t="shared" ca="1" si="121"/>
        <v>5</v>
      </c>
      <c r="AF455" s="31">
        <f t="shared" ca="1" si="122"/>
        <v>6</v>
      </c>
      <c r="AG455" s="31">
        <f t="shared" ca="1" si="123"/>
        <v>16</v>
      </c>
      <c r="AH455" s="31">
        <f t="shared" ca="1" si="124"/>
        <v>2</v>
      </c>
      <c r="AI455" s="31">
        <f t="shared" ca="1" si="125"/>
        <v>37</v>
      </c>
      <c r="AJ455" s="31">
        <f t="shared" ca="1" si="126"/>
        <v>103</v>
      </c>
      <c r="AK455" s="31">
        <f t="shared" ca="1" si="127"/>
        <v>11</v>
      </c>
      <c r="AL455" s="31">
        <f t="shared" ca="1" si="128"/>
        <v>42</v>
      </c>
      <c r="AM455" s="31">
        <f t="shared" ca="1" si="129"/>
        <v>31</v>
      </c>
    </row>
    <row r="456" spans="14:39">
      <c r="N456" s="26">
        <v>448</v>
      </c>
      <c r="O456" s="30">
        <f t="shared" ca="1" si="136"/>
        <v>22.387558090813652</v>
      </c>
      <c r="P456" s="30">
        <f t="shared" ca="1" si="136"/>
        <v>8.4361752258277356</v>
      </c>
      <c r="Q456" s="30">
        <f t="shared" ca="1" si="136"/>
        <v>14.945735547457296</v>
      </c>
      <c r="R456" s="30">
        <f t="shared" ca="1" si="136"/>
        <v>30.261707961298534</v>
      </c>
      <c r="S456" s="30">
        <f t="shared" ca="1" si="136"/>
        <v>5.2650296885364831</v>
      </c>
      <c r="T456" s="30">
        <f t="shared" ca="1" si="136"/>
        <v>7.9465332035131899</v>
      </c>
      <c r="U456" s="30">
        <f t="shared" ca="1" si="136"/>
        <v>30.846673467412472</v>
      </c>
      <c r="V456" s="30">
        <f t="shared" ca="1" si="136"/>
        <v>32.474154791032845</v>
      </c>
      <c r="W456" s="30">
        <f t="shared" ca="1" si="136"/>
        <v>23.218209543025079</v>
      </c>
      <c r="X456" s="30">
        <f t="shared" ca="1" si="136"/>
        <v>6.8168190111592812</v>
      </c>
      <c r="Y456" s="30">
        <f t="shared" ca="1" si="136"/>
        <v>20.375653757663869</v>
      </c>
      <c r="Z456" s="30">
        <f t="shared" ca="1" si="136"/>
        <v>7.3591221478951176</v>
      </c>
      <c r="AA456" s="26">
        <v>448</v>
      </c>
      <c r="AB456" s="31">
        <f t="shared" ca="1" si="130"/>
        <v>37</v>
      </c>
      <c r="AC456" s="31">
        <f t="shared" ca="1" si="119"/>
        <v>10</v>
      </c>
      <c r="AD456" s="31">
        <f t="shared" ca="1" si="120"/>
        <v>20</v>
      </c>
      <c r="AE456" s="31">
        <f t="shared" ca="1" si="121"/>
        <v>79</v>
      </c>
      <c r="AF456" s="31">
        <f t="shared" ca="1" si="122"/>
        <v>6</v>
      </c>
      <c r="AG456" s="31">
        <f t="shared" ca="1" si="123"/>
        <v>9</v>
      </c>
      <c r="AH456" s="31">
        <f t="shared" ca="1" si="124"/>
        <v>86</v>
      </c>
      <c r="AI456" s="31">
        <f t="shared" ca="1" si="125"/>
        <v>121</v>
      </c>
      <c r="AJ456" s="31">
        <f t="shared" ca="1" si="126"/>
        <v>40</v>
      </c>
      <c r="AK456" s="31">
        <f t="shared" ca="1" si="127"/>
        <v>8</v>
      </c>
      <c r="AL456" s="31">
        <f t="shared" ca="1" si="128"/>
        <v>32</v>
      </c>
      <c r="AM456" s="31">
        <f t="shared" ca="1" si="129"/>
        <v>9</v>
      </c>
    </row>
    <row r="457" spans="14:39">
      <c r="N457" s="26">
        <v>449</v>
      </c>
      <c r="O457" s="30">
        <f t="shared" ca="1" si="136"/>
        <v>4.0895814117745637</v>
      </c>
      <c r="P457" s="30">
        <f t="shared" ca="1" si="136"/>
        <v>10.662282215702632</v>
      </c>
      <c r="Q457" s="30">
        <f t="shared" ca="1" si="136"/>
        <v>25.656816230067843</v>
      </c>
      <c r="R457" s="30">
        <f t="shared" ca="1" si="136"/>
        <v>17.146734084356812</v>
      </c>
      <c r="S457" s="30">
        <f t="shared" ca="1" si="136"/>
        <v>4.1676556633419395</v>
      </c>
      <c r="T457" s="30">
        <f t="shared" ca="1" si="136"/>
        <v>2.197231392837959</v>
      </c>
      <c r="U457" s="30">
        <f t="shared" ca="1" si="136"/>
        <v>3.7402013914329615</v>
      </c>
      <c r="V457" s="30">
        <f t="shared" ca="1" si="136"/>
        <v>2.3450719164373615</v>
      </c>
      <c r="W457" s="30">
        <f t="shared" ca="1" si="136"/>
        <v>6.8515973191066424</v>
      </c>
      <c r="X457" s="30">
        <f t="shared" ca="1" si="136"/>
        <v>28.372211971421681</v>
      </c>
      <c r="Y457" s="30">
        <f t="shared" ca="1" si="136"/>
        <v>0.87963630985928387</v>
      </c>
      <c r="Z457" s="30">
        <f t="shared" ca="1" si="136"/>
        <v>13.493606065742991</v>
      </c>
      <c r="AA457" s="26">
        <v>449</v>
      </c>
      <c r="AB457" s="31">
        <f t="shared" ca="1" si="130"/>
        <v>5</v>
      </c>
      <c r="AC457" s="31">
        <f t="shared" ref="AC457:AC520" ca="1" si="137">MATCH(P457,cum_wt,1)</f>
        <v>13</v>
      </c>
      <c r="AD457" s="31">
        <f t="shared" ref="AD457:AD520" ca="1" si="138">MATCH(Q457,cum_wt,1)</f>
        <v>49</v>
      </c>
      <c r="AE457" s="31">
        <f t="shared" ref="AE457:AE520" ca="1" si="139">MATCH(R457,cum_wt,1)</f>
        <v>24</v>
      </c>
      <c r="AF457" s="31">
        <f t="shared" ref="AF457:AF520" ca="1" si="140">MATCH(S457,cum_wt,1)</f>
        <v>5</v>
      </c>
      <c r="AG457" s="31">
        <f t="shared" ref="AG457:AG520" ca="1" si="141">MATCH(T457,cum_wt,1)</f>
        <v>3</v>
      </c>
      <c r="AH457" s="31">
        <f t="shared" ref="AH457:AH520" ca="1" si="142">MATCH(U457,cum_wt,1)</f>
        <v>4</v>
      </c>
      <c r="AI457" s="31">
        <f t="shared" ref="AI457:AI520" ca="1" si="143">MATCH(V457,cum_wt,1)</f>
        <v>3</v>
      </c>
      <c r="AJ457" s="31">
        <f t="shared" ref="AJ457:AJ520" ca="1" si="144">MATCH(W457,cum_wt,1)</f>
        <v>8</v>
      </c>
      <c r="AK457" s="31">
        <f t="shared" ref="AK457:AK520" ca="1" si="145">MATCH(X457,cum_wt,1)</f>
        <v>63</v>
      </c>
      <c r="AL457" s="31">
        <f t="shared" ref="AL457:AL520" ca="1" si="146">MATCH(Y457,cum_wt,1)</f>
        <v>1</v>
      </c>
      <c r="AM457" s="31">
        <f t="shared" ref="AM457:AM520" ca="1" si="147">MATCH(Z457,cum_wt,1)</f>
        <v>18</v>
      </c>
    </row>
    <row r="458" spans="14:39">
      <c r="N458" s="26">
        <v>450</v>
      </c>
      <c r="O458" s="30">
        <f t="shared" ca="1" si="136"/>
        <v>10.038152180857123</v>
      </c>
      <c r="P458" s="30">
        <f t="shared" ca="1" si="136"/>
        <v>28.702072778595671</v>
      </c>
      <c r="Q458" s="30">
        <f t="shared" ca="1" si="136"/>
        <v>27.366716035208558</v>
      </c>
      <c r="R458" s="30">
        <f t="shared" ca="1" si="136"/>
        <v>28.573494530623165</v>
      </c>
      <c r="S458" s="30">
        <f t="shared" ca="1" si="136"/>
        <v>4.6351094219016593</v>
      </c>
      <c r="T458" s="30">
        <f t="shared" ca="1" si="136"/>
        <v>26.906501269163115</v>
      </c>
      <c r="U458" s="30">
        <f t="shared" ca="1" si="136"/>
        <v>13.571954776623077</v>
      </c>
      <c r="V458" s="30">
        <f t="shared" ca="1" si="136"/>
        <v>9.0046230558695939</v>
      </c>
      <c r="W458" s="30">
        <f t="shared" ca="1" si="136"/>
        <v>4.1083180152664456</v>
      </c>
      <c r="X458" s="30">
        <f t="shared" ca="1" si="136"/>
        <v>22.716997075538458</v>
      </c>
      <c r="Y458" s="30">
        <f t="shared" ca="1" si="136"/>
        <v>5.6708031510172603</v>
      </c>
      <c r="Z458" s="30">
        <f t="shared" ca="1" si="136"/>
        <v>19.621677118050485</v>
      </c>
      <c r="AA458" s="26">
        <v>450</v>
      </c>
      <c r="AB458" s="31">
        <f t="shared" ref="AB458:AB521" ca="1" si="148">MATCH(O458,cum_wt,1)</f>
        <v>12</v>
      </c>
      <c r="AC458" s="31">
        <f t="shared" ca="1" si="137"/>
        <v>65</v>
      </c>
      <c r="AD458" s="31">
        <f t="shared" ca="1" si="138"/>
        <v>57</v>
      </c>
      <c r="AE458" s="31">
        <f t="shared" ca="1" si="139"/>
        <v>64</v>
      </c>
      <c r="AF458" s="31">
        <f t="shared" ca="1" si="140"/>
        <v>5</v>
      </c>
      <c r="AG458" s="31">
        <f t="shared" ca="1" si="141"/>
        <v>55</v>
      </c>
      <c r="AH458" s="31">
        <f t="shared" ca="1" si="142"/>
        <v>18</v>
      </c>
      <c r="AI458" s="31">
        <f t="shared" ca="1" si="143"/>
        <v>11</v>
      </c>
      <c r="AJ458" s="31">
        <f t="shared" ca="1" si="144"/>
        <v>5</v>
      </c>
      <c r="AK458" s="31">
        <f t="shared" ca="1" si="145"/>
        <v>38</v>
      </c>
      <c r="AL458" s="31">
        <f t="shared" ca="1" si="146"/>
        <v>7</v>
      </c>
      <c r="AM458" s="31">
        <f t="shared" ca="1" si="147"/>
        <v>30</v>
      </c>
    </row>
    <row r="459" spans="14:39">
      <c r="N459" s="26">
        <v>451</v>
      </c>
      <c r="O459" s="30">
        <f t="shared" ref="O459:Z468" ca="1" si="149">RAND()*sumweights</f>
        <v>6.3079921073072578</v>
      </c>
      <c r="P459" s="30">
        <f t="shared" ca="1" si="149"/>
        <v>33.133853862562404</v>
      </c>
      <c r="Q459" s="30">
        <f t="shared" ca="1" si="149"/>
        <v>1.809619274458248</v>
      </c>
      <c r="R459" s="30">
        <f t="shared" ca="1" si="149"/>
        <v>8.1116710173732098</v>
      </c>
      <c r="S459" s="30">
        <f t="shared" ca="1" si="149"/>
        <v>21.020306931949488</v>
      </c>
      <c r="T459" s="30">
        <f t="shared" ca="1" si="149"/>
        <v>23.650063264600078</v>
      </c>
      <c r="U459" s="30">
        <f t="shared" ca="1" si="149"/>
        <v>15.098139309558563</v>
      </c>
      <c r="V459" s="30">
        <f t="shared" ca="1" si="149"/>
        <v>24.731465541733201</v>
      </c>
      <c r="W459" s="30">
        <f t="shared" ca="1" si="149"/>
        <v>21.692237167108512</v>
      </c>
      <c r="X459" s="30">
        <f t="shared" ca="1" si="149"/>
        <v>2.2547874778582688</v>
      </c>
      <c r="Y459" s="30">
        <f t="shared" ca="1" si="149"/>
        <v>26.958485679308449</v>
      </c>
      <c r="Z459" s="30">
        <f t="shared" ca="1" si="149"/>
        <v>4.6831938843302368</v>
      </c>
      <c r="AA459" s="26">
        <v>451</v>
      </c>
      <c r="AB459" s="31">
        <f t="shared" ca="1" si="148"/>
        <v>7</v>
      </c>
      <c r="AC459" s="31">
        <f t="shared" ca="1" si="137"/>
        <v>169</v>
      </c>
      <c r="AD459" s="31">
        <f t="shared" ca="1" si="138"/>
        <v>2</v>
      </c>
      <c r="AE459" s="31">
        <f t="shared" ca="1" si="139"/>
        <v>10</v>
      </c>
      <c r="AF459" s="31">
        <f t="shared" ca="1" si="140"/>
        <v>33</v>
      </c>
      <c r="AG459" s="31">
        <f t="shared" ca="1" si="141"/>
        <v>41</v>
      </c>
      <c r="AH459" s="31">
        <f t="shared" ca="1" si="142"/>
        <v>20</v>
      </c>
      <c r="AI459" s="31">
        <f t="shared" ca="1" si="143"/>
        <v>45</v>
      </c>
      <c r="AJ459" s="31">
        <f t="shared" ca="1" si="144"/>
        <v>35</v>
      </c>
      <c r="AK459" s="31">
        <f t="shared" ca="1" si="145"/>
        <v>3</v>
      </c>
      <c r="AL459" s="31">
        <f t="shared" ca="1" si="146"/>
        <v>55</v>
      </c>
      <c r="AM459" s="31">
        <f t="shared" ca="1" si="147"/>
        <v>5</v>
      </c>
    </row>
    <row r="460" spans="14:39">
      <c r="N460" s="26">
        <v>452</v>
      </c>
      <c r="O460" s="30">
        <f t="shared" ca="1" si="149"/>
        <v>11.190589015912371</v>
      </c>
      <c r="P460" s="30">
        <f t="shared" ca="1" si="149"/>
        <v>2.5172733194231829</v>
      </c>
      <c r="Q460" s="30">
        <f t="shared" ca="1" si="149"/>
        <v>27.953541461656958</v>
      </c>
      <c r="R460" s="30">
        <f t="shared" ca="1" si="149"/>
        <v>1.8466462343410606</v>
      </c>
      <c r="S460" s="30">
        <f t="shared" ca="1" si="149"/>
        <v>32.730931952661578</v>
      </c>
      <c r="T460" s="30">
        <f t="shared" ca="1" si="149"/>
        <v>20.648358704483517</v>
      </c>
      <c r="U460" s="30">
        <f t="shared" ca="1" si="149"/>
        <v>31.152245415848718</v>
      </c>
      <c r="V460" s="30">
        <f t="shared" ca="1" si="149"/>
        <v>5.0580024490456763</v>
      </c>
      <c r="W460" s="30">
        <f t="shared" ca="1" si="149"/>
        <v>6.0907613166308909</v>
      </c>
      <c r="X460" s="30">
        <f t="shared" ca="1" si="149"/>
        <v>10.659044049361921</v>
      </c>
      <c r="Y460" s="30">
        <f t="shared" ca="1" si="149"/>
        <v>9.9446088631524372</v>
      </c>
      <c r="Z460" s="30">
        <f t="shared" ca="1" si="149"/>
        <v>24.70090870981209</v>
      </c>
      <c r="AA460" s="26">
        <v>452</v>
      </c>
      <c r="AB460" s="31">
        <f t="shared" ca="1" si="148"/>
        <v>14</v>
      </c>
      <c r="AC460" s="31">
        <f t="shared" ca="1" si="137"/>
        <v>3</v>
      </c>
      <c r="AD460" s="31">
        <f t="shared" ca="1" si="138"/>
        <v>60</v>
      </c>
      <c r="AE460" s="31">
        <f t="shared" ca="1" si="139"/>
        <v>2</v>
      </c>
      <c r="AF460" s="31">
        <f t="shared" ca="1" si="140"/>
        <v>132</v>
      </c>
      <c r="AG460" s="31">
        <f t="shared" ca="1" si="141"/>
        <v>32</v>
      </c>
      <c r="AH460" s="31">
        <f t="shared" ca="1" si="142"/>
        <v>90</v>
      </c>
      <c r="AI460" s="31">
        <f t="shared" ca="1" si="143"/>
        <v>6</v>
      </c>
      <c r="AJ460" s="31">
        <f t="shared" ca="1" si="144"/>
        <v>7</v>
      </c>
      <c r="AK460" s="31">
        <f t="shared" ca="1" si="145"/>
        <v>13</v>
      </c>
      <c r="AL460" s="31">
        <f t="shared" ca="1" si="146"/>
        <v>12</v>
      </c>
      <c r="AM460" s="31">
        <f t="shared" ca="1" si="147"/>
        <v>45</v>
      </c>
    </row>
    <row r="461" spans="14:39">
      <c r="N461" s="26">
        <v>453</v>
      </c>
      <c r="O461" s="30">
        <f t="shared" ca="1" si="149"/>
        <v>10.003043789919515</v>
      </c>
      <c r="P461" s="30">
        <f t="shared" ca="1" si="149"/>
        <v>32.541302281204587</v>
      </c>
      <c r="Q461" s="30">
        <f t="shared" ca="1" si="149"/>
        <v>23.060780737535197</v>
      </c>
      <c r="R461" s="30">
        <f t="shared" ca="1" si="149"/>
        <v>6.636102460371843</v>
      </c>
      <c r="S461" s="30">
        <f t="shared" ca="1" si="149"/>
        <v>27.811682019574981</v>
      </c>
      <c r="T461" s="30">
        <f t="shared" ca="1" si="149"/>
        <v>23.67161218595281</v>
      </c>
      <c r="U461" s="30">
        <f t="shared" ca="1" si="149"/>
        <v>19.63169097234611</v>
      </c>
      <c r="V461" s="30">
        <f t="shared" ca="1" si="149"/>
        <v>28.371814125654087</v>
      </c>
      <c r="W461" s="30">
        <f t="shared" ca="1" si="149"/>
        <v>18.69969556487009</v>
      </c>
      <c r="X461" s="30">
        <f t="shared" ca="1" si="149"/>
        <v>20.750796844957652</v>
      </c>
      <c r="Y461" s="30">
        <f t="shared" ca="1" si="149"/>
        <v>8.3672707497376209</v>
      </c>
      <c r="Z461" s="30">
        <f t="shared" ca="1" si="149"/>
        <v>13.678727608071924</v>
      </c>
      <c r="AA461" s="26">
        <v>453</v>
      </c>
      <c r="AB461" s="31">
        <f t="shared" ca="1" si="148"/>
        <v>12</v>
      </c>
      <c r="AC461" s="31">
        <f t="shared" ca="1" si="137"/>
        <v>123</v>
      </c>
      <c r="AD461" s="31">
        <f t="shared" ca="1" si="138"/>
        <v>39</v>
      </c>
      <c r="AE461" s="31">
        <f t="shared" ca="1" si="139"/>
        <v>8</v>
      </c>
      <c r="AF461" s="31">
        <f t="shared" ca="1" si="140"/>
        <v>60</v>
      </c>
      <c r="AG461" s="31">
        <f t="shared" ca="1" si="141"/>
        <v>41</v>
      </c>
      <c r="AH461" s="31">
        <f t="shared" ca="1" si="142"/>
        <v>30</v>
      </c>
      <c r="AI461" s="31">
        <f t="shared" ca="1" si="143"/>
        <v>63</v>
      </c>
      <c r="AJ461" s="31">
        <f t="shared" ca="1" si="144"/>
        <v>28</v>
      </c>
      <c r="AK461" s="31">
        <f t="shared" ca="1" si="145"/>
        <v>32</v>
      </c>
      <c r="AL461" s="31">
        <f t="shared" ca="1" si="146"/>
        <v>10</v>
      </c>
      <c r="AM461" s="31">
        <f t="shared" ca="1" si="147"/>
        <v>18</v>
      </c>
    </row>
    <row r="462" spans="14:39">
      <c r="N462" s="26">
        <v>454</v>
      </c>
      <c r="O462" s="30">
        <f t="shared" ca="1" si="149"/>
        <v>8.6393823528337457</v>
      </c>
      <c r="P462" s="30">
        <f t="shared" ca="1" si="149"/>
        <v>31.129658350232074</v>
      </c>
      <c r="Q462" s="30">
        <f t="shared" ca="1" si="149"/>
        <v>31.734581298079753</v>
      </c>
      <c r="R462" s="30">
        <f t="shared" ca="1" si="149"/>
        <v>8.387367699061036</v>
      </c>
      <c r="S462" s="30">
        <f t="shared" ca="1" si="149"/>
        <v>8.5808992360939467</v>
      </c>
      <c r="T462" s="30">
        <f t="shared" ca="1" si="149"/>
        <v>3.2034663425184031</v>
      </c>
      <c r="U462" s="30">
        <f t="shared" ca="1" si="149"/>
        <v>4.0714477832007443</v>
      </c>
      <c r="V462" s="30">
        <f t="shared" ca="1" si="149"/>
        <v>15.018972663524599</v>
      </c>
      <c r="W462" s="30">
        <f t="shared" ca="1" si="149"/>
        <v>25.513988287972275</v>
      </c>
      <c r="X462" s="30">
        <f t="shared" ca="1" si="149"/>
        <v>0.79984799341628587</v>
      </c>
      <c r="Y462" s="30">
        <f t="shared" ca="1" si="149"/>
        <v>9.7513404509320303</v>
      </c>
      <c r="Z462" s="30">
        <f t="shared" ca="1" si="149"/>
        <v>2.7864976336014355</v>
      </c>
      <c r="AA462" s="26">
        <v>454</v>
      </c>
      <c r="AB462" s="31">
        <f t="shared" ca="1" si="148"/>
        <v>10</v>
      </c>
      <c r="AC462" s="31">
        <f t="shared" ca="1" si="137"/>
        <v>90</v>
      </c>
      <c r="AD462" s="31">
        <f t="shared" ca="1" si="138"/>
        <v>100</v>
      </c>
      <c r="AE462" s="31">
        <f t="shared" ca="1" si="139"/>
        <v>10</v>
      </c>
      <c r="AF462" s="31">
        <f t="shared" ca="1" si="140"/>
        <v>10</v>
      </c>
      <c r="AG462" s="31">
        <f t="shared" ca="1" si="141"/>
        <v>4</v>
      </c>
      <c r="AH462" s="31">
        <f t="shared" ca="1" si="142"/>
        <v>5</v>
      </c>
      <c r="AI462" s="31">
        <f t="shared" ca="1" si="143"/>
        <v>20</v>
      </c>
      <c r="AJ462" s="31">
        <f t="shared" ca="1" si="144"/>
        <v>48</v>
      </c>
      <c r="AK462" s="31">
        <f t="shared" ca="1" si="145"/>
        <v>1</v>
      </c>
      <c r="AL462" s="31">
        <f t="shared" ca="1" si="146"/>
        <v>12</v>
      </c>
      <c r="AM462" s="31">
        <f t="shared" ca="1" si="147"/>
        <v>3</v>
      </c>
    </row>
    <row r="463" spans="14:39">
      <c r="N463" s="26">
        <v>455</v>
      </c>
      <c r="O463" s="30">
        <f t="shared" ca="1" si="149"/>
        <v>5.8882943672356642</v>
      </c>
      <c r="P463" s="30">
        <f t="shared" ca="1" si="149"/>
        <v>23.664423445586607</v>
      </c>
      <c r="Q463" s="30">
        <f t="shared" ca="1" si="149"/>
        <v>20.535513108467089</v>
      </c>
      <c r="R463" s="30">
        <f t="shared" ca="1" si="149"/>
        <v>11.203985898608547</v>
      </c>
      <c r="S463" s="30">
        <f t="shared" ca="1" si="149"/>
        <v>9.3962454251655814</v>
      </c>
      <c r="T463" s="30">
        <f t="shared" ca="1" si="149"/>
        <v>31.25343475105684</v>
      </c>
      <c r="U463" s="30">
        <f t="shared" ca="1" si="149"/>
        <v>4.6807142858323427</v>
      </c>
      <c r="V463" s="30">
        <f t="shared" ca="1" si="149"/>
        <v>25.198414878159909</v>
      </c>
      <c r="W463" s="30">
        <f t="shared" ca="1" si="149"/>
        <v>8.410980147839334</v>
      </c>
      <c r="X463" s="30">
        <f t="shared" ca="1" si="149"/>
        <v>0.63902899168672511</v>
      </c>
      <c r="Y463" s="30">
        <f t="shared" ca="1" si="149"/>
        <v>24.856393269744753</v>
      </c>
      <c r="Z463" s="30">
        <f t="shared" ca="1" si="149"/>
        <v>4.0751703234212062</v>
      </c>
      <c r="AA463" s="26">
        <v>455</v>
      </c>
      <c r="AB463" s="31">
        <f t="shared" ca="1" si="148"/>
        <v>7</v>
      </c>
      <c r="AC463" s="31">
        <f t="shared" ca="1" si="137"/>
        <v>41</v>
      </c>
      <c r="AD463" s="31">
        <f t="shared" ca="1" si="138"/>
        <v>32</v>
      </c>
      <c r="AE463" s="31">
        <f t="shared" ca="1" si="139"/>
        <v>14</v>
      </c>
      <c r="AF463" s="31">
        <f t="shared" ca="1" si="140"/>
        <v>11</v>
      </c>
      <c r="AG463" s="31">
        <f t="shared" ca="1" si="141"/>
        <v>92</v>
      </c>
      <c r="AH463" s="31">
        <f t="shared" ca="1" si="142"/>
        <v>5</v>
      </c>
      <c r="AI463" s="31">
        <f t="shared" ca="1" si="143"/>
        <v>47</v>
      </c>
      <c r="AJ463" s="31">
        <f t="shared" ca="1" si="144"/>
        <v>10</v>
      </c>
      <c r="AK463" s="31">
        <f t="shared" ca="1" si="145"/>
        <v>1</v>
      </c>
      <c r="AL463" s="31">
        <f t="shared" ca="1" si="146"/>
        <v>45</v>
      </c>
      <c r="AM463" s="31">
        <f t="shared" ca="1" si="147"/>
        <v>5</v>
      </c>
    </row>
    <row r="464" spans="14:39">
      <c r="N464" s="26">
        <v>456</v>
      </c>
      <c r="O464" s="30">
        <f t="shared" ca="1" si="149"/>
        <v>8.3051361865380695</v>
      </c>
      <c r="P464" s="30">
        <f t="shared" ca="1" si="149"/>
        <v>16.381593220900292</v>
      </c>
      <c r="Q464" s="30">
        <f t="shared" ca="1" si="149"/>
        <v>13.523940516915442</v>
      </c>
      <c r="R464" s="30">
        <f t="shared" ca="1" si="149"/>
        <v>3.953812982572424</v>
      </c>
      <c r="S464" s="30">
        <f t="shared" ca="1" si="149"/>
        <v>33.224479929472736</v>
      </c>
      <c r="T464" s="30">
        <f t="shared" ca="1" si="149"/>
        <v>6.7927611897194637</v>
      </c>
      <c r="U464" s="30">
        <f t="shared" ca="1" si="149"/>
        <v>7.5286039556919651</v>
      </c>
      <c r="V464" s="30">
        <f t="shared" ca="1" si="149"/>
        <v>9.3191765913974098</v>
      </c>
      <c r="W464" s="30">
        <f t="shared" ca="1" si="149"/>
        <v>29.44843099530792</v>
      </c>
      <c r="X464" s="30">
        <f t="shared" ca="1" si="149"/>
        <v>16.634276288998272</v>
      </c>
      <c r="Y464" s="30">
        <f t="shared" ca="1" si="149"/>
        <v>18.250871886647452</v>
      </c>
      <c r="Z464" s="30">
        <f t="shared" ca="1" si="149"/>
        <v>19.719836731490435</v>
      </c>
      <c r="AA464" s="26">
        <v>456</v>
      </c>
      <c r="AB464" s="31">
        <f t="shared" ca="1" si="148"/>
        <v>10</v>
      </c>
      <c r="AC464" s="31">
        <f t="shared" ca="1" si="137"/>
        <v>23</v>
      </c>
      <c r="AD464" s="31">
        <f t="shared" ca="1" si="138"/>
        <v>18</v>
      </c>
      <c r="AE464" s="31">
        <f t="shared" ca="1" si="139"/>
        <v>5</v>
      </c>
      <c r="AF464" s="31">
        <f t="shared" ca="1" si="140"/>
        <v>188</v>
      </c>
      <c r="AG464" s="31">
        <f t="shared" ca="1" si="141"/>
        <v>8</v>
      </c>
      <c r="AH464" s="31">
        <f t="shared" ca="1" si="142"/>
        <v>9</v>
      </c>
      <c r="AI464" s="31">
        <f t="shared" ca="1" si="143"/>
        <v>11</v>
      </c>
      <c r="AJ464" s="31">
        <f t="shared" ca="1" si="144"/>
        <v>71</v>
      </c>
      <c r="AK464" s="31">
        <f t="shared" ca="1" si="145"/>
        <v>23</v>
      </c>
      <c r="AL464" s="31">
        <f t="shared" ca="1" si="146"/>
        <v>27</v>
      </c>
      <c r="AM464" s="31">
        <f t="shared" ca="1" si="147"/>
        <v>30</v>
      </c>
    </row>
    <row r="465" spans="14:39">
      <c r="N465" s="26">
        <v>457</v>
      </c>
      <c r="O465" s="30">
        <f t="shared" ca="1" si="149"/>
        <v>12.345518626775759</v>
      </c>
      <c r="P465" s="30">
        <f t="shared" ca="1" si="149"/>
        <v>24.081931156807453</v>
      </c>
      <c r="Q465" s="30">
        <f t="shared" ca="1" si="149"/>
        <v>28.196943610143073</v>
      </c>
      <c r="R465" s="30">
        <f t="shared" ca="1" si="149"/>
        <v>33.187752653704429</v>
      </c>
      <c r="S465" s="30">
        <f t="shared" ca="1" si="149"/>
        <v>16.687983391242199</v>
      </c>
      <c r="T465" s="30">
        <f t="shared" ca="1" si="149"/>
        <v>4.172274090900788</v>
      </c>
      <c r="U465" s="30">
        <f t="shared" ca="1" si="149"/>
        <v>14.548672736765409</v>
      </c>
      <c r="V465" s="30">
        <f t="shared" ca="1" si="149"/>
        <v>26.113884184284505</v>
      </c>
      <c r="W465" s="30">
        <f t="shared" ca="1" si="149"/>
        <v>21.027505803780308</v>
      </c>
      <c r="X465" s="30">
        <f t="shared" ca="1" si="149"/>
        <v>20.125897503108302</v>
      </c>
      <c r="Y465" s="30">
        <f t="shared" ca="1" si="149"/>
        <v>5.5596692865188375</v>
      </c>
      <c r="Z465" s="30">
        <f t="shared" ca="1" si="149"/>
        <v>30.588105264899927</v>
      </c>
      <c r="AA465" s="26">
        <v>457</v>
      </c>
      <c r="AB465" s="31">
        <f t="shared" ca="1" si="148"/>
        <v>16</v>
      </c>
      <c r="AC465" s="31">
        <f t="shared" ca="1" si="137"/>
        <v>43</v>
      </c>
      <c r="AD465" s="31">
        <f t="shared" ca="1" si="138"/>
        <v>62</v>
      </c>
      <c r="AE465" s="31">
        <f t="shared" ca="1" si="139"/>
        <v>179</v>
      </c>
      <c r="AF465" s="31">
        <f t="shared" ca="1" si="140"/>
        <v>23</v>
      </c>
      <c r="AG465" s="31">
        <f t="shared" ca="1" si="141"/>
        <v>5</v>
      </c>
      <c r="AH465" s="31">
        <f t="shared" ca="1" si="142"/>
        <v>19</v>
      </c>
      <c r="AI465" s="31">
        <f t="shared" ca="1" si="143"/>
        <v>51</v>
      </c>
      <c r="AJ465" s="31">
        <f t="shared" ca="1" si="144"/>
        <v>33</v>
      </c>
      <c r="AK465" s="31">
        <f t="shared" ca="1" si="145"/>
        <v>31</v>
      </c>
      <c r="AL465" s="31">
        <f t="shared" ca="1" si="146"/>
        <v>6</v>
      </c>
      <c r="AM465" s="31">
        <f t="shared" ca="1" si="147"/>
        <v>82</v>
      </c>
    </row>
    <row r="466" spans="14:39">
      <c r="N466" s="26">
        <v>458</v>
      </c>
      <c r="O466" s="30">
        <f t="shared" ca="1" si="149"/>
        <v>23.034219945905861</v>
      </c>
      <c r="P466" s="30">
        <f t="shared" ca="1" si="149"/>
        <v>30.000798688958632</v>
      </c>
      <c r="Q466" s="30">
        <f t="shared" ca="1" si="149"/>
        <v>0.11334030210929981</v>
      </c>
      <c r="R466" s="30">
        <f t="shared" ca="1" si="149"/>
        <v>32.018424052238615</v>
      </c>
      <c r="S466" s="30">
        <f t="shared" ca="1" si="149"/>
        <v>6.3108247805798579</v>
      </c>
      <c r="T466" s="30">
        <f t="shared" ca="1" si="149"/>
        <v>23.580034715298286</v>
      </c>
      <c r="U466" s="30">
        <f t="shared" ca="1" si="149"/>
        <v>14.997043909937673</v>
      </c>
      <c r="V466" s="30">
        <f t="shared" ca="1" si="149"/>
        <v>21.199667682534926</v>
      </c>
      <c r="W466" s="30">
        <f t="shared" ca="1" si="149"/>
        <v>11.608491463546516</v>
      </c>
      <c r="X466" s="30">
        <f t="shared" ca="1" si="149"/>
        <v>7.8600992825411868</v>
      </c>
      <c r="Y466" s="30">
        <f t="shared" ca="1" si="149"/>
        <v>4.4218018092908142</v>
      </c>
      <c r="Z466" s="30">
        <f t="shared" ca="1" si="149"/>
        <v>11.702722949090832</v>
      </c>
      <c r="AA466" s="26">
        <v>458</v>
      </c>
      <c r="AB466" s="31">
        <f t="shared" ca="1" si="148"/>
        <v>39</v>
      </c>
      <c r="AC466" s="31">
        <f t="shared" ca="1" si="137"/>
        <v>76</v>
      </c>
      <c r="AD466" s="31">
        <f t="shared" ca="1" si="138"/>
        <v>1</v>
      </c>
      <c r="AE466" s="31">
        <f t="shared" ca="1" si="139"/>
        <v>107</v>
      </c>
      <c r="AF466" s="31">
        <f t="shared" ca="1" si="140"/>
        <v>7</v>
      </c>
      <c r="AG466" s="31">
        <f t="shared" ca="1" si="141"/>
        <v>41</v>
      </c>
      <c r="AH466" s="31">
        <f t="shared" ca="1" si="142"/>
        <v>20</v>
      </c>
      <c r="AI466" s="31">
        <f t="shared" ca="1" si="143"/>
        <v>34</v>
      </c>
      <c r="AJ466" s="31">
        <f t="shared" ca="1" si="144"/>
        <v>15</v>
      </c>
      <c r="AK466" s="31">
        <f t="shared" ca="1" si="145"/>
        <v>9</v>
      </c>
      <c r="AL466" s="31">
        <f t="shared" ca="1" si="146"/>
        <v>5</v>
      </c>
      <c r="AM466" s="31">
        <f t="shared" ca="1" si="147"/>
        <v>15</v>
      </c>
    </row>
    <row r="467" spans="14:39">
      <c r="N467" s="26">
        <v>459</v>
      </c>
      <c r="O467" s="30">
        <f t="shared" ca="1" si="149"/>
        <v>22.320729737446065</v>
      </c>
      <c r="P467" s="30">
        <f t="shared" ca="1" si="149"/>
        <v>25.53013419732109</v>
      </c>
      <c r="Q467" s="30">
        <f t="shared" ca="1" si="149"/>
        <v>14.105088927425028</v>
      </c>
      <c r="R467" s="30">
        <f t="shared" ca="1" si="149"/>
        <v>1.4857656307668681</v>
      </c>
      <c r="S467" s="30">
        <f t="shared" ca="1" si="149"/>
        <v>9.753851055424084</v>
      </c>
      <c r="T467" s="30">
        <f t="shared" ca="1" si="149"/>
        <v>24.380164274109742</v>
      </c>
      <c r="U467" s="30">
        <f t="shared" ca="1" si="149"/>
        <v>16.554597019827519</v>
      </c>
      <c r="V467" s="30">
        <f t="shared" ca="1" si="149"/>
        <v>2.857712763046012</v>
      </c>
      <c r="W467" s="30">
        <f t="shared" ca="1" si="149"/>
        <v>13.459282102554232</v>
      </c>
      <c r="X467" s="30">
        <f t="shared" ca="1" si="149"/>
        <v>31.853629684501431</v>
      </c>
      <c r="Y467" s="30">
        <f t="shared" ca="1" si="149"/>
        <v>19.632073739729169</v>
      </c>
      <c r="Z467" s="30">
        <f t="shared" ca="1" si="149"/>
        <v>6.813881710857479</v>
      </c>
      <c r="AA467" s="26">
        <v>459</v>
      </c>
      <c r="AB467" s="31">
        <f t="shared" ca="1" si="148"/>
        <v>37</v>
      </c>
      <c r="AC467" s="31">
        <f t="shared" ca="1" si="137"/>
        <v>48</v>
      </c>
      <c r="AD467" s="31">
        <f t="shared" ca="1" si="138"/>
        <v>19</v>
      </c>
      <c r="AE467" s="31">
        <f t="shared" ca="1" si="139"/>
        <v>2</v>
      </c>
      <c r="AF467" s="31">
        <f t="shared" ca="1" si="140"/>
        <v>12</v>
      </c>
      <c r="AG467" s="31">
        <f t="shared" ca="1" si="141"/>
        <v>44</v>
      </c>
      <c r="AH467" s="31">
        <f t="shared" ca="1" si="142"/>
        <v>23</v>
      </c>
      <c r="AI467" s="31">
        <f t="shared" ca="1" si="143"/>
        <v>3</v>
      </c>
      <c r="AJ467" s="31">
        <f t="shared" ca="1" si="144"/>
        <v>17</v>
      </c>
      <c r="AK467" s="31">
        <f t="shared" ca="1" si="145"/>
        <v>103</v>
      </c>
      <c r="AL467" s="31">
        <f t="shared" ca="1" si="146"/>
        <v>30</v>
      </c>
      <c r="AM467" s="31">
        <f t="shared" ca="1" si="147"/>
        <v>8</v>
      </c>
    </row>
    <row r="468" spans="14:39">
      <c r="N468" s="26">
        <v>460</v>
      </c>
      <c r="O468" s="30">
        <f t="shared" ca="1" si="149"/>
        <v>23.836177146506117</v>
      </c>
      <c r="P468" s="30">
        <f t="shared" ca="1" si="149"/>
        <v>1.3127216655827474</v>
      </c>
      <c r="Q468" s="30">
        <f t="shared" ca="1" si="149"/>
        <v>24.048719012275932</v>
      </c>
      <c r="R468" s="30">
        <f t="shared" ca="1" si="149"/>
        <v>20.705064451683629</v>
      </c>
      <c r="S468" s="30">
        <f t="shared" ca="1" si="149"/>
        <v>5.3483126497675197</v>
      </c>
      <c r="T468" s="30">
        <f t="shared" ca="1" si="149"/>
        <v>28.649971418835033</v>
      </c>
      <c r="U468" s="30">
        <f t="shared" ca="1" si="149"/>
        <v>1.4567061364645932</v>
      </c>
      <c r="V468" s="30">
        <f t="shared" ca="1" si="149"/>
        <v>4.4366604184510647</v>
      </c>
      <c r="W468" s="30">
        <f t="shared" ca="1" si="149"/>
        <v>22.353600828683323</v>
      </c>
      <c r="X468" s="30">
        <f t="shared" ca="1" si="149"/>
        <v>23.326270873131534</v>
      </c>
      <c r="Y468" s="30">
        <f t="shared" ca="1" si="149"/>
        <v>9.3561660369745816</v>
      </c>
      <c r="Z468" s="30">
        <f t="shared" ca="1" si="149"/>
        <v>32.451626495813642</v>
      </c>
      <c r="AA468" s="26">
        <v>460</v>
      </c>
      <c r="AB468" s="31">
        <f t="shared" ca="1" si="148"/>
        <v>42</v>
      </c>
      <c r="AC468" s="31">
        <f t="shared" ca="1" si="137"/>
        <v>2</v>
      </c>
      <c r="AD468" s="31">
        <f t="shared" ca="1" si="138"/>
        <v>42</v>
      </c>
      <c r="AE468" s="31">
        <f t="shared" ca="1" si="139"/>
        <v>32</v>
      </c>
      <c r="AF468" s="31">
        <f t="shared" ca="1" si="140"/>
        <v>6</v>
      </c>
      <c r="AG468" s="31">
        <f t="shared" ca="1" si="141"/>
        <v>65</v>
      </c>
      <c r="AH468" s="31">
        <f t="shared" ca="1" si="142"/>
        <v>2</v>
      </c>
      <c r="AI468" s="31">
        <f t="shared" ca="1" si="143"/>
        <v>5</v>
      </c>
      <c r="AJ468" s="31">
        <f t="shared" ca="1" si="144"/>
        <v>37</v>
      </c>
      <c r="AK468" s="31">
        <f t="shared" ca="1" si="145"/>
        <v>40</v>
      </c>
      <c r="AL468" s="31">
        <f t="shared" ca="1" si="146"/>
        <v>11</v>
      </c>
      <c r="AM468" s="31">
        <f t="shared" ca="1" si="147"/>
        <v>120</v>
      </c>
    </row>
    <row r="469" spans="14:39">
      <c r="N469" s="26">
        <v>461</v>
      </c>
      <c r="O469" s="30">
        <f t="shared" ref="O469:Z478" ca="1" si="150">RAND()*sumweights</f>
        <v>2.3979021807253207</v>
      </c>
      <c r="P469" s="30">
        <f t="shared" ca="1" si="150"/>
        <v>12.237089368387704</v>
      </c>
      <c r="Q469" s="30">
        <f t="shared" ca="1" si="150"/>
        <v>23.454917790083606</v>
      </c>
      <c r="R469" s="30">
        <f t="shared" ca="1" si="150"/>
        <v>2.0846638308360332</v>
      </c>
      <c r="S469" s="30">
        <f t="shared" ca="1" si="150"/>
        <v>33.078855176119148</v>
      </c>
      <c r="T469" s="30">
        <f t="shared" ca="1" si="150"/>
        <v>13.102605794362873</v>
      </c>
      <c r="U469" s="30">
        <f t="shared" ca="1" si="150"/>
        <v>16.505475822336958</v>
      </c>
      <c r="V469" s="30">
        <f t="shared" ca="1" si="150"/>
        <v>9.0424138690321083</v>
      </c>
      <c r="W469" s="30">
        <f t="shared" ca="1" si="150"/>
        <v>14.663611988690686</v>
      </c>
      <c r="X469" s="30">
        <f t="shared" ca="1" si="150"/>
        <v>22.355947721622808</v>
      </c>
      <c r="Y469" s="30">
        <f t="shared" ca="1" si="150"/>
        <v>23.196957340629975</v>
      </c>
      <c r="Z469" s="30">
        <f t="shared" ca="1" si="150"/>
        <v>1.1828360831017934</v>
      </c>
      <c r="AA469" s="26">
        <v>461</v>
      </c>
      <c r="AB469" s="31">
        <f t="shared" ca="1" si="148"/>
        <v>3</v>
      </c>
      <c r="AC469" s="31">
        <f t="shared" ca="1" si="137"/>
        <v>16</v>
      </c>
      <c r="AD469" s="31">
        <f t="shared" ca="1" si="138"/>
        <v>40</v>
      </c>
      <c r="AE469" s="31">
        <f t="shared" ca="1" si="139"/>
        <v>3</v>
      </c>
      <c r="AF469" s="31">
        <f t="shared" ca="1" si="140"/>
        <v>161</v>
      </c>
      <c r="AG469" s="31">
        <f t="shared" ca="1" si="141"/>
        <v>17</v>
      </c>
      <c r="AH469" s="31">
        <f t="shared" ca="1" si="142"/>
        <v>23</v>
      </c>
      <c r="AI469" s="31">
        <f t="shared" ca="1" si="143"/>
        <v>11</v>
      </c>
      <c r="AJ469" s="31">
        <f t="shared" ca="1" si="144"/>
        <v>20</v>
      </c>
      <c r="AK469" s="31">
        <f t="shared" ca="1" si="145"/>
        <v>37</v>
      </c>
      <c r="AL469" s="31">
        <f t="shared" ca="1" si="146"/>
        <v>40</v>
      </c>
      <c r="AM469" s="31">
        <f t="shared" ca="1" si="147"/>
        <v>2</v>
      </c>
    </row>
    <row r="470" spans="14:39">
      <c r="N470" s="26">
        <v>462</v>
      </c>
      <c r="O470" s="30">
        <f t="shared" ca="1" si="150"/>
        <v>7.2561919998893005</v>
      </c>
      <c r="P470" s="30">
        <f t="shared" ca="1" si="150"/>
        <v>28.051422564670151</v>
      </c>
      <c r="Q470" s="30">
        <f t="shared" ca="1" si="150"/>
        <v>21.78946476364009</v>
      </c>
      <c r="R470" s="30">
        <f t="shared" ca="1" si="150"/>
        <v>12.868419135432509</v>
      </c>
      <c r="S470" s="30">
        <f t="shared" ca="1" si="150"/>
        <v>13.372305350515823</v>
      </c>
      <c r="T470" s="30">
        <f t="shared" ca="1" si="150"/>
        <v>21.998838053327621</v>
      </c>
      <c r="U470" s="30">
        <f t="shared" ca="1" si="150"/>
        <v>15.932087395634655</v>
      </c>
      <c r="V470" s="30">
        <f t="shared" ca="1" si="150"/>
        <v>26.952329579632696</v>
      </c>
      <c r="W470" s="30">
        <f t="shared" ca="1" si="150"/>
        <v>17.39994128902563</v>
      </c>
      <c r="X470" s="30">
        <f t="shared" ca="1" si="150"/>
        <v>19.890431404284382</v>
      </c>
      <c r="Y470" s="30">
        <f t="shared" ca="1" si="150"/>
        <v>32.132911229249466</v>
      </c>
      <c r="Z470" s="30">
        <f t="shared" ca="1" si="150"/>
        <v>17.247857717932163</v>
      </c>
      <c r="AA470" s="26">
        <v>462</v>
      </c>
      <c r="AB470" s="31">
        <f t="shared" ca="1" si="148"/>
        <v>9</v>
      </c>
      <c r="AC470" s="31">
        <f t="shared" ca="1" si="137"/>
        <v>61</v>
      </c>
      <c r="AD470" s="31">
        <f t="shared" ca="1" si="138"/>
        <v>35</v>
      </c>
      <c r="AE470" s="31">
        <f t="shared" ca="1" si="139"/>
        <v>17</v>
      </c>
      <c r="AF470" s="31">
        <f t="shared" ca="1" si="140"/>
        <v>17</v>
      </c>
      <c r="AG470" s="31">
        <f t="shared" ca="1" si="141"/>
        <v>36</v>
      </c>
      <c r="AH470" s="31">
        <f t="shared" ca="1" si="142"/>
        <v>22</v>
      </c>
      <c r="AI470" s="31">
        <f t="shared" ca="1" si="143"/>
        <v>55</v>
      </c>
      <c r="AJ470" s="31">
        <f t="shared" ca="1" si="144"/>
        <v>25</v>
      </c>
      <c r="AK470" s="31">
        <f t="shared" ca="1" si="145"/>
        <v>30</v>
      </c>
      <c r="AL470" s="31">
        <f t="shared" ca="1" si="146"/>
        <v>110</v>
      </c>
      <c r="AM470" s="31">
        <f t="shared" ca="1" si="147"/>
        <v>24</v>
      </c>
    </row>
    <row r="471" spans="14:39">
      <c r="N471" s="26">
        <v>463</v>
      </c>
      <c r="O471" s="30">
        <f t="shared" ca="1" si="150"/>
        <v>1.1581960640806741</v>
      </c>
      <c r="P471" s="30">
        <f t="shared" ca="1" si="150"/>
        <v>10.992811649835968</v>
      </c>
      <c r="Q471" s="30">
        <f t="shared" ca="1" si="150"/>
        <v>18.631179640984453</v>
      </c>
      <c r="R471" s="30">
        <f t="shared" ca="1" si="150"/>
        <v>15.277975891001057</v>
      </c>
      <c r="S471" s="30">
        <f t="shared" ca="1" si="150"/>
        <v>24.884776871510493</v>
      </c>
      <c r="T471" s="30">
        <f t="shared" ca="1" si="150"/>
        <v>33.065269926839825</v>
      </c>
      <c r="U471" s="30">
        <f t="shared" ca="1" si="150"/>
        <v>9.7053089858555204</v>
      </c>
      <c r="V471" s="30">
        <f t="shared" ca="1" si="150"/>
        <v>10.496146205249101</v>
      </c>
      <c r="W471" s="30">
        <f t="shared" ca="1" si="150"/>
        <v>28.592154935765375</v>
      </c>
      <c r="X471" s="30">
        <f t="shared" ca="1" si="150"/>
        <v>11.827360938821156</v>
      </c>
      <c r="Y471" s="30">
        <f t="shared" ca="1" si="150"/>
        <v>29.018907211298316</v>
      </c>
      <c r="Z471" s="30">
        <f t="shared" ca="1" si="150"/>
        <v>12.534165914850488</v>
      </c>
      <c r="AA471" s="26">
        <v>463</v>
      </c>
      <c r="AB471" s="31">
        <f t="shared" ca="1" si="148"/>
        <v>2</v>
      </c>
      <c r="AC471" s="31">
        <f t="shared" ca="1" si="137"/>
        <v>14</v>
      </c>
      <c r="AD471" s="31">
        <f t="shared" ca="1" si="138"/>
        <v>27</v>
      </c>
      <c r="AE471" s="31">
        <f t="shared" ca="1" si="139"/>
        <v>21</v>
      </c>
      <c r="AF471" s="31">
        <f t="shared" ca="1" si="140"/>
        <v>46</v>
      </c>
      <c r="AG471" s="31">
        <f t="shared" ca="1" si="141"/>
        <v>159</v>
      </c>
      <c r="AH471" s="31">
        <f t="shared" ca="1" si="142"/>
        <v>12</v>
      </c>
      <c r="AI471" s="31">
        <f t="shared" ca="1" si="143"/>
        <v>13</v>
      </c>
      <c r="AJ471" s="31">
        <f t="shared" ca="1" si="144"/>
        <v>65</v>
      </c>
      <c r="AK471" s="31">
        <f t="shared" ca="1" si="145"/>
        <v>15</v>
      </c>
      <c r="AL471" s="31">
        <f t="shared" ca="1" si="146"/>
        <v>68</v>
      </c>
      <c r="AM471" s="31">
        <f t="shared" ca="1" si="147"/>
        <v>16</v>
      </c>
    </row>
    <row r="472" spans="14:39">
      <c r="N472" s="26">
        <v>464</v>
      </c>
      <c r="O472" s="30">
        <f t="shared" ca="1" si="150"/>
        <v>9.829474966981369</v>
      </c>
      <c r="P472" s="30">
        <f t="shared" ca="1" si="150"/>
        <v>20.976578110537027</v>
      </c>
      <c r="Q472" s="30">
        <f t="shared" ca="1" si="150"/>
        <v>20.191558094342255</v>
      </c>
      <c r="R472" s="30">
        <f t="shared" ca="1" si="150"/>
        <v>33.194401788129177</v>
      </c>
      <c r="S472" s="30">
        <f t="shared" ca="1" si="150"/>
        <v>15.606086574836066</v>
      </c>
      <c r="T472" s="30">
        <f t="shared" ca="1" si="150"/>
        <v>20.43957868775755</v>
      </c>
      <c r="U472" s="30">
        <f t="shared" ca="1" si="150"/>
        <v>17.632199985834891</v>
      </c>
      <c r="V472" s="30">
        <f t="shared" ca="1" si="150"/>
        <v>29.705562621486536</v>
      </c>
      <c r="W472" s="30">
        <f t="shared" ca="1" si="150"/>
        <v>20.013225167647217</v>
      </c>
      <c r="X472" s="30">
        <f t="shared" ca="1" si="150"/>
        <v>1.2341622158060495</v>
      </c>
      <c r="Y472" s="30">
        <f t="shared" ca="1" si="150"/>
        <v>14.762014132568121</v>
      </c>
      <c r="Z472" s="30">
        <f t="shared" ca="1" si="150"/>
        <v>14.497240932737894</v>
      </c>
      <c r="AA472" s="26">
        <v>464</v>
      </c>
      <c r="AB472" s="31">
        <f t="shared" ca="1" si="148"/>
        <v>12</v>
      </c>
      <c r="AC472" s="31">
        <f t="shared" ca="1" si="137"/>
        <v>33</v>
      </c>
      <c r="AD472" s="31">
        <f t="shared" ca="1" si="138"/>
        <v>31</v>
      </c>
      <c r="AE472" s="31">
        <f t="shared" ca="1" si="139"/>
        <v>180</v>
      </c>
      <c r="AF472" s="31">
        <f t="shared" ca="1" si="140"/>
        <v>21</v>
      </c>
      <c r="AG472" s="31">
        <f t="shared" ca="1" si="141"/>
        <v>32</v>
      </c>
      <c r="AH472" s="31">
        <f t="shared" ca="1" si="142"/>
        <v>25</v>
      </c>
      <c r="AI472" s="31">
        <f t="shared" ca="1" si="143"/>
        <v>73</v>
      </c>
      <c r="AJ472" s="31">
        <f t="shared" ca="1" si="144"/>
        <v>31</v>
      </c>
      <c r="AK472" s="31">
        <f t="shared" ca="1" si="145"/>
        <v>2</v>
      </c>
      <c r="AL472" s="31">
        <f t="shared" ca="1" si="146"/>
        <v>20</v>
      </c>
      <c r="AM472" s="31">
        <f t="shared" ca="1" si="147"/>
        <v>19</v>
      </c>
    </row>
    <row r="473" spans="14:39">
      <c r="N473" s="26">
        <v>465</v>
      </c>
      <c r="O473" s="30">
        <f t="shared" ca="1" si="150"/>
        <v>10.739774538357748</v>
      </c>
      <c r="P473" s="30">
        <f t="shared" ca="1" si="150"/>
        <v>27.520783236361488</v>
      </c>
      <c r="Q473" s="30">
        <f t="shared" ca="1" si="150"/>
        <v>11.292828160435441</v>
      </c>
      <c r="R473" s="30">
        <f t="shared" ca="1" si="150"/>
        <v>23.667842290391668</v>
      </c>
      <c r="S473" s="30">
        <f t="shared" ca="1" si="150"/>
        <v>23.113480368316679</v>
      </c>
      <c r="T473" s="30">
        <f t="shared" ca="1" si="150"/>
        <v>13.36519886326535</v>
      </c>
      <c r="U473" s="30">
        <f t="shared" ca="1" si="150"/>
        <v>17.563232678902871</v>
      </c>
      <c r="V473" s="30">
        <f t="shared" ca="1" si="150"/>
        <v>26.785063328072486</v>
      </c>
      <c r="W473" s="30">
        <f t="shared" ca="1" si="150"/>
        <v>19.928989838647286</v>
      </c>
      <c r="X473" s="30">
        <f t="shared" ca="1" si="150"/>
        <v>8.489002557378992</v>
      </c>
      <c r="Y473" s="30">
        <f t="shared" ca="1" si="150"/>
        <v>19.939885318274495</v>
      </c>
      <c r="Z473" s="30">
        <f t="shared" ca="1" si="150"/>
        <v>22.669761251201308</v>
      </c>
      <c r="AA473" s="26">
        <v>465</v>
      </c>
      <c r="AB473" s="31">
        <f t="shared" ca="1" si="148"/>
        <v>13</v>
      </c>
      <c r="AC473" s="31">
        <f t="shared" ca="1" si="137"/>
        <v>58</v>
      </c>
      <c r="AD473" s="31">
        <f t="shared" ca="1" si="138"/>
        <v>14</v>
      </c>
      <c r="AE473" s="31">
        <f t="shared" ca="1" si="139"/>
        <v>41</v>
      </c>
      <c r="AF473" s="31">
        <f t="shared" ca="1" si="140"/>
        <v>39</v>
      </c>
      <c r="AG473" s="31">
        <f t="shared" ca="1" si="141"/>
        <v>17</v>
      </c>
      <c r="AH473" s="31">
        <f t="shared" ca="1" si="142"/>
        <v>25</v>
      </c>
      <c r="AI473" s="31">
        <f t="shared" ca="1" si="143"/>
        <v>54</v>
      </c>
      <c r="AJ473" s="31">
        <f t="shared" ca="1" si="144"/>
        <v>30</v>
      </c>
      <c r="AK473" s="31">
        <f t="shared" ca="1" si="145"/>
        <v>10</v>
      </c>
      <c r="AL473" s="31">
        <f t="shared" ca="1" si="146"/>
        <v>30</v>
      </c>
      <c r="AM473" s="31">
        <f t="shared" ca="1" si="147"/>
        <v>38</v>
      </c>
    </row>
    <row r="474" spans="14:39">
      <c r="N474" s="26">
        <v>466</v>
      </c>
      <c r="O474" s="30">
        <f t="shared" ca="1" si="150"/>
        <v>17.569879551076486</v>
      </c>
      <c r="P474" s="30">
        <f t="shared" ca="1" si="150"/>
        <v>22.525345277413546</v>
      </c>
      <c r="Q474" s="30">
        <f t="shared" ca="1" si="150"/>
        <v>32.990504452929791</v>
      </c>
      <c r="R474" s="30">
        <f t="shared" ca="1" si="150"/>
        <v>25.919747203836028</v>
      </c>
      <c r="S474" s="30">
        <f t="shared" ca="1" si="150"/>
        <v>20.958166022559169</v>
      </c>
      <c r="T474" s="30">
        <f t="shared" ca="1" si="150"/>
        <v>6.2303087353781539</v>
      </c>
      <c r="U474" s="30">
        <f t="shared" ca="1" si="150"/>
        <v>12.021267381968549</v>
      </c>
      <c r="V474" s="30">
        <f t="shared" ca="1" si="150"/>
        <v>30.887761535251446</v>
      </c>
      <c r="W474" s="30">
        <f t="shared" ca="1" si="150"/>
        <v>24.105377398753127</v>
      </c>
      <c r="X474" s="30">
        <f t="shared" ca="1" si="150"/>
        <v>22.516971970496432</v>
      </c>
      <c r="Y474" s="30">
        <f t="shared" ca="1" si="150"/>
        <v>29.464540008377316</v>
      </c>
      <c r="Z474" s="30">
        <f t="shared" ca="1" si="150"/>
        <v>4.7820120247644837</v>
      </c>
      <c r="AA474" s="26">
        <v>466</v>
      </c>
      <c r="AB474" s="31">
        <f t="shared" ca="1" si="148"/>
        <v>25</v>
      </c>
      <c r="AC474" s="31">
        <f t="shared" ca="1" si="137"/>
        <v>37</v>
      </c>
      <c r="AD474" s="31">
        <f t="shared" ca="1" si="138"/>
        <v>151</v>
      </c>
      <c r="AE474" s="31">
        <f t="shared" ca="1" si="139"/>
        <v>50</v>
      </c>
      <c r="AF474" s="31">
        <f t="shared" ca="1" si="140"/>
        <v>33</v>
      </c>
      <c r="AG474" s="31">
        <f t="shared" ca="1" si="141"/>
        <v>7</v>
      </c>
      <c r="AH474" s="31">
        <f t="shared" ca="1" si="142"/>
        <v>15</v>
      </c>
      <c r="AI474" s="31">
        <f t="shared" ca="1" si="143"/>
        <v>86</v>
      </c>
      <c r="AJ474" s="31">
        <f t="shared" ca="1" si="144"/>
        <v>43</v>
      </c>
      <c r="AK474" s="31">
        <f t="shared" ca="1" si="145"/>
        <v>37</v>
      </c>
      <c r="AL474" s="31">
        <f t="shared" ca="1" si="146"/>
        <v>71</v>
      </c>
      <c r="AM474" s="31">
        <f t="shared" ca="1" si="147"/>
        <v>6</v>
      </c>
    </row>
    <row r="475" spans="14:39">
      <c r="N475" s="26">
        <v>467</v>
      </c>
      <c r="O475" s="30">
        <f t="shared" ca="1" si="150"/>
        <v>5.7371495773205217</v>
      </c>
      <c r="P475" s="30">
        <f t="shared" ca="1" si="150"/>
        <v>8.8679675548605417</v>
      </c>
      <c r="Q475" s="30">
        <f t="shared" ca="1" si="150"/>
        <v>18.494391601536538</v>
      </c>
      <c r="R475" s="30">
        <f t="shared" ca="1" si="150"/>
        <v>32.571426577294318</v>
      </c>
      <c r="S475" s="30">
        <f t="shared" ca="1" si="150"/>
        <v>20.566774799710384</v>
      </c>
      <c r="T475" s="30">
        <f t="shared" ca="1" si="150"/>
        <v>6.2993305373447566</v>
      </c>
      <c r="U475" s="30">
        <f t="shared" ca="1" si="150"/>
        <v>19.588249027377877</v>
      </c>
      <c r="V475" s="30">
        <f t="shared" ca="1" si="150"/>
        <v>9.1420292683437872</v>
      </c>
      <c r="W475" s="30">
        <f t="shared" ca="1" si="150"/>
        <v>26.205087461374845</v>
      </c>
      <c r="X475" s="30">
        <f t="shared" ca="1" si="150"/>
        <v>9.5595690509342166</v>
      </c>
      <c r="Y475" s="30">
        <f t="shared" ca="1" si="150"/>
        <v>16.466758948663163</v>
      </c>
      <c r="Z475" s="30">
        <f t="shared" ca="1" si="150"/>
        <v>13.89827580173413</v>
      </c>
      <c r="AA475" s="26">
        <v>467</v>
      </c>
      <c r="AB475" s="31">
        <f t="shared" ca="1" si="148"/>
        <v>7</v>
      </c>
      <c r="AC475" s="31">
        <f t="shared" ca="1" si="137"/>
        <v>11</v>
      </c>
      <c r="AD475" s="31">
        <f t="shared" ca="1" si="138"/>
        <v>27</v>
      </c>
      <c r="AE475" s="31">
        <f t="shared" ca="1" si="139"/>
        <v>125</v>
      </c>
      <c r="AF475" s="31">
        <f t="shared" ca="1" si="140"/>
        <v>32</v>
      </c>
      <c r="AG475" s="31">
        <f t="shared" ca="1" si="141"/>
        <v>7</v>
      </c>
      <c r="AH475" s="31">
        <f t="shared" ca="1" si="142"/>
        <v>30</v>
      </c>
      <c r="AI475" s="31">
        <f t="shared" ca="1" si="143"/>
        <v>11</v>
      </c>
      <c r="AJ475" s="31">
        <f t="shared" ca="1" si="144"/>
        <v>51</v>
      </c>
      <c r="AK475" s="31">
        <f t="shared" ca="1" si="145"/>
        <v>12</v>
      </c>
      <c r="AL475" s="31">
        <f t="shared" ca="1" si="146"/>
        <v>23</v>
      </c>
      <c r="AM475" s="31">
        <f t="shared" ca="1" si="147"/>
        <v>18</v>
      </c>
    </row>
    <row r="476" spans="14:39">
      <c r="N476" s="26">
        <v>468</v>
      </c>
      <c r="O476" s="30">
        <f t="shared" ca="1" si="150"/>
        <v>11.420167186220352</v>
      </c>
      <c r="P476" s="30">
        <f t="shared" ca="1" si="150"/>
        <v>6.2629163124800016</v>
      </c>
      <c r="Q476" s="30">
        <f t="shared" ca="1" si="150"/>
        <v>6.7595421745717701</v>
      </c>
      <c r="R476" s="30">
        <f t="shared" ca="1" si="150"/>
        <v>13.765084840564279</v>
      </c>
      <c r="S476" s="30">
        <f t="shared" ca="1" si="150"/>
        <v>16.551510236187916</v>
      </c>
      <c r="T476" s="30">
        <f t="shared" ca="1" si="150"/>
        <v>19.183479396761289</v>
      </c>
      <c r="U476" s="30">
        <f t="shared" ca="1" si="150"/>
        <v>12.799431724180033</v>
      </c>
      <c r="V476" s="30">
        <f t="shared" ca="1" si="150"/>
        <v>9.7307531375627363</v>
      </c>
      <c r="W476" s="30">
        <f t="shared" ca="1" si="150"/>
        <v>23.673326226644459</v>
      </c>
      <c r="X476" s="30">
        <f t="shared" ca="1" si="150"/>
        <v>6.775757951368214</v>
      </c>
      <c r="Y476" s="30">
        <f t="shared" ca="1" si="150"/>
        <v>4.5628053082334565</v>
      </c>
      <c r="Z476" s="30">
        <f t="shared" ca="1" si="150"/>
        <v>2.2676020584271832</v>
      </c>
      <c r="AA476" s="26">
        <v>468</v>
      </c>
      <c r="AB476" s="31">
        <f t="shared" ca="1" si="148"/>
        <v>14</v>
      </c>
      <c r="AC476" s="31">
        <f t="shared" ca="1" si="137"/>
        <v>7</v>
      </c>
      <c r="AD476" s="31">
        <f t="shared" ca="1" si="138"/>
        <v>8</v>
      </c>
      <c r="AE476" s="31">
        <f t="shared" ca="1" si="139"/>
        <v>18</v>
      </c>
      <c r="AF476" s="31">
        <f t="shared" ca="1" si="140"/>
        <v>23</v>
      </c>
      <c r="AG476" s="31">
        <f t="shared" ca="1" si="141"/>
        <v>29</v>
      </c>
      <c r="AH476" s="31">
        <f t="shared" ca="1" si="142"/>
        <v>16</v>
      </c>
      <c r="AI476" s="31">
        <f t="shared" ca="1" si="143"/>
        <v>12</v>
      </c>
      <c r="AJ476" s="31">
        <f t="shared" ca="1" si="144"/>
        <v>41</v>
      </c>
      <c r="AK476" s="31">
        <f t="shared" ca="1" si="145"/>
        <v>8</v>
      </c>
      <c r="AL476" s="31">
        <f t="shared" ca="1" si="146"/>
        <v>5</v>
      </c>
      <c r="AM476" s="31">
        <f t="shared" ca="1" si="147"/>
        <v>3</v>
      </c>
    </row>
    <row r="477" spans="14:39">
      <c r="N477" s="26">
        <v>469</v>
      </c>
      <c r="O477" s="30">
        <f t="shared" ca="1" si="150"/>
        <v>12.87912263114919</v>
      </c>
      <c r="P477" s="30">
        <f t="shared" ca="1" si="150"/>
        <v>5.7867142723714267</v>
      </c>
      <c r="Q477" s="30">
        <f t="shared" ca="1" si="150"/>
        <v>21.437906782221315</v>
      </c>
      <c r="R477" s="30">
        <f t="shared" ca="1" si="150"/>
        <v>20.291320268923368</v>
      </c>
      <c r="S477" s="30">
        <f t="shared" ca="1" si="150"/>
        <v>20.171499106662626</v>
      </c>
      <c r="T477" s="30">
        <f t="shared" ca="1" si="150"/>
        <v>28.432951159207583</v>
      </c>
      <c r="U477" s="30">
        <f t="shared" ca="1" si="150"/>
        <v>12.253513450676506</v>
      </c>
      <c r="V477" s="30">
        <f t="shared" ca="1" si="150"/>
        <v>5.1808168703127366</v>
      </c>
      <c r="W477" s="30">
        <f t="shared" ca="1" si="150"/>
        <v>4.150959475810251</v>
      </c>
      <c r="X477" s="30">
        <f t="shared" ca="1" si="150"/>
        <v>4.5536715162436234</v>
      </c>
      <c r="Y477" s="30">
        <f t="shared" ca="1" si="150"/>
        <v>22.589251063076308</v>
      </c>
      <c r="Z477" s="30">
        <f t="shared" ca="1" si="150"/>
        <v>14.91264039448374</v>
      </c>
      <c r="AA477" s="26">
        <v>469</v>
      </c>
      <c r="AB477" s="31">
        <f t="shared" ca="1" si="148"/>
        <v>17</v>
      </c>
      <c r="AC477" s="31">
        <f t="shared" ca="1" si="137"/>
        <v>7</v>
      </c>
      <c r="AD477" s="31">
        <f t="shared" ca="1" si="138"/>
        <v>34</v>
      </c>
      <c r="AE477" s="31">
        <f t="shared" ca="1" si="139"/>
        <v>31</v>
      </c>
      <c r="AF477" s="31">
        <f t="shared" ca="1" si="140"/>
        <v>31</v>
      </c>
      <c r="AG477" s="31">
        <f t="shared" ca="1" si="141"/>
        <v>63</v>
      </c>
      <c r="AH477" s="31">
        <f t="shared" ca="1" si="142"/>
        <v>16</v>
      </c>
      <c r="AI477" s="31">
        <f t="shared" ca="1" si="143"/>
        <v>6</v>
      </c>
      <c r="AJ477" s="31">
        <f t="shared" ca="1" si="144"/>
        <v>5</v>
      </c>
      <c r="AK477" s="31">
        <f t="shared" ca="1" si="145"/>
        <v>5</v>
      </c>
      <c r="AL477" s="31">
        <f t="shared" ca="1" si="146"/>
        <v>38</v>
      </c>
      <c r="AM477" s="31">
        <f t="shared" ca="1" si="147"/>
        <v>20</v>
      </c>
    </row>
    <row r="478" spans="14:39">
      <c r="N478" s="26">
        <v>470</v>
      </c>
      <c r="O478" s="30">
        <f t="shared" ca="1" si="150"/>
        <v>25.568520107584369</v>
      </c>
      <c r="P478" s="30">
        <f t="shared" ca="1" si="150"/>
        <v>17.395994194083666</v>
      </c>
      <c r="Q478" s="30">
        <f t="shared" ca="1" si="150"/>
        <v>7.7913909284348994</v>
      </c>
      <c r="R478" s="30">
        <f t="shared" ca="1" si="150"/>
        <v>6.3539591910935505</v>
      </c>
      <c r="S478" s="30">
        <f t="shared" ca="1" si="150"/>
        <v>13.362497829601345</v>
      </c>
      <c r="T478" s="30">
        <f t="shared" ca="1" si="150"/>
        <v>15.374207781784948</v>
      </c>
      <c r="U478" s="30">
        <f t="shared" ca="1" si="150"/>
        <v>14.068155775470219</v>
      </c>
      <c r="V478" s="30">
        <f t="shared" ca="1" si="150"/>
        <v>18.447324234032532</v>
      </c>
      <c r="W478" s="30">
        <f t="shared" ca="1" si="150"/>
        <v>28.339762301626052</v>
      </c>
      <c r="X478" s="30">
        <f t="shared" ca="1" si="150"/>
        <v>3.036415277425879</v>
      </c>
      <c r="Y478" s="30">
        <f t="shared" ca="1" si="150"/>
        <v>30.947649421386316</v>
      </c>
      <c r="Z478" s="30">
        <f t="shared" ca="1" si="150"/>
        <v>9.9272154295449901</v>
      </c>
      <c r="AA478" s="26">
        <v>470</v>
      </c>
      <c r="AB478" s="31">
        <f t="shared" ca="1" si="148"/>
        <v>48</v>
      </c>
      <c r="AC478" s="31">
        <f t="shared" ca="1" si="137"/>
        <v>25</v>
      </c>
      <c r="AD478" s="31">
        <f t="shared" ca="1" si="138"/>
        <v>9</v>
      </c>
      <c r="AE478" s="31">
        <f t="shared" ca="1" si="139"/>
        <v>7</v>
      </c>
      <c r="AF478" s="31">
        <f t="shared" ca="1" si="140"/>
        <v>17</v>
      </c>
      <c r="AG478" s="31">
        <f t="shared" ca="1" si="141"/>
        <v>21</v>
      </c>
      <c r="AH478" s="31">
        <f t="shared" ca="1" si="142"/>
        <v>18</v>
      </c>
      <c r="AI478" s="31">
        <f t="shared" ca="1" si="143"/>
        <v>27</v>
      </c>
      <c r="AJ478" s="31">
        <f t="shared" ca="1" si="144"/>
        <v>63</v>
      </c>
      <c r="AK478" s="31">
        <f t="shared" ca="1" si="145"/>
        <v>4</v>
      </c>
      <c r="AL478" s="31">
        <f t="shared" ca="1" si="146"/>
        <v>87</v>
      </c>
      <c r="AM478" s="31">
        <f t="shared" ca="1" si="147"/>
        <v>12</v>
      </c>
    </row>
    <row r="479" spans="14:39">
      <c r="N479" s="26">
        <v>471</v>
      </c>
      <c r="O479" s="30">
        <f t="shared" ref="O479:Z488" ca="1" si="151">RAND()*sumweights</f>
        <v>9.9623326238705516</v>
      </c>
      <c r="P479" s="30">
        <f t="shared" ca="1" si="151"/>
        <v>30.974333042344188</v>
      </c>
      <c r="Q479" s="30">
        <f t="shared" ca="1" si="151"/>
        <v>3.5742536888616652</v>
      </c>
      <c r="R479" s="30">
        <f t="shared" ca="1" si="151"/>
        <v>13.223443221288711</v>
      </c>
      <c r="S479" s="30">
        <f t="shared" ca="1" si="151"/>
        <v>11.027676544634721</v>
      </c>
      <c r="T479" s="30">
        <f t="shared" ca="1" si="151"/>
        <v>0.52999930589621935</v>
      </c>
      <c r="U479" s="30">
        <f t="shared" ca="1" si="151"/>
        <v>24.396063542039357</v>
      </c>
      <c r="V479" s="30">
        <f t="shared" ca="1" si="151"/>
        <v>9.2593623850408093</v>
      </c>
      <c r="W479" s="30">
        <f t="shared" ca="1" si="151"/>
        <v>15.746526974928512</v>
      </c>
      <c r="X479" s="30">
        <f t="shared" ca="1" si="151"/>
        <v>16.605346244222776</v>
      </c>
      <c r="Y479" s="30">
        <f t="shared" ca="1" si="151"/>
        <v>7.6589261877682899</v>
      </c>
      <c r="Z479" s="30">
        <f t="shared" ca="1" si="151"/>
        <v>10.660703600803467</v>
      </c>
      <c r="AA479" s="26">
        <v>471</v>
      </c>
      <c r="AB479" s="31">
        <f t="shared" ca="1" si="148"/>
        <v>12</v>
      </c>
      <c r="AC479" s="31">
        <f t="shared" ca="1" si="137"/>
        <v>87</v>
      </c>
      <c r="AD479" s="31">
        <f t="shared" ca="1" si="138"/>
        <v>4</v>
      </c>
      <c r="AE479" s="31">
        <f t="shared" ca="1" si="139"/>
        <v>17</v>
      </c>
      <c r="AF479" s="31">
        <f t="shared" ca="1" si="140"/>
        <v>14</v>
      </c>
      <c r="AG479" s="31">
        <f t="shared" ca="1" si="141"/>
        <v>1</v>
      </c>
      <c r="AH479" s="31">
        <f t="shared" ca="1" si="142"/>
        <v>44</v>
      </c>
      <c r="AI479" s="31">
        <f t="shared" ca="1" si="143"/>
        <v>11</v>
      </c>
      <c r="AJ479" s="31">
        <f t="shared" ca="1" si="144"/>
        <v>21</v>
      </c>
      <c r="AK479" s="31">
        <f t="shared" ca="1" si="145"/>
        <v>23</v>
      </c>
      <c r="AL479" s="31">
        <f t="shared" ca="1" si="146"/>
        <v>9</v>
      </c>
      <c r="AM479" s="31">
        <f t="shared" ca="1" si="147"/>
        <v>13</v>
      </c>
    </row>
    <row r="480" spans="14:39">
      <c r="N480" s="26">
        <v>472</v>
      </c>
      <c r="O480" s="30">
        <f t="shared" ca="1" si="151"/>
        <v>1.7832580137324068</v>
      </c>
      <c r="P480" s="30">
        <f t="shared" ca="1" si="151"/>
        <v>6.4117677547096346</v>
      </c>
      <c r="Q480" s="30">
        <f t="shared" ca="1" si="151"/>
        <v>20.407953978941581</v>
      </c>
      <c r="R480" s="30">
        <f t="shared" ca="1" si="151"/>
        <v>22.480675375022379</v>
      </c>
      <c r="S480" s="30">
        <f t="shared" ca="1" si="151"/>
        <v>9.8781996721365513</v>
      </c>
      <c r="T480" s="30">
        <f t="shared" ca="1" si="151"/>
        <v>15.635711112265694</v>
      </c>
      <c r="U480" s="30">
        <f t="shared" ca="1" si="151"/>
        <v>8.4267999184732343</v>
      </c>
      <c r="V480" s="30">
        <f t="shared" ca="1" si="151"/>
        <v>17.306302454891931</v>
      </c>
      <c r="W480" s="30">
        <f t="shared" ca="1" si="151"/>
        <v>13.613795056438422</v>
      </c>
      <c r="X480" s="30">
        <f t="shared" ca="1" si="151"/>
        <v>3.8870152452745441</v>
      </c>
      <c r="Y480" s="30">
        <f t="shared" ca="1" si="151"/>
        <v>7.3092108817113148</v>
      </c>
      <c r="Z480" s="30">
        <f t="shared" ca="1" si="151"/>
        <v>3.3974003852603598</v>
      </c>
      <c r="AA480" s="26">
        <v>472</v>
      </c>
      <c r="AB480" s="31">
        <f t="shared" ca="1" si="148"/>
        <v>2</v>
      </c>
      <c r="AC480" s="31">
        <f t="shared" ca="1" si="137"/>
        <v>8</v>
      </c>
      <c r="AD480" s="31">
        <f t="shared" ca="1" si="138"/>
        <v>32</v>
      </c>
      <c r="AE480" s="31">
        <f t="shared" ca="1" si="139"/>
        <v>37</v>
      </c>
      <c r="AF480" s="31">
        <f t="shared" ca="1" si="140"/>
        <v>12</v>
      </c>
      <c r="AG480" s="31">
        <f t="shared" ca="1" si="141"/>
        <v>21</v>
      </c>
      <c r="AH480" s="31">
        <f t="shared" ca="1" si="142"/>
        <v>10</v>
      </c>
      <c r="AI480" s="31">
        <f t="shared" ca="1" si="143"/>
        <v>25</v>
      </c>
      <c r="AJ480" s="31">
        <f t="shared" ca="1" si="144"/>
        <v>18</v>
      </c>
      <c r="AK480" s="31">
        <f t="shared" ca="1" si="145"/>
        <v>5</v>
      </c>
      <c r="AL480" s="31">
        <f t="shared" ca="1" si="146"/>
        <v>9</v>
      </c>
      <c r="AM480" s="31">
        <f t="shared" ca="1" si="147"/>
        <v>4</v>
      </c>
    </row>
    <row r="481" spans="14:39">
      <c r="N481" s="26">
        <v>473</v>
      </c>
      <c r="O481" s="30">
        <f t="shared" ca="1" si="151"/>
        <v>32.72035553648076</v>
      </c>
      <c r="P481" s="30">
        <f t="shared" ca="1" si="151"/>
        <v>5.1952607764886878</v>
      </c>
      <c r="Q481" s="30">
        <f t="shared" ca="1" si="151"/>
        <v>7.2585086068736571</v>
      </c>
      <c r="R481" s="30">
        <f t="shared" ca="1" si="151"/>
        <v>15.505725996098016</v>
      </c>
      <c r="S481" s="30">
        <f t="shared" ca="1" si="151"/>
        <v>0.71586888327472264</v>
      </c>
      <c r="T481" s="30">
        <f t="shared" ca="1" si="151"/>
        <v>13.857847145184783</v>
      </c>
      <c r="U481" s="30">
        <f t="shared" ca="1" si="151"/>
        <v>3.0621821229503587</v>
      </c>
      <c r="V481" s="30">
        <f t="shared" ca="1" si="151"/>
        <v>2.5614966140026225</v>
      </c>
      <c r="W481" s="30">
        <f t="shared" ca="1" si="151"/>
        <v>31.463044118020647</v>
      </c>
      <c r="X481" s="30">
        <f t="shared" ca="1" si="151"/>
        <v>7.9199242382870185</v>
      </c>
      <c r="Y481" s="30">
        <f t="shared" ca="1" si="151"/>
        <v>31.155573552566949</v>
      </c>
      <c r="Z481" s="30">
        <f t="shared" ca="1" si="151"/>
        <v>21.718548687943532</v>
      </c>
      <c r="AA481" s="26">
        <v>473</v>
      </c>
      <c r="AB481" s="31">
        <f t="shared" ca="1" si="148"/>
        <v>132</v>
      </c>
      <c r="AC481" s="31">
        <f t="shared" ca="1" si="137"/>
        <v>6</v>
      </c>
      <c r="AD481" s="31">
        <f t="shared" ca="1" si="138"/>
        <v>9</v>
      </c>
      <c r="AE481" s="31">
        <f t="shared" ca="1" si="139"/>
        <v>21</v>
      </c>
      <c r="AF481" s="31">
        <f t="shared" ca="1" si="140"/>
        <v>1</v>
      </c>
      <c r="AG481" s="31">
        <f t="shared" ca="1" si="141"/>
        <v>18</v>
      </c>
      <c r="AH481" s="31">
        <f t="shared" ca="1" si="142"/>
        <v>4</v>
      </c>
      <c r="AI481" s="31">
        <f t="shared" ca="1" si="143"/>
        <v>3</v>
      </c>
      <c r="AJ481" s="31">
        <f t="shared" ca="1" si="144"/>
        <v>95</v>
      </c>
      <c r="AK481" s="31">
        <f t="shared" ca="1" si="145"/>
        <v>9</v>
      </c>
      <c r="AL481" s="31">
        <f t="shared" ca="1" si="146"/>
        <v>90</v>
      </c>
      <c r="AM481" s="31">
        <f t="shared" ca="1" si="147"/>
        <v>35</v>
      </c>
    </row>
    <row r="482" spans="14:39">
      <c r="N482" s="26">
        <v>474</v>
      </c>
      <c r="O482" s="30">
        <f t="shared" ca="1" si="151"/>
        <v>31.656504909031707</v>
      </c>
      <c r="P482" s="30">
        <f t="shared" ca="1" si="151"/>
        <v>27.634848019856346</v>
      </c>
      <c r="Q482" s="30">
        <f t="shared" ca="1" si="151"/>
        <v>19.337465270969442</v>
      </c>
      <c r="R482" s="30">
        <f t="shared" ca="1" si="151"/>
        <v>0.4048458618526567</v>
      </c>
      <c r="S482" s="30">
        <f t="shared" ca="1" si="151"/>
        <v>9.6311026737108243</v>
      </c>
      <c r="T482" s="30">
        <f t="shared" ca="1" si="151"/>
        <v>17.147881765932482</v>
      </c>
      <c r="U482" s="30">
        <f t="shared" ca="1" si="151"/>
        <v>2.5641922771582339</v>
      </c>
      <c r="V482" s="30">
        <f t="shared" ca="1" si="151"/>
        <v>1.956612133563292</v>
      </c>
      <c r="W482" s="30">
        <f t="shared" ca="1" si="151"/>
        <v>9.0368912915088409</v>
      </c>
      <c r="X482" s="30">
        <f t="shared" ca="1" si="151"/>
        <v>9.9823002783264645</v>
      </c>
      <c r="Y482" s="30">
        <f t="shared" ca="1" si="151"/>
        <v>32.639375171918431</v>
      </c>
      <c r="Z482" s="30">
        <f t="shared" ca="1" si="151"/>
        <v>1.1384941673651559</v>
      </c>
      <c r="AA482" s="26">
        <v>474</v>
      </c>
      <c r="AB482" s="31">
        <f t="shared" ca="1" si="148"/>
        <v>99</v>
      </c>
      <c r="AC482" s="31">
        <f t="shared" ca="1" si="137"/>
        <v>58</v>
      </c>
      <c r="AD482" s="31">
        <f t="shared" ca="1" si="138"/>
        <v>29</v>
      </c>
      <c r="AE482" s="31">
        <f t="shared" ca="1" si="139"/>
        <v>1</v>
      </c>
      <c r="AF482" s="31">
        <f t="shared" ca="1" si="140"/>
        <v>12</v>
      </c>
      <c r="AG482" s="31">
        <f t="shared" ca="1" si="141"/>
        <v>24</v>
      </c>
      <c r="AH482" s="31">
        <f t="shared" ca="1" si="142"/>
        <v>3</v>
      </c>
      <c r="AI482" s="31">
        <f t="shared" ca="1" si="143"/>
        <v>2</v>
      </c>
      <c r="AJ482" s="31">
        <f t="shared" ca="1" si="144"/>
        <v>11</v>
      </c>
      <c r="AK482" s="31">
        <f t="shared" ca="1" si="145"/>
        <v>12</v>
      </c>
      <c r="AL482" s="31">
        <f t="shared" ca="1" si="146"/>
        <v>128</v>
      </c>
      <c r="AM482" s="31">
        <f t="shared" ca="1" si="147"/>
        <v>2</v>
      </c>
    </row>
    <row r="483" spans="14:39">
      <c r="N483" s="26">
        <v>475</v>
      </c>
      <c r="O483" s="30">
        <f t="shared" ca="1" si="151"/>
        <v>4.4517225052221985</v>
      </c>
      <c r="P483" s="30">
        <f t="shared" ca="1" si="151"/>
        <v>1.9605617436062974</v>
      </c>
      <c r="Q483" s="30">
        <f t="shared" ca="1" si="151"/>
        <v>30.620958810998204</v>
      </c>
      <c r="R483" s="30">
        <f t="shared" ca="1" si="151"/>
        <v>24.994159377994798</v>
      </c>
      <c r="S483" s="30">
        <f t="shared" ca="1" si="151"/>
        <v>20.384646765088053</v>
      </c>
      <c r="T483" s="30">
        <f t="shared" ca="1" si="151"/>
        <v>13.155813012835758</v>
      </c>
      <c r="U483" s="30">
        <f t="shared" ca="1" si="151"/>
        <v>2.5280592888222007</v>
      </c>
      <c r="V483" s="30">
        <f t="shared" ca="1" si="151"/>
        <v>22.728216862644288</v>
      </c>
      <c r="W483" s="30">
        <f t="shared" ca="1" si="151"/>
        <v>19.651314326263009</v>
      </c>
      <c r="X483" s="30">
        <f t="shared" ca="1" si="151"/>
        <v>20.584163603178709</v>
      </c>
      <c r="Y483" s="30">
        <f t="shared" ca="1" si="151"/>
        <v>14.136897694885773</v>
      </c>
      <c r="Z483" s="30">
        <f t="shared" ca="1" si="151"/>
        <v>21.363849568432837</v>
      </c>
      <c r="AA483" s="26">
        <v>475</v>
      </c>
      <c r="AB483" s="31">
        <f t="shared" ca="1" si="148"/>
        <v>5</v>
      </c>
      <c r="AC483" s="31">
        <f t="shared" ca="1" si="137"/>
        <v>2</v>
      </c>
      <c r="AD483" s="31">
        <f t="shared" ca="1" si="138"/>
        <v>83</v>
      </c>
      <c r="AE483" s="31">
        <f t="shared" ca="1" si="139"/>
        <v>46</v>
      </c>
      <c r="AF483" s="31">
        <f t="shared" ca="1" si="140"/>
        <v>32</v>
      </c>
      <c r="AG483" s="31">
        <f t="shared" ca="1" si="141"/>
        <v>17</v>
      </c>
      <c r="AH483" s="31">
        <f t="shared" ca="1" si="142"/>
        <v>3</v>
      </c>
      <c r="AI483" s="31">
        <f t="shared" ca="1" si="143"/>
        <v>38</v>
      </c>
      <c r="AJ483" s="31">
        <f t="shared" ca="1" si="144"/>
        <v>30</v>
      </c>
      <c r="AK483" s="31">
        <f t="shared" ca="1" si="145"/>
        <v>32</v>
      </c>
      <c r="AL483" s="31">
        <f t="shared" ca="1" si="146"/>
        <v>19</v>
      </c>
      <c r="AM483" s="31">
        <f t="shared" ca="1" si="147"/>
        <v>34</v>
      </c>
    </row>
    <row r="484" spans="14:39">
      <c r="N484" s="26">
        <v>476</v>
      </c>
      <c r="O484" s="30">
        <f t="shared" ca="1" si="151"/>
        <v>24.318106961612852</v>
      </c>
      <c r="P484" s="30">
        <f t="shared" ca="1" si="151"/>
        <v>31.49375303406369</v>
      </c>
      <c r="Q484" s="30">
        <f t="shared" ca="1" si="151"/>
        <v>8.3646249989157653</v>
      </c>
      <c r="R484" s="30">
        <f t="shared" ca="1" si="151"/>
        <v>21.124908570446056</v>
      </c>
      <c r="S484" s="30">
        <f t="shared" ca="1" si="151"/>
        <v>9.2989415302681167</v>
      </c>
      <c r="T484" s="30">
        <f t="shared" ca="1" si="151"/>
        <v>30.413804784040909</v>
      </c>
      <c r="U484" s="30">
        <f t="shared" ca="1" si="151"/>
        <v>4.4841708053767908</v>
      </c>
      <c r="V484" s="30">
        <f t="shared" ca="1" si="151"/>
        <v>0.20891888621026231</v>
      </c>
      <c r="W484" s="30">
        <f t="shared" ca="1" si="151"/>
        <v>31.815650762961251</v>
      </c>
      <c r="X484" s="30">
        <f t="shared" ca="1" si="151"/>
        <v>23.854780646326464</v>
      </c>
      <c r="Y484" s="30">
        <f t="shared" ca="1" si="151"/>
        <v>29.220266521607684</v>
      </c>
      <c r="Z484" s="30">
        <f t="shared" ca="1" si="151"/>
        <v>5.7962897615909963</v>
      </c>
      <c r="AA484" s="26">
        <v>476</v>
      </c>
      <c r="AB484" s="31">
        <f t="shared" ca="1" si="148"/>
        <v>43</v>
      </c>
      <c r="AC484" s="31">
        <f t="shared" ca="1" si="137"/>
        <v>96</v>
      </c>
      <c r="AD484" s="31">
        <f t="shared" ca="1" si="138"/>
        <v>10</v>
      </c>
      <c r="AE484" s="31">
        <f t="shared" ca="1" si="139"/>
        <v>33</v>
      </c>
      <c r="AF484" s="31">
        <f t="shared" ca="1" si="140"/>
        <v>11</v>
      </c>
      <c r="AG484" s="31">
        <f t="shared" ca="1" si="141"/>
        <v>80</v>
      </c>
      <c r="AH484" s="31">
        <f t="shared" ca="1" si="142"/>
        <v>5</v>
      </c>
      <c r="AI484" s="31">
        <f t="shared" ca="1" si="143"/>
        <v>1</v>
      </c>
      <c r="AJ484" s="31">
        <f t="shared" ca="1" si="144"/>
        <v>102</v>
      </c>
      <c r="AK484" s="31">
        <f t="shared" ca="1" si="145"/>
        <v>42</v>
      </c>
      <c r="AL484" s="31">
        <f t="shared" ca="1" si="146"/>
        <v>69</v>
      </c>
      <c r="AM484" s="31">
        <f t="shared" ca="1" si="147"/>
        <v>7</v>
      </c>
    </row>
    <row r="485" spans="14:39">
      <c r="N485" s="26">
        <v>477</v>
      </c>
      <c r="O485" s="30">
        <f t="shared" ca="1" si="151"/>
        <v>0.23036434917382065</v>
      </c>
      <c r="P485" s="30">
        <f t="shared" ca="1" si="151"/>
        <v>6.8877387848268148</v>
      </c>
      <c r="Q485" s="30">
        <f t="shared" ca="1" si="151"/>
        <v>12.303215890960598</v>
      </c>
      <c r="R485" s="30">
        <f t="shared" ca="1" si="151"/>
        <v>2.5857656858137918</v>
      </c>
      <c r="S485" s="30">
        <f t="shared" ca="1" si="151"/>
        <v>27.862408726845342</v>
      </c>
      <c r="T485" s="30">
        <f t="shared" ca="1" si="151"/>
        <v>0.95096848148315671</v>
      </c>
      <c r="U485" s="30">
        <f t="shared" ca="1" si="151"/>
        <v>31.902494340367095</v>
      </c>
      <c r="V485" s="30">
        <f t="shared" ca="1" si="151"/>
        <v>7.3419376244351202</v>
      </c>
      <c r="W485" s="30">
        <f t="shared" ca="1" si="151"/>
        <v>6.2113585293565006</v>
      </c>
      <c r="X485" s="30">
        <f t="shared" ca="1" si="151"/>
        <v>28.770378548342862</v>
      </c>
      <c r="Y485" s="30">
        <f t="shared" ca="1" si="151"/>
        <v>17.317892214852012</v>
      </c>
      <c r="Z485" s="30">
        <f t="shared" ca="1" si="151"/>
        <v>30.251456490958628</v>
      </c>
      <c r="AA485" s="26">
        <v>477</v>
      </c>
      <c r="AB485" s="31">
        <f t="shared" ca="1" si="148"/>
        <v>1</v>
      </c>
      <c r="AC485" s="31">
        <f t="shared" ca="1" si="137"/>
        <v>8</v>
      </c>
      <c r="AD485" s="31">
        <f t="shared" ca="1" si="138"/>
        <v>16</v>
      </c>
      <c r="AE485" s="31">
        <f t="shared" ca="1" si="139"/>
        <v>3</v>
      </c>
      <c r="AF485" s="31">
        <f t="shared" ca="1" si="140"/>
        <v>60</v>
      </c>
      <c r="AG485" s="31">
        <f t="shared" ca="1" si="141"/>
        <v>1</v>
      </c>
      <c r="AH485" s="31">
        <f t="shared" ca="1" si="142"/>
        <v>104</v>
      </c>
      <c r="AI485" s="31">
        <f t="shared" ca="1" si="143"/>
        <v>9</v>
      </c>
      <c r="AJ485" s="31">
        <f t="shared" ca="1" si="144"/>
        <v>7</v>
      </c>
      <c r="AK485" s="31">
        <f t="shared" ca="1" si="145"/>
        <v>66</v>
      </c>
      <c r="AL485" s="31">
        <f t="shared" ca="1" si="146"/>
        <v>25</v>
      </c>
      <c r="AM485" s="31">
        <f t="shared" ca="1" si="147"/>
        <v>79</v>
      </c>
    </row>
    <row r="486" spans="14:39">
      <c r="N486" s="26">
        <v>478</v>
      </c>
      <c r="O486" s="30">
        <f t="shared" ca="1" si="151"/>
        <v>32.082946533166258</v>
      </c>
      <c r="P486" s="30">
        <f t="shared" ca="1" si="151"/>
        <v>30.558856904284845</v>
      </c>
      <c r="Q486" s="30">
        <f t="shared" ca="1" si="151"/>
        <v>27.646802165933504</v>
      </c>
      <c r="R486" s="30">
        <f t="shared" ca="1" si="151"/>
        <v>28.15117810920448</v>
      </c>
      <c r="S486" s="30">
        <f t="shared" ca="1" si="151"/>
        <v>23.311148657754615</v>
      </c>
      <c r="T486" s="30">
        <f t="shared" ca="1" si="151"/>
        <v>14.883014124805465</v>
      </c>
      <c r="U486" s="30">
        <f t="shared" ca="1" si="151"/>
        <v>25.234522921446292</v>
      </c>
      <c r="V486" s="30">
        <f t="shared" ca="1" si="151"/>
        <v>23.768596352157513</v>
      </c>
      <c r="W486" s="30">
        <f t="shared" ca="1" si="151"/>
        <v>17.672140757771817</v>
      </c>
      <c r="X486" s="30">
        <f t="shared" ca="1" si="151"/>
        <v>5.4492666576010533</v>
      </c>
      <c r="Y486" s="30">
        <f t="shared" ca="1" si="151"/>
        <v>15.786659665225626</v>
      </c>
      <c r="Z486" s="30">
        <f t="shared" ca="1" si="151"/>
        <v>22.457569103679042</v>
      </c>
      <c r="AA486" s="26">
        <v>478</v>
      </c>
      <c r="AB486" s="31">
        <f t="shared" ca="1" si="148"/>
        <v>108</v>
      </c>
      <c r="AC486" s="31">
        <f t="shared" ca="1" si="137"/>
        <v>82</v>
      </c>
      <c r="AD486" s="31">
        <f t="shared" ca="1" si="138"/>
        <v>59</v>
      </c>
      <c r="AE486" s="31">
        <f t="shared" ca="1" si="139"/>
        <v>62</v>
      </c>
      <c r="AF486" s="31">
        <f t="shared" ca="1" si="140"/>
        <v>40</v>
      </c>
      <c r="AG486" s="31">
        <f t="shared" ca="1" si="141"/>
        <v>20</v>
      </c>
      <c r="AH486" s="31">
        <f t="shared" ca="1" si="142"/>
        <v>47</v>
      </c>
      <c r="AI486" s="31">
        <f t="shared" ca="1" si="143"/>
        <v>41</v>
      </c>
      <c r="AJ486" s="31">
        <f t="shared" ca="1" si="144"/>
        <v>25</v>
      </c>
      <c r="AK486" s="31">
        <f t="shared" ca="1" si="145"/>
        <v>6</v>
      </c>
      <c r="AL486" s="31">
        <f t="shared" ca="1" si="146"/>
        <v>22</v>
      </c>
      <c r="AM486" s="31">
        <f t="shared" ca="1" si="147"/>
        <v>37</v>
      </c>
    </row>
    <row r="487" spans="14:39">
      <c r="N487" s="26">
        <v>479</v>
      </c>
      <c r="O487" s="30">
        <f t="shared" ca="1" si="151"/>
        <v>14.981379018125761</v>
      </c>
      <c r="P487" s="30">
        <f t="shared" ca="1" si="151"/>
        <v>4.7859225436201083</v>
      </c>
      <c r="Q487" s="30">
        <f t="shared" ca="1" si="151"/>
        <v>5.6479261254246653</v>
      </c>
      <c r="R487" s="30">
        <f t="shared" ca="1" si="151"/>
        <v>20.667906169961956</v>
      </c>
      <c r="S487" s="30">
        <f t="shared" ca="1" si="151"/>
        <v>11.106740854684279</v>
      </c>
      <c r="T487" s="30">
        <f t="shared" ca="1" si="151"/>
        <v>21.990701585390308</v>
      </c>
      <c r="U487" s="30">
        <f t="shared" ca="1" si="151"/>
        <v>7.2320562741018044</v>
      </c>
      <c r="V487" s="30">
        <f t="shared" ca="1" si="151"/>
        <v>32.781837810164653</v>
      </c>
      <c r="W487" s="30">
        <f t="shared" ca="1" si="151"/>
        <v>16.460938416921923</v>
      </c>
      <c r="X487" s="30">
        <f t="shared" ca="1" si="151"/>
        <v>4.3681581959195066</v>
      </c>
      <c r="Y487" s="30">
        <f t="shared" ca="1" si="151"/>
        <v>31.439219230664097</v>
      </c>
      <c r="Z487" s="30">
        <f t="shared" ca="1" si="151"/>
        <v>5.6489436697744058</v>
      </c>
      <c r="AA487" s="26">
        <v>479</v>
      </c>
      <c r="AB487" s="31">
        <f t="shared" ca="1" si="148"/>
        <v>20</v>
      </c>
      <c r="AC487" s="31">
        <f t="shared" ca="1" si="137"/>
        <v>6</v>
      </c>
      <c r="AD487" s="31">
        <f t="shared" ca="1" si="138"/>
        <v>7</v>
      </c>
      <c r="AE487" s="31">
        <f t="shared" ca="1" si="139"/>
        <v>32</v>
      </c>
      <c r="AF487" s="31">
        <f t="shared" ca="1" si="140"/>
        <v>14</v>
      </c>
      <c r="AG487" s="31">
        <f t="shared" ca="1" si="141"/>
        <v>36</v>
      </c>
      <c r="AH487" s="31">
        <f t="shared" ca="1" si="142"/>
        <v>9</v>
      </c>
      <c r="AI487" s="31">
        <f t="shared" ca="1" si="143"/>
        <v>135</v>
      </c>
      <c r="AJ487" s="31">
        <f t="shared" ca="1" si="144"/>
        <v>23</v>
      </c>
      <c r="AK487" s="31">
        <f t="shared" ca="1" si="145"/>
        <v>5</v>
      </c>
      <c r="AL487" s="31">
        <f t="shared" ca="1" si="146"/>
        <v>95</v>
      </c>
      <c r="AM487" s="31">
        <f t="shared" ca="1" si="147"/>
        <v>7</v>
      </c>
    </row>
    <row r="488" spans="14:39">
      <c r="N488" s="26">
        <v>480</v>
      </c>
      <c r="O488" s="30">
        <f t="shared" ca="1" si="151"/>
        <v>4.6114195995482632</v>
      </c>
      <c r="P488" s="30">
        <f t="shared" ca="1" si="151"/>
        <v>20.169311539046028</v>
      </c>
      <c r="Q488" s="30">
        <f t="shared" ca="1" si="151"/>
        <v>6.9756235990576485</v>
      </c>
      <c r="R488" s="30">
        <f t="shared" ca="1" si="151"/>
        <v>14.918927705154175</v>
      </c>
      <c r="S488" s="30">
        <f t="shared" ca="1" si="151"/>
        <v>14.712421052735586</v>
      </c>
      <c r="T488" s="30">
        <f t="shared" ca="1" si="151"/>
        <v>29.758772216610126</v>
      </c>
      <c r="U488" s="30">
        <f t="shared" ca="1" si="151"/>
        <v>28.198053288573952</v>
      </c>
      <c r="V488" s="30">
        <f t="shared" ca="1" si="151"/>
        <v>23.978225928406115</v>
      </c>
      <c r="W488" s="30">
        <f t="shared" ca="1" si="151"/>
        <v>13.765567853102079</v>
      </c>
      <c r="X488" s="30">
        <f t="shared" ca="1" si="151"/>
        <v>15.412480531131427</v>
      </c>
      <c r="Y488" s="30">
        <f t="shared" ca="1" si="151"/>
        <v>17.698196095540101</v>
      </c>
      <c r="Z488" s="30">
        <f t="shared" ca="1" si="151"/>
        <v>9.8458196080825235</v>
      </c>
      <c r="AA488" s="26">
        <v>480</v>
      </c>
      <c r="AB488" s="31">
        <f t="shared" ca="1" si="148"/>
        <v>5</v>
      </c>
      <c r="AC488" s="31">
        <f t="shared" ca="1" si="137"/>
        <v>31</v>
      </c>
      <c r="AD488" s="31">
        <f t="shared" ca="1" si="138"/>
        <v>8</v>
      </c>
      <c r="AE488" s="31">
        <f t="shared" ca="1" si="139"/>
        <v>20</v>
      </c>
      <c r="AF488" s="31">
        <f t="shared" ca="1" si="140"/>
        <v>20</v>
      </c>
      <c r="AG488" s="31">
        <f t="shared" ca="1" si="141"/>
        <v>74</v>
      </c>
      <c r="AH488" s="31">
        <f t="shared" ca="1" si="142"/>
        <v>62</v>
      </c>
      <c r="AI488" s="31">
        <f t="shared" ca="1" si="143"/>
        <v>42</v>
      </c>
      <c r="AJ488" s="31">
        <f t="shared" ca="1" si="144"/>
        <v>18</v>
      </c>
      <c r="AK488" s="31">
        <f t="shared" ca="1" si="145"/>
        <v>21</v>
      </c>
      <c r="AL488" s="31">
        <f t="shared" ca="1" si="146"/>
        <v>25</v>
      </c>
      <c r="AM488" s="31">
        <f t="shared" ca="1" si="147"/>
        <v>12</v>
      </c>
    </row>
    <row r="489" spans="14:39">
      <c r="N489" s="26">
        <v>481</v>
      </c>
      <c r="O489" s="30">
        <f t="shared" ref="O489:Z498" ca="1" si="152">RAND()*sumweights</f>
        <v>30.838526775818771</v>
      </c>
      <c r="P489" s="30">
        <f t="shared" ca="1" si="152"/>
        <v>28.345353429349931</v>
      </c>
      <c r="Q489" s="30">
        <f t="shared" ca="1" si="152"/>
        <v>4.7552126752192718</v>
      </c>
      <c r="R489" s="30">
        <f t="shared" ca="1" si="152"/>
        <v>13.150255462214036</v>
      </c>
      <c r="S489" s="30">
        <f t="shared" ca="1" si="152"/>
        <v>26.226896089057405</v>
      </c>
      <c r="T489" s="30">
        <f t="shared" ca="1" si="152"/>
        <v>18.617997129460214</v>
      </c>
      <c r="U489" s="30">
        <f t="shared" ca="1" si="152"/>
        <v>14.908220830782861</v>
      </c>
      <c r="V489" s="30">
        <f t="shared" ca="1" si="152"/>
        <v>32.332344815599555</v>
      </c>
      <c r="W489" s="30">
        <f t="shared" ca="1" si="152"/>
        <v>10.509880727776501</v>
      </c>
      <c r="X489" s="30">
        <f t="shared" ca="1" si="152"/>
        <v>4.6229868022746521</v>
      </c>
      <c r="Y489" s="30">
        <f t="shared" ca="1" si="152"/>
        <v>15.865759214862756</v>
      </c>
      <c r="Z489" s="30">
        <f t="shared" ca="1" si="152"/>
        <v>30.638082293978268</v>
      </c>
      <c r="AA489" s="26">
        <v>481</v>
      </c>
      <c r="AB489" s="31">
        <f t="shared" ca="1" si="148"/>
        <v>86</v>
      </c>
      <c r="AC489" s="31">
        <f t="shared" ca="1" si="137"/>
        <v>63</v>
      </c>
      <c r="AD489" s="31">
        <f t="shared" ca="1" si="138"/>
        <v>6</v>
      </c>
      <c r="AE489" s="31">
        <f t="shared" ca="1" si="139"/>
        <v>17</v>
      </c>
      <c r="AF489" s="31">
        <f t="shared" ca="1" si="140"/>
        <v>51</v>
      </c>
      <c r="AG489" s="31">
        <f t="shared" ca="1" si="141"/>
        <v>27</v>
      </c>
      <c r="AH489" s="31">
        <f t="shared" ca="1" si="142"/>
        <v>20</v>
      </c>
      <c r="AI489" s="31">
        <f t="shared" ca="1" si="143"/>
        <v>116</v>
      </c>
      <c r="AJ489" s="31">
        <f t="shared" ca="1" si="144"/>
        <v>13</v>
      </c>
      <c r="AK489" s="31">
        <f t="shared" ca="1" si="145"/>
        <v>5</v>
      </c>
      <c r="AL489" s="31">
        <f t="shared" ca="1" si="146"/>
        <v>22</v>
      </c>
      <c r="AM489" s="31">
        <f t="shared" ca="1" si="147"/>
        <v>83</v>
      </c>
    </row>
    <row r="490" spans="14:39">
      <c r="N490" s="26">
        <v>482</v>
      </c>
      <c r="O490" s="30">
        <f t="shared" ca="1" si="152"/>
        <v>6.6001797825210167</v>
      </c>
      <c r="P490" s="30">
        <f t="shared" ca="1" si="152"/>
        <v>29.317257090348697</v>
      </c>
      <c r="Q490" s="30">
        <f t="shared" ca="1" si="152"/>
        <v>1.8234999714018307</v>
      </c>
      <c r="R490" s="30">
        <f t="shared" ca="1" si="152"/>
        <v>21.002278294637271</v>
      </c>
      <c r="S490" s="30">
        <f t="shared" ca="1" si="152"/>
        <v>32.017929180557822</v>
      </c>
      <c r="T490" s="30">
        <f t="shared" ca="1" si="152"/>
        <v>15.685770741556606</v>
      </c>
      <c r="U490" s="30">
        <f t="shared" ca="1" si="152"/>
        <v>4.5284149344670048</v>
      </c>
      <c r="V490" s="30">
        <f t="shared" ca="1" si="152"/>
        <v>33.158012830129557</v>
      </c>
      <c r="W490" s="30">
        <f t="shared" ca="1" si="152"/>
        <v>24.082195792132325</v>
      </c>
      <c r="X490" s="30">
        <f t="shared" ca="1" si="152"/>
        <v>6.3564996737683286</v>
      </c>
      <c r="Y490" s="30">
        <f t="shared" ca="1" si="152"/>
        <v>1.7982986429965477</v>
      </c>
      <c r="Z490" s="30">
        <f t="shared" ca="1" si="152"/>
        <v>4.5474229594067115</v>
      </c>
      <c r="AA490" s="26">
        <v>482</v>
      </c>
      <c r="AB490" s="31">
        <f t="shared" ca="1" si="148"/>
        <v>8</v>
      </c>
      <c r="AC490" s="31">
        <f t="shared" ca="1" si="137"/>
        <v>70</v>
      </c>
      <c r="AD490" s="31">
        <f t="shared" ca="1" si="138"/>
        <v>2</v>
      </c>
      <c r="AE490" s="31">
        <f t="shared" ca="1" si="139"/>
        <v>33</v>
      </c>
      <c r="AF490" s="31">
        <f t="shared" ca="1" si="140"/>
        <v>107</v>
      </c>
      <c r="AG490" s="31">
        <f t="shared" ca="1" si="141"/>
        <v>21</v>
      </c>
      <c r="AH490" s="31">
        <f t="shared" ca="1" si="142"/>
        <v>5</v>
      </c>
      <c r="AI490" s="31">
        <f t="shared" ca="1" si="143"/>
        <v>173</v>
      </c>
      <c r="AJ490" s="31">
        <f t="shared" ca="1" si="144"/>
        <v>43</v>
      </c>
      <c r="AK490" s="31">
        <f t="shared" ca="1" si="145"/>
        <v>7</v>
      </c>
      <c r="AL490" s="31">
        <f t="shared" ca="1" si="146"/>
        <v>2</v>
      </c>
      <c r="AM490" s="31">
        <f t="shared" ca="1" si="147"/>
        <v>5</v>
      </c>
    </row>
    <row r="491" spans="14:39">
      <c r="N491" s="26">
        <v>483</v>
      </c>
      <c r="O491" s="30">
        <f t="shared" ca="1" si="152"/>
        <v>3.2123505456547159</v>
      </c>
      <c r="P491" s="30">
        <f t="shared" ca="1" si="152"/>
        <v>9.2211443001204749</v>
      </c>
      <c r="Q491" s="30">
        <f t="shared" ca="1" si="152"/>
        <v>19.427473721417105</v>
      </c>
      <c r="R491" s="30">
        <f t="shared" ca="1" si="152"/>
        <v>30.147250644576001</v>
      </c>
      <c r="S491" s="30">
        <f t="shared" ca="1" si="152"/>
        <v>12.196362395913983</v>
      </c>
      <c r="T491" s="30">
        <f t="shared" ca="1" si="152"/>
        <v>0.88571220976918441</v>
      </c>
      <c r="U491" s="30">
        <f t="shared" ca="1" si="152"/>
        <v>8.6304302615862145</v>
      </c>
      <c r="V491" s="30">
        <f t="shared" ca="1" si="152"/>
        <v>20.374415900300175</v>
      </c>
      <c r="W491" s="30">
        <f t="shared" ca="1" si="152"/>
        <v>21.291536195911068</v>
      </c>
      <c r="X491" s="30">
        <f t="shared" ca="1" si="152"/>
        <v>1.0445350262150179</v>
      </c>
      <c r="Y491" s="30">
        <f t="shared" ca="1" si="152"/>
        <v>27.161781700533613</v>
      </c>
      <c r="Z491" s="30">
        <f t="shared" ca="1" si="152"/>
        <v>10.679169454613342</v>
      </c>
      <c r="AA491" s="26">
        <v>483</v>
      </c>
      <c r="AB491" s="31">
        <f t="shared" ca="1" si="148"/>
        <v>4</v>
      </c>
      <c r="AC491" s="31">
        <f t="shared" ca="1" si="137"/>
        <v>11</v>
      </c>
      <c r="AD491" s="31">
        <f t="shared" ca="1" si="138"/>
        <v>29</v>
      </c>
      <c r="AE491" s="31">
        <f t="shared" ca="1" si="139"/>
        <v>78</v>
      </c>
      <c r="AF491" s="31">
        <f t="shared" ca="1" si="140"/>
        <v>15</v>
      </c>
      <c r="AG491" s="31">
        <f t="shared" ca="1" si="141"/>
        <v>1</v>
      </c>
      <c r="AH491" s="31">
        <f t="shared" ca="1" si="142"/>
        <v>10</v>
      </c>
      <c r="AI491" s="31">
        <f t="shared" ca="1" si="143"/>
        <v>32</v>
      </c>
      <c r="AJ491" s="31">
        <f t="shared" ca="1" si="144"/>
        <v>34</v>
      </c>
      <c r="AK491" s="31">
        <f t="shared" ca="1" si="145"/>
        <v>2</v>
      </c>
      <c r="AL491" s="31">
        <f t="shared" ca="1" si="146"/>
        <v>56</v>
      </c>
      <c r="AM491" s="31">
        <f t="shared" ca="1" si="147"/>
        <v>13</v>
      </c>
    </row>
    <row r="492" spans="14:39">
      <c r="N492" s="26">
        <v>484</v>
      </c>
      <c r="O492" s="30">
        <f t="shared" ca="1" si="152"/>
        <v>7.006929104015863</v>
      </c>
      <c r="P492" s="30">
        <f t="shared" ca="1" si="152"/>
        <v>15.451399402154507</v>
      </c>
      <c r="Q492" s="30">
        <f t="shared" ca="1" si="152"/>
        <v>6.1481343265875337</v>
      </c>
      <c r="R492" s="30">
        <f t="shared" ca="1" si="152"/>
        <v>32.629626732577286</v>
      </c>
      <c r="S492" s="30">
        <f t="shared" ca="1" si="152"/>
        <v>9.4864488748538829</v>
      </c>
      <c r="T492" s="30">
        <f t="shared" ca="1" si="152"/>
        <v>4.7928093163035026</v>
      </c>
      <c r="U492" s="30">
        <f t="shared" ca="1" si="152"/>
        <v>3.3138998926596601</v>
      </c>
      <c r="V492" s="30">
        <f t="shared" ca="1" si="152"/>
        <v>22.325790689132031</v>
      </c>
      <c r="W492" s="30">
        <f t="shared" ca="1" si="152"/>
        <v>15.643360302113193</v>
      </c>
      <c r="X492" s="30">
        <f t="shared" ca="1" si="152"/>
        <v>17.94819207618524</v>
      </c>
      <c r="Y492" s="30">
        <f t="shared" ca="1" si="152"/>
        <v>12.694052998206873</v>
      </c>
      <c r="Z492" s="30">
        <f t="shared" ca="1" si="152"/>
        <v>8.6279873933230142</v>
      </c>
      <c r="AA492" s="26">
        <v>484</v>
      </c>
      <c r="AB492" s="31">
        <f t="shared" ca="1" si="148"/>
        <v>8</v>
      </c>
      <c r="AC492" s="31">
        <f t="shared" ca="1" si="137"/>
        <v>21</v>
      </c>
      <c r="AD492" s="31">
        <f t="shared" ca="1" si="138"/>
        <v>7</v>
      </c>
      <c r="AE492" s="31">
        <f t="shared" ca="1" si="139"/>
        <v>127</v>
      </c>
      <c r="AF492" s="31">
        <f t="shared" ca="1" si="140"/>
        <v>11</v>
      </c>
      <c r="AG492" s="31">
        <f t="shared" ca="1" si="141"/>
        <v>6</v>
      </c>
      <c r="AH492" s="31">
        <f t="shared" ca="1" si="142"/>
        <v>4</v>
      </c>
      <c r="AI492" s="31">
        <f t="shared" ca="1" si="143"/>
        <v>37</v>
      </c>
      <c r="AJ492" s="31">
        <f t="shared" ca="1" si="144"/>
        <v>21</v>
      </c>
      <c r="AK492" s="31">
        <f t="shared" ca="1" si="145"/>
        <v>26</v>
      </c>
      <c r="AL492" s="31">
        <f t="shared" ca="1" si="146"/>
        <v>16</v>
      </c>
      <c r="AM492" s="31">
        <f t="shared" ca="1" si="147"/>
        <v>10</v>
      </c>
    </row>
    <row r="493" spans="14:39">
      <c r="N493" s="26">
        <v>485</v>
      </c>
      <c r="O493" s="30">
        <f t="shared" ca="1" si="152"/>
        <v>29.496503602862028</v>
      </c>
      <c r="P493" s="30">
        <f t="shared" ca="1" si="152"/>
        <v>5.4450262450651543</v>
      </c>
      <c r="Q493" s="30">
        <f t="shared" ca="1" si="152"/>
        <v>16.346133562790978</v>
      </c>
      <c r="R493" s="30">
        <f t="shared" ca="1" si="152"/>
        <v>15.738818380993026</v>
      </c>
      <c r="S493" s="30">
        <f t="shared" ca="1" si="152"/>
        <v>5.7397064475751334</v>
      </c>
      <c r="T493" s="30">
        <f t="shared" ca="1" si="152"/>
        <v>15.894839492133373</v>
      </c>
      <c r="U493" s="30">
        <f t="shared" ca="1" si="152"/>
        <v>15.390607407954583</v>
      </c>
      <c r="V493" s="30">
        <f t="shared" ca="1" si="152"/>
        <v>32.904750559243745</v>
      </c>
      <c r="W493" s="30">
        <f t="shared" ca="1" si="152"/>
        <v>8.4746150294267117</v>
      </c>
      <c r="X493" s="30">
        <f t="shared" ca="1" si="152"/>
        <v>29.304165117735824</v>
      </c>
      <c r="Y493" s="30">
        <f t="shared" ca="1" si="152"/>
        <v>10.243617365183722</v>
      </c>
      <c r="Z493" s="30">
        <f t="shared" ca="1" si="152"/>
        <v>13.513666010934834</v>
      </c>
      <c r="AA493" s="26">
        <v>485</v>
      </c>
      <c r="AB493" s="31">
        <f t="shared" ca="1" si="148"/>
        <v>71</v>
      </c>
      <c r="AC493" s="31">
        <f t="shared" ca="1" si="137"/>
        <v>6</v>
      </c>
      <c r="AD493" s="31">
        <f t="shared" ca="1" si="138"/>
        <v>23</v>
      </c>
      <c r="AE493" s="31">
        <f t="shared" ca="1" si="139"/>
        <v>21</v>
      </c>
      <c r="AF493" s="31">
        <f t="shared" ca="1" si="140"/>
        <v>7</v>
      </c>
      <c r="AG493" s="31">
        <f t="shared" ca="1" si="141"/>
        <v>22</v>
      </c>
      <c r="AH493" s="31">
        <f t="shared" ca="1" si="142"/>
        <v>21</v>
      </c>
      <c r="AI493" s="31">
        <f t="shared" ca="1" si="143"/>
        <v>143</v>
      </c>
      <c r="AJ493" s="31">
        <f t="shared" ca="1" si="144"/>
        <v>10</v>
      </c>
      <c r="AK493" s="31">
        <f t="shared" ca="1" si="145"/>
        <v>70</v>
      </c>
      <c r="AL493" s="31">
        <f t="shared" ca="1" si="146"/>
        <v>13</v>
      </c>
      <c r="AM493" s="31">
        <f t="shared" ca="1" si="147"/>
        <v>18</v>
      </c>
    </row>
    <row r="494" spans="14:39">
      <c r="N494" s="26">
        <v>486</v>
      </c>
      <c r="O494" s="30">
        <f t="shared" ca="1" si="152"/>
        <v>6.9911245427472197</v>
      </c>
      <c r="P494" s="30">
        <f t="shared" ca="1" si="152"/>
        <v>15.790246412603288</v>
      </c>
      <c r="Q494" s="30">
        <f t="shared" ca="1" si="152"/>
        <v>24.797897862450135</v>
      </c>
      <c r="R494" s="30">
        <f t="shared" ca="1" si="152"/>
        <v>6.2543319900518153</v>
      </c>
      <c r="S494" s="30">
        <f t="shared" ca="1" si="152"/>
        <v>13.572183440723997</v>
      </c>
      <c r="T494" s="30">
        <f t="shared" ca="1" si="152"/>
        <v>25.624760927133742</v>
      </c>
      <c r="U494" s="30">
        <f t="shared" ca="1" si="152"/>
        <v>29.993913555116837</v>
      </c>
      <c r="V494" s="30">
        <f t="shared" ca="1" si="152"/>
        <v>21.819337853292467</v>
      </c>
      <c r="W494" s="30">
        <f t="shared" ca="1" si="152"/>
        <v>10.716761463167995</v>
      </c>
      <c r="X494" s="30">
        <f t="shared" ca="1" si="152"/>
        <v>25.283324106508392</v>
      </c>
      <c r="Y494" s="30">
        <f t="shared" ca="1" si="152"/>
        <v>21.755800631159477</v>
      </c>
      <c r="Z494" s="30">
        <f t="shared" ca="1" si="152"/>
        <v>8.674781427261852</v>
      </c>
      <c r="AA494" s="26">
        <v>486</v>
      </c>
      <c r="AB494" s="31">
        <f t="shared" ca="1" si="148"/>
        <v>8</v>
      </c>
      <c r="AC494" s="31">
        <f t="shared" ca="1" si="137"/>
        <v>22</v>
      </c>
      <c r="AD494" s="31">
        <f t="shared" ca="1" si="138"/>
        <v>45</v>
      </c>
      <c r="AE494" s="31">
        <f t="shared" ca="1" si="139"/>
        <v>7</v>
      </c>
      <c r="AF494" s="31">
        <f t="shared" ca="1" si="140"/>
        <v>18</v>
      </c>
      <c r="AG494" s="31">
        <f t="shared" ca="1" si="141"/>
        <v>49</v>
      </c>
      <c r="AH494" s="31">
        <f t="shared" ca="1" si="142"/>
        <v>76</v>
      </c>
      <c r="AI494" s="31">
        <f t="shared" ca="1" si="143"/>
        <v>35</v>
      </c>
      <c r="AJ494" s="31">
        <f t="shared" ca="1" si="144"/>
        <v>13</v>
      </c>
      <c r="AK494" s="31">
        <f t="shared" ca="1" si="145"/>
        <v>47</v>
      </c>
      <c r="AL494" s="31">
        <f t="shared" ca="1" si="146"/>
        <v>35</v>
      </c>
      <c r="AM494" s="31">
        <f t="shared" ca="1" si="147"/>
        <v>10</v>
      </c>
    </row>
    <row r="495" spans="14:39">
      <c r="N495" s="26">
        <v>487</v>
      </c>
      <c r="O495" s="30">
        <f t="shared" ca="1" si="152"/>
        <v>16.083305001249425</v>
      </c>
      <c r="P495" s="30">
        <f t="shared" ca="1" si="152"/>
        <v>2.8585415176451288</v>
      </c>
      <c r="Q495" s="30">
        <f t="shared" ca="1" si="152"/>
        <v>10.925870411860291</v>
      </c>
      <c r="R495" s="30">
        <f t="shared" ca="1" si="152"/>
        <v>28.287251455511985</v>
      </c>
      <c r="S495" s="30">
        <f t="shared" ca="1" si="152"/>
        <v>17.821521220408702</v>
      </c>
      <c r="T495" s="30">
        <f t="shared" ca="1" si="152"/>
        <v>21.58581620347017</v>
      </c>
      <c r="U495" s="30">
        <f t="shared" ca="1" si="152"/>
        <v>8.5769916065824159</v>
      </c>
      <c r="V495" s="30">
        <f t="shared" ca="1" si="152"/>
        <v>6.0440910701060773</v>
      </c>
      <c r="W495" s="30">
        <f t="shared" ca="1" si="152"/>
        <v>26.271929908878999</v>
      </c>
      <c r="X495" s="30">
        <f t="shared" ca="1" si="152"/>
        <v>1.0537682980421623</v>
      </c>
      <c r="Y495" s="30">
        <f t="shared" ca="1" si="152"/>
        <v>19.341442392384039</v>
      </c>
      <c r="Z495" s="30">
        <f t="shared" ca="1" si="152"/>
        <v>6.6173982839154197</v>
      </c>
      <c r="AA495" s="26">
        <v>487</v>
      </c>
      <c r="AB495" s="31">
        <f t="shared" ca="1" si="148"/>
        <v>22</v>
      </c>
      <c r="AC495" s="31">
        <f t="shared" ca="1" si="137"/>
        <v>3</v>
      </c>
      <c r="AD495" s="31">
        <f t="shared" ca="1" si="138"/>
        <v>14</v>
      </c>
      <c r="AE495" s="31">
        <f t="shared" ca="1" si="139"/>
        <v>62</v>
      </c>
      <c r="AF495" s="31">
        <f t="shared" ca="1" si="140"/>
        <v>26</v>
      </c>
      <c r="AG495" s="31">
        <f t="shared" ca="1" si="141"/>
        <v>35</v>
      </c>
      <c r="AH495" s="31">
        <f t="shared" ca="1" si="142"/>
        <v>10</v>
      </c>
      <c r="AI495" s="31">
        <f t="shared" ca="1" si="143"/>
        <v>7</v>
      </c>
      <c r="AJ495" s="31">
        <f t="shared" ca="1" si="144"/>
        <v>51</v>
      </c>
      <c r="AK495" s="31">
        <f t="shared" ca="1" si="145"/>
        <v>2</v>
      </c>
      <c r="AL495" s="31">
        <f t="shared" ca="1" si="146"/>
        <v>29</v>
      </c>
      <c r="AM495" s="31">
        <f t="shared" ca="1" si="147"/>
        <v>8</v>
      </c>
    </row>
    <row r="496" spans="14:39">
      <c r="N496" s="26">
        <v>488</v>
      </c>
      <c r="O496" s="30">
        <f t="shared" ca="1" si="152"/>
        <v>7.203284719640485</v>
      </c>
      <c r="P496" s="30">
        <f t="shared" ca="1" si="152"/>
        <v>9.3409109489149227</v>
      </c>
      <c r="Q496" s="30">
        <f t="shared" ca="1" si="152"/>
        <v>6.2097273209070325</v>
      </c>
      <c r="R496" s="30">
        <f t="shared" ca="1" si="152"/>
        <v>11.355029772265826</v>
      </c>
      <c r="S496" s="30">
        <f t="shared" ca="1" si="152"/>
        <v>20.142001292910539</v>
      </c>
      <c r="T496" s="30">
        <f t="shared" ca="1" si="152"/>
        <v>32.119096469590751</v>
      </c>
      <c r="U496" s="30">
        <f t="shared" ca="1" si="152"/>
        <v>13.229121296475522</v>
      </c>
      <c r="V496" s="30">
        <f t="shared" ca="1" si="152"/>
        <v>4.135172385943152</v>
      </c>
      <c r="W496" s="30">
        <f t="shared" ca="1" si="152"/>
        <v>32.551225842364389</v>
      </c>
      <c r="X496" s="30">
        <f t="shared" ca="1" si="152"/>
        <v>3.0011625249533416</v>
      </c>
      <c r="Y496" s="30">
        <f t="shared" ca="1" si="152"/>
        <v>27.492667971162692</v>
      </c>
      <c r="Z496" s="30">
        <f t="shared" ca="1" si="152"/>
        <v>22.001325831221838</v>
      </c>
      <c r="AA496" s="26">
        <v>488</v>
      </c>
      <c r="AB496" s="31">
        <f t="shared" ca="1" si="148"/>
        <v>8</v>
      </c>
      <c r="AC496" s="31">
        <f t="shared" ca="1" si="137"/>
        <v>11</v>
      </c>
      <c r="AD496" s="31">
        <f t="shared" ca="1" si="138"/>
        <v>7</v>
      </c>
      <c r="AE496" s="31">
        <f t="shared" ca="1" si="139"/>
        <v>14</v>
      </c>
      <c r="AF496" s="31">
        <f t="shared" ca="1" si="140"/>
        <v>31</v>
      </c>
      <c r="AG496" s="31">
        <f t="shared" ca="1" si="141"/>
        <v>109</v>
      </c>
      <c r="AH496" s="31">
        <f t="shared" ca="1" si="142"/>
        <v>17</v>
      </c>
      <c r="AI496" s="31">
        <f t="shared" ca="1" si="143"/>
        <v>5</v>
      </c>
      <c r="AJ496" s="31">
        <f t="shared" ca="1" si="144"/>
        <v>124</v>
      </c>
      <c r="AK496" s="31">
        <f t="shared" ca="1" si="145"/>
        <v>4</v>
      </c>
      <c r="AL496" s="31">
        <f t="shared" ca="1" si="146"/>
        <v>58</v>
      </c>
      <c r="AM496" s="31">
        <f t="shared" ca="1" si="147"/>
        <v>36</v>
      </c>
    </row>
    <row r="497" spans="14:39">
      <c r="N497" s="26">
        <v>489</v>
      </c>
      <c r="O497" s="30">
        <f t="shared" ca="1" si="152"/>
        <v>26.173759501802483</v>
      </c>
      <c r="P497" s="30">
        <f t="shared" ca="1" si="152"/>
        <v>5.4044315567252434</v>
      </c>
      <c r="Q497" s="30">
        <f t="shared" ca="1" si="152"/>
        <v>21.230160431214223</v>
      </c>
      <c r="R497" s="30">
        <f t="shared" ca="1" si="152"/>
        <v>12.357876103007339</v>
      </c>
      <c r="S497" s="30">
        <f t="shared" ca="1" si="152"/>
        <v>22.990058930608225</v>
      </c>
      <c r="T497" s="30">
        <f t="shared" ca="1" si="152"/>
        <v>25.843700987419933</v>
      </c>
      <c r="U497" s="30">
        <f t="shared" ca="1" si="152"/>
        <v>26.324892669055938</v>
      </c>
      <c r="V497" s="30">
        <f t="shared" ca="1" si="152"/>
        <v>26.805886740197806</v>
      </c>
      <c r="W497" s="30">
        <f t="shared" ca="1" si="152"/>
        <v>2.4927001248682443</v>
      </c>
      <c r="X497" s="30">
        <f t="shared" ca="1" si="152"/>
        <v>1.5533395793425386</v>
      </c>
      <c r="Y497" s="30">
        <f t="shared" ca="1" si="152"/>
        <v>15.271648830685951</v>
      </c>
      <c r="Z497" s="30">
        <f t="shared" ca="1" si="152"/>
        <v>29.024744939129565</v>
      </c>
      <c r="AA497" s="26">
        <v>489</v>
      </c>
      <c r="AB497" s="31">
        <f t="shared" ca="1" si="148"/>
        <v>51</v>
      </c>
      <c r="AC497" s="31">
        <f t="shared" ca="1" si="137"/>
        <v>6</v>
      </c>
      <c r="AD497" s="31">
        <f t="shared" ca="1" si="138"/>
        <v>34</v>
      </c>
      <c r="AE497" s="31">
        <f t="shared" ca="1" si="139"/>
        <v>16</v>
      </c>
      <c r="AF497" s="31">
        <f t="shared" ca="1" si="140"/>
        <v>39</v>
      </c>
      <c r="AG497" s="31">
        <f t="shared" ca="1" si="141"/>
        <v>50</v>
      </c>
      <c r="AH497" s="31">
        <f t="shared" ca="1" si="142"/>
        <v>52</v>
      </c>
      <c r="AI497" s="31">
        <f t="shared" ca="1" si="143"/>
        <v>54</v>
      </c>
      <c r="AJ497" s="31">
        <f t="shared" ca="1" si="144"/>
        <v>3</v>
      </c>
      <c r="AK497" s="31">
        <f t="shared" ca="1" si="145"/>
        <v>2</v>
      </c>
      <c r="AL497" s="31">
        <f t="shared" ca="1" si="146"/>
        <v>21</v>
      </c>
      <c r="AM497" s="31">
        <f t="shared" ca="1" si="147"/>
        <v>68</v>
      </c>
    </row>
    <row r="498" spans="14:39">
      <c r="N498" s="26">
        <v>490</v>
      </c>
      <c r="O498" s="30">
        <f t="shared" ca="1" si="152"/>
        <v>30.288519075229623</v>
      </c>
      <c r="P498" s="30">
        <f t="shared" ca="1" si="152"/>
        <v>6.8894491116421257</v>
      </c>
      <c r="Q498" s="30">
        <f t="shared" ca="1" si="152"/>
        <v>20.055236831676748</v>
      </c>
      <c r="R498" s="30">
        <f t="shared" ca="1" si="152"/>
        <v>22.708387536136907</v>
      </c>
      <c r="S498" s="30">
        <f t="shared" ca="1" si="152"/>
        <v>18.158355042464983</v>
      </c>
      <c r="T498" s="30">
        <f t="shared" ca="1" si="152"/>
        <v>12.688748577800308</v>
      </c>
      <c r="U498" s="30">
        <f t="shared" ca="1" si="152"/>
        <v>23.132792998378491</v>
      </c>
      <c r="V498" s="30">
        <f t="shared" ca="1" si="152"/>
        <v>30.800763303554959</v>
      </c>
      <c r="W498" s="30">
        <f t="shared" ca="1" si="152"/>
        <v>26.810708316991473</v>
      </c>
      <c r="X498" s="30">
        <f t="shared" ca="1" si="152"/>
        <v>23.469267142298037</v>
      </c>
      <c r="Y498" s="30">
        <f t="shared" ca="1" si="152"/>
        <v>2.1372695859216564</v>
      </c>
      <c r="Z498" s="30">
        <f t="shared" ca="1" si="152"/>
        <v>5.2046196701783032</v>
      </c>
      <c r="AA498" s="26">
        <v>490</v>
      </c>
      <c r="AB498" s="31">
        <f t="shared" ca="1" si="148"/>
        <v>79</v>
      </c>
      <c r="AC498" s="31">
        <f t="shared" ca="1" si="137"/>
        <v>8</v>
      </c>
      <c r="AD498" s="31">
        <f t="shared" ca="1" si="138"/>
        <v>31</v>
      </c>
      <c r="AE498" s="31">
        <f t="shared" ca="1" si="139"/>
        <v>38</v>
      </c>
      <c r="AF498" s="31">
        <f t="shared" ca="1" si="140"/>
        <v>26</v>
      </c>
      <c r="AG498" s="31">
        <f t="shared" ca="1" si="141"/>
        <v>16</v>
      </c>
      <c r="AH498" s="31">
        <f t="shared" ca="1" si="142"/>
        <v>39</v>
      </c>
      <c r="AI498" s="31">
        <f t="shared" ca="1" si="143"/>
        <v>85</v>
      </c>
      <c r="AJ498" s="31">
        <f t="shared" ca="1" si="144"/>
        <v>54</v>
      </c>
      <c r="AK498" s="31">
        <f t="shared" ca="1" si="145"/>
        <v>40</v>
      </c>
      <c r="AL498" s="31">
        <f t="shared" ca="1" si="146"/>
        <v>3</v>
      </c>
      <c r="AM498" s="31">
        <f t="shared" ca="1" si="147"/>
        <v>6</v>
      </c>
    </row>
    <row r="499" spans="14:39">
      <c r="N499" s="26">
        <v>491</v>
      </c>
      <c r="O499" s="30">
        <f t="shared" ref="O499:Z508" ca="1" si="153">RAND()*sumweights</f>
        <v>0.82796052725121605</v>
      </c>
      <c r="P499" s="30">
        <f t="shared" ca="1" si="153"/>
        <v>24.16934670792071</v>
      </c>
      <c r="Q499" s="30">
        <f t="shared" ca="1" si="153"/>
        <v>19.724945123247693</v>
      </c>
      <c r="R499" s="30">
        <f t="shared" ca="1" si="153"/>
        <v>29.394268150339261</v>
      </c>
      <c r="S499" s="30">
        <f t="shared" ca="1" si="153"/>
        <v>15.171809198571513</v>
      </c>
      <c r="T499" s="30">
        <f t="shared" ca="1" si="153"/>
        <v>24.737536014504844</v>
      </c>
      <c r="U499" s="30">
        <f t="shared" ca="1" si="153"/>
        <v>4.0152530289860318</v>
      </c>
      <c r="V499" s="30">
        <f t="shared" ca="1" si="153"/>
        <v>31.775483504185434</v>
      </c>
      <c r="W499" s="30">
        <f t="shared" ca="1" si="153"/>
        <v>5.2250669874624647</v>
      </c>
      <c r="X499" s="30">
        <f t="shared" ca="1" si="153"/>
        <v>28.372247039659914</v>
      </c>
      <c r="Y499" s="30">
        <f t="shared" ca="1" si="153"/>
        <v>31.591238142646432</v>
      </c>
      <c r="Z499" s="30">
        <f t="shared" ca="1" si="153"/>
        <v>7.3997068461554827</v>
      </c>
      <c r="AA499" s="26">
        <v>491</v>
      </c>
      <c r="AB499" s="31">
        <f t="shared" ca="1" si="148"/>
        <v>1</v>
      </c>
      <c r="AC499" s="31">
        <f t="shared" ca="1" si="137"/>
        <v>43</v>
      </c>
      <c r="AD499" s="31">
        <f t="shared" ca="1" si="138"/>
        <v>30</v>
      </c>
      <c r="AE499" s="31">
        <f t="shared" ca="1" si="139"/>
        <v>71</v>
      </c>
      <c r="AF499" s="31">
        <f t="shared" ca="1" si="140"/>
        <v>20</v>
      </c>
      <c r="AG499" s="31">
        <f t="shared" ca="1" si="141"/>
        <v>45</v>
      </c>
      <c r="AH499" s="31">
        <f t="shared" ca="1" si="142"/>
        <v>5</v>
      </c>
      <c r="AI499" s="31">
        <f t="shared" ca="1" si="143"/>
        <v>101</v>
      </c>
      <c r="AJ499" s="31">
        <f t="shared" ca="1" si="144"/>
        <v>6</v>
      </c>
      <c r="AK499" s="31">
        <f t="shared" ca="1" si="145"/>
        <v>63</v>
      </c>
      <c r="AL499" s="31">
        <f t="shared" ca="1" si="146"/>
        <v>97</v>
      </c>
      <c r="AM499" s="31">
        <f t="shared" ca="1" si="147"/>
        <v>9</v>
      </c>
    </row>
    <row r="500" spans="14:39">
      <c r="N500" s="26">
        <v>492</v>
      </c>
      <c r="O500" s="30">
        <f t="shared" ca="1" si="153"/>
        <v>14.04523807648744</v>
      </c>
      <c r="P500" s="30">
        <f t="shared" ca="1" si="153"/>
        <v>19.851432524670972</v>
      </c>
      <c r="Q500" s="30">
        <f t="shared" ca="1" si="153"/>
        <v>26.455562303243269</v>
      </c>
      <c r="R500" s="30">
        <f t="shared" ca="1" si="153"/>
        <v>13.190751879877507</v>
      </c>
      <c r="S500" s="30">
        <f t="shared" ca="1" si="153"/>
        <v>22.014977406321695</v>
      </c>
      <c r="T500" s="30">
        <f t="shared" ca="1" si="153"/>
        <v>21.108627959233143</v>
      </c>
      <c r="U500" s="30">
        <f t="shared" ca="1" si="153"/>
        <v>20.93442636667384</v>
      </c>
      <c r="V500" s="30">
        <f t="shared" ca="1" si="153"/>
        <v>17.508621544222713</v>
      </c>
      <c r="W500" s="30">
        <f t="shared" ca="1" si="153"/>
        <v>17.402232188719921</v>
      </c>
      <c r="X500" s="30">
        <f t="shared" ca="1" si="153"/>
        <v>10.972452519518693</v>
      </c>
      <c r="Y500" s="30">
        <f t="shared" ca="1" si="153"/>
        <v>29.141412329312924</v>
      </c>
      <c r="Z500" s="30">
        <f t="shared" ca="1" si="153"/>
        <v>19.008442049121335</v>
      </c>
      <c r="AA500" s="26">
        <v>492</v>
      </c>
      <c r="AB500" s="31">
        <f t="shared" ca="1" si="148"/>
        <v>18</v>
      </c>
      <c r="AC500" s="31">
        <f t="shared" ca="1" si="137"/>
        <v>30</v>
      </c>
      <c r="AD500" s="31">
        <f t="shared" ca="1" si="138"/>
        <v>52</v>
      </c>
      <c r="AE500" s="31">
        <f t="shared" ca="1" si="139"/>
        <v>17</v>
      </c>
      <c r="AF500" s="31">
        <f t="shared" ca="1" si="140"/>
        <v>36</v>
      </c>
      <c r="AG500" s="31">
        <f t="shared" ca="1" si="141"/>
        <v>33</v>
      </c>
      <c r="AH500" s="31">
        <f t="shared" ca="1" si="142"/>
        <v>33</v>
      </c>
      <c r="AI500" s="31">
        <f t="shared" ca="1" si="143"/>
        <v>25</v>
      </c>
      <c r="AJ500" s="31">
        <f t="shared" ca="1" si="144"/>
        <v>25</v>
      </c>
      <c r="AK500" s="31">
        <f t="shared" ca="1" si="145"/>
        <v>14</v>
      </c>
      <c r="AL500" s="31">
        <f t="shared" ca="1" si="146"/>
        <v>69</v>
      </c>
      <c r="AM500" s="31">
        <f t="shared" ca="1" si="147"/>
        <v>28</v>
      </c>
    </row>
    <row r="501" spans="14:39">
      <c r="N501" s="26">
        <v>493</v>
      </c>
      <c r="O501" s="30">
        <f t="shared" ca="1" si="153"/>
        <v>31.312584009703549</v>
      </c>
      <c r="P501" s="30">
        <f t="shared" ca="1" si="153"/>
        <v>12.908130580027041</v>
      </c>
      <c r="Q501" s="30">
        <f t="shared" ca="1" si="153"/>
        <v>9.1519632284548322</v>
      </c>
      <c r="R501" s="30">
        <f t="shared" ca="1" si="153"/>
        <v>30.880970406044288</v>
      </c>
      <c r="S501" s="30">
        <f t="shared" ca="1" si="153"/>
        <v>25.237650683595774</v>
      </c>
      <c r="T501" s="30">
        <f t="shared" ca="1" si="153"/>
        <v>20.535647438682751</v>
      </c>
      <c r="U501" s="30">
        <f t="shared" ca="1" si="153"/>
        <v>19.662841083684782</v>
      </c>
      <c r="V501" s="30">
        <f t="shared" ca="1" si="153"/>
        <v>22.024573618838115</v>
      </c>
      <c r="W501" s="30">
        <f t="shared" ca="1" si="153"/>
        <v>3.3635009278376109</v>
      </c>
      <c r="X501" s="30">
        <f t="shared" ca="1" si="153"/>
        <v>12.735712502491264</v>
      </c>
      <c r="Y501" s="30">
        <f t="shared" ca="1" si="153"/>
        <v>25.324844471721732</v>
      </c>
      <c r="Z501" s="30">
        <f t="shared" ca="1" si="153"/>
        <v>26.704469906083201</v>
      </c>
      <c r="AA501" s="26">
        <v>493</v>
      </c>
      <c r="AB501" s="31">
        <f t="shared" ca="1" si="148"/>
        <v>93</v>
      </c>
      <c r="AC501" s="31">
        <f t="shared" ca="1" si="137"/>
        <v>17</v>
      </c>
      <c r="AD501" s="31">
        <f t="shared" ca="1" si="138"/>
        <v>11</v>
      </c>
      <c r="AE501" s="31">
        <f t="shared" ca="1" si="139"/>
        <v>86</v>
      </c>
      <c r="AF501" s="31">
        <f t="shared" ca="1" si="140"/>
        <v>47</v>
      </c>
      <c r="AG501" s="31">
        <f t="shared" ca="1" si="141"/>
        <v>32</v>
      </c>
      <c r="AH501" s="31">
        <f t="shared" ca="1" si="142"/>
        <v>30</v>
      </c>
      <c r="AI501" s="31">
        <f t="shared" ca="1" si="143"/>
        <v>36</v>
      </c>
      <c r="AJ501" s="31">
        <f t="shared" ca="1" si="144"/>
        <v>4</v>
      </c>
      <c r="AK501" s="31">
        <f t="shared" ca="1" si="145"/>
        <v>16</v>
      </c>
      <c r="AL501" s="31">
        <f t="shared" ca="1" si="146"/>
        <v>47</v>
      </c>
      <c r="AM501" s="31">
        <f t="shared" ca="1" si="147"/>
        <v>54</v>
      </c>
    </row>
    <row r="502" spans="14:39">
      <c r="N502" s="26">
        <v>494</v>
      </c>
      <c r="O502" s="30">
        <f t="shared" ca="1" si="153"/>
        <v>17.772257229436871</v>
      </c>
      <c r="P502" s="30">
        <f t="shared" ca="1" si="153"/>
        <v>28.310011040954535</v>
      </c>
      <c r="Q502" s="30">
        <f t="shared" ca="1" si="153"/>
        <v>25.783923365223398</v>
      </c>
      <c r="R502" s="30">
        <f t="shared" ca="1" si="153"/>
        <v>12.669248370735376</v>
      </c>
      <c r="S502" s="30">
        <f t="shared" ca="1" si="153"/>
        <v>6.4105481759780316</v>
      </c>
      <c r="T502" s="30">
        <f t="shared" ca="1" si="153"/>
        <v>30.762263075810143</v>
      </c>
      <c r="U502" s="30">
        <f t="shared" ca="1" si="153"/>
        <v>29.274674803747164</v>
      </c>
      <c r="V502" s="30">
        <f t="shared" ca="1" si="153"/>
        <v>16.900508219243292</v>
      </c>
      <c r="W502" s="30">
        <f t="shared" ca="1" si="153"/>
        <v>18.999115670876655</v>
      </c>
      <c r="X502" s="30">
        <f t="shared" ca="1" si="153"/>
        <v>6.939311478336351</v>
      </c>
      <c r="Y502" s="30">
        <f t="shared" ca="1" si="153"/>
        <v>26.292651950018239</v>
      </c>
      <c r="Z502" s="30">
        <f t="shared" ca="1" si="153"/>
        <v>4.5637793325817393</v>
      </c>
      <c r="AA502" s="26">
        <v>494</v>
      </c>
      <c r="AB502" s="31">
        <f t="shared" ca="1" si="148"/>
        <v>26</v>
      </c>
      <c r="AC502" s="31">
        <f t="shared" ca="1" si="137"/>
        <v>63</v>
      </c>
      <c r="AD502" s="31">
        <f t="shared" ca="1" si="138"/>
        <v>49</v>
      </c>
      <c r="AE502" s="31">
        <f t="shared" ca="1" si="139"/>
        <v>16</v>
      </c>
      <c r="AF502" s="31">
        <f t="shared" ca="1" si="140"/>
        <v>8</v>
      </c>
      <c r="AG502" s="31">
        <f t="shared" ca="1" si="141"/>
        <v>85</v>
      </c>
      <c r="AH502" s="31">
        <f t="shared" ca="1" si="142"/>
        <v>70</v>
      </c>
      <c r="AI502" s="31">
        <f t="shared" ca="1" si="143"/>
        <v>24</v>
      </c>
      <c r="AJ502" s="31">
        <f t="shared" ca="1" si="144"/>
        <v>28</v>
      </c>
      <c r="AK502" s="31">
        <f t="shared" ca="1" si="145"/>
        <v>8</v>
      </c>
      <c r="AL502" s="31">
        <f t="shared" ca="1" si="146"/>
        <v>52</v>
      </c>
      <c r="AM502" s="31">
        <f t="shared" ca="1" si="147"/>
        <v>5</v>
      </c>
    </row>
    <row r="503" spans="14:39">
      <c r="N503" s="26">
        <v>495</v>
      </c>
      <c r="O503" s="30">
        <f t="shared" ca="1" si="153"/>
        <v>14.320819930162884</v>
      </c>
      <c r="P503" s="30">
        <f t="shared" ca="1" si="153"/>
        <v>18.273571644275208</v>
      </c>
      <c r="Q503" s="30">
        <f t="shared" ca="1" si="153"/>
        <v>6.5260670369136982</v>
      </c>
      <c r="R503" s="30">
        <f t="shared" ca="1" si="153"/>
        <v>30.663777443279233</v>
      </c>
      <c r="S503" s="30">
        <f t="shared" ca="1" si="153"/>
        <v>17.188913660791147</v>
      </c>
      <c r="T503" s="30">
        <f t="shared" ca="1" si="153"/>
        <v>15.254277279144198</v>
      </c>
      <c r="U503" s="30">
        <f t="shared" ca="1" si="153"/>
        <v>15.111170157070266</v>
      </c>
      <c r="V503" s="30">
        <f t="shared" ca="1" si="153"/>
        <v>32.620595332756835</v>
      </c>
      <c r="W503" s="30">
        <f t="shared" ca="1" si="153"/>
        <v>1.3924269399985731</v>
      </c>
      <c r="X503" s="30">
        <f t="shared" ca="1" si="153"/>
        <v>28.392661161772278</v>
      </c>
      <c r="Y503" s="30">
        <f t="shared" ca="1" si="153"/>
        <v>32.856995950647452</v>
      </c>
      <c r="Z503" s="30">
        <f t="shared" ca="1" si="153"/>
        <v>29.157875476119759</v>
      </c>
      <c r="AA503" s="26">
        <v>495</v>
      </c>
      <c r="AB503" s="31">
        <f t="shared" ca="1" si="148"/>
        <v>19</v>
      </c>
      <c r="AC503" s="31">
        <f t="shared" ca="1" si="137"/>
        <v>27</v>
      </c>
      <c r="AD503" s="31">
        <f t="shared" ca="1" si="138"/>
        <v>8</v>
      </c>
      <c r="AE503" s="31">
        <f t="shared" ca="1" si="139"/>
        <v>83</v>
      </c>
      <c r="AF503" s="31">
        <f t="shared" ca="1" si="140"/>
        <v>24</v>
      </c>
      <c r="AG503" s="31">
        <f t="shared" ca="1" si="141"/>
        <v>21</v>
      </c>
      <c r="AH503" s="31">
        <f t="shared" ca="1" si="142"/>
        <v>20</v>
      </c>
      <c r="AI503" s="31">
        <f t="shared" ca="1" si="143"/>
        <v>127</v>
      </c>
      <c r="AJ503" s="31">
        <f t="shared" ca="1" si="144"/>
        <v>2</v>
      </c>
      <c r="AK503" s="31">
        <f t="shared" ca="1" si="145"/>
        <v>63</v>
      </c>
      <c r="AL503" s="31">
        <f t="shared" ca="1" si="146"/>
        <v>140</v>
      </c>
      <c r="AM503" s="31">
        <f t="shared" ca="1" si="147"/>
        <v>69</v>
      </c>
    </row>
    <row r="504" spans="14:39">
      <c r="N504" s="26">
        <v>496</v>
      </c>
      <c r="O504" s="30">
        <f t="shared" ca="1" si="153"/>
        <v>20.009938245600566</v>
      </c>
      <c r="P504" s="30">
        <f t="shared" ca="1" si="153"/>
        <v>27.228773799441676</v>
      </c>
      <c r="Q504" s="30">
        <f t="shared" ca="1" si="153"/>
        <v>0.58658498625220801</v>
      </c>
      <c r="R504" s="30">
        <f t="shared" ca="1" si="153"/>
        <v>17.856695046458753</v>
      </c>
      <c r="S504" s="30">
        <f t="shared" ca="1" si="153"/>
        <v>0.64492676120686743</v>
      </c>
      <c r="T504" s="30">
        <f t="shared" ca="1" si="153"/>
        <v>8.0736229787672258</v>
      </c>
      <c r="U504" s="30">
        <f t="shared" ca="1" si="153"/>
        <v>30.625506049788562</v>
      </c>
      <c r="V504" s="30">
        <f t="shared" ca="1" si="153"/>
        <v>18.962612472128818</v>
      </c>
      <c r="W504" s="30">
        <f t="shared" ca="1" si="153"/>
        <v>4.7522718949587395</v>
      </c>
      <c r="X504" s="30">
        <f t="shared" ca="1" si="153"/>
        <v>29.756239804599353</v>
      </c>
      <c r="Y504" s="30">
        <f t="shared" ca="1" si="153"/>
        <v>27.319608996777337</v>
      </c>
      <c r="Z504" s="30">
        <f t="shared" ca="1" si="153"/>
        <v>25.721548451504535</v>
      </c>
      <c r="AA504" s="26">
        <v>496</v>
      </c>
      <c r="AB504" s="31">
        <f t="shared" ca="1" si="148"/>
        <v>31</v>
      </c>
      <c r="AC504" s="31">
        <f t="shared" ca="1" si="137"/>
        <v>56</v>
      </c>
      <c r="AD504" s="31">
        <f t="shared" ca="1" si="138"/>
        <v>1</v>
      </c>
      <c r="AE504" s="31">
        <f t="shared" ca="1" si="139"/>
        <v>26</v>
      </c>
      <c r="AF504" s="31">
        <f t="shared" ca="1" si="140"/>
        <v>1</v>
      </c>
      <c r="AG504" s="31">
        <f t="shared" ca="1" si="141"/>
        <v>10</v>
      </c>
      <c r="AH504" s="31">
        <f t="shared" ca="1" si="142"/>
        <v>83</v>
      </c>
      <c r="AI504" s="31">
        <f t="shared" ca="1" si="143"/>
        <v>28</v>
      </c>
      <c r="AJ504" s="31">
        <f t="shared" ca="1" si="144"/>
        <v>6</v>
      </c>
      <c r="AK504" s="31">
        <f t="shared" ca="1" si="145"/>
        <v>74</v>
      </c>
      <c r="AL504" s="31">
        <f t="shared" ca="1" si="146"/>
        <v>57</v>
      </c>
      <c r="AM504" s="31">
        <f t="shared" ca="1" si="147"/>
        <v>49</v>
      </c>
    </row>
    <row r="505" spans="14:39">
      <c r="N505" s="26">
        <v>497</v>
      </c>
      <c r="O505" s="30">
        <f t="shared" ca="1" si="153"/>
        <v>0.78324845706319624</v>
      </c>
      <c r="P505" s="30">
        <f t="shared" ca="1" si="153"/>
        <v>17.365643582843415</v>
      </c>
      <c r="Q505" s="30">
        <f t="shared" ca="1" si="153"/>
        <v>10.147627635954825</v>
      </c>
      <c r="R505" s="30">
        <f t="shared" ca="1" si="153"/>
        <v>30.747243599543122</v>
      </c>
      <c r="S505" s="30">
        <f t="shared" ca="1" si="153"/>
        <v>27.815760518584334</v>
      </c>
      <c r="T505" s="30">
        <f t="shared" ca="1" si="153"/>
        <v>4.0691015232336136</v>
      </c>
      <c r="U505" s="30">
        <f t="shared" ca="1" si="153"/>
        <v>33.154180382580549</v>
      </c>
      <c r="V505" s="30">
        <f t="shared" ca="1" si="153"/>
        <v>17.037134618302272</v>
      </c>
      <c r="W505" s="30">
        <f t="shared" ca="1" si="153"/>
        <v>32.561355756290354</v>
      </c>
      <c r="X505" s="30">
        <f t="shared" ca="1" si="153"/>
        <v>4.376519957386682E-2</v>
      </c>
      <c r="Y505" s="30">
        <f t="shared" ca="1" si="153"/>
        <v>8.8523961986081421</v>
      </c>
      <c r="Z505" s="30">
        <f t="shared" ca="1" si="153"/>
        <v>17.714197182962291</v>
      </c>
      <c r="AA505" s="26">
        <v>497</v>
      </c>
      <c r="AB505" s="31">
        <f t="shared" ca="1" si="148"/>
        <v>1</v>
      </c>
      <c r="AC505" s="31">
        <f t="shared" ca="1" si="137"/>
        <v>25</v>
      </c>
      <c r="AD505" s="31">
        <f t="shared" ca="1" si="138"/>
        <v>12</v>
      </c>
      <c r="AE505" s="31">
        <f t="shared" ca="1" si="139"/>
        <v>84</v>
      </c>
      <c r="AF505" s="31">
        <f t="shared" ca="1" si="140"/>
        <v>60</v>
      </c>
      <c r="AG505" s="31">
        <f t="shared" ca="1" si="141"/>
        <v>5</v>
      </c>
      <c r="AH505" s="31">
        <f t="shared" ca="1" si="142"/>
        <v>172</v>
      </c>
      <c r="AI505" s="31">
        <f t="shared" ca="1" si="143"/>
        <v>24</v>
      </c>
      <c r="AJ505" s="31">
        <f t="shared" ca="1" si="144"/>
        <v>124</v>
      </c>
      <c r="AK505" s="31">
        <f t="shared" ca="1" si="145"/>
        <v>1</v>
      </c>
      <c r="AL505" s="31">
        <f t="shared" ca="1" si="146"/>
        <v>11</v>
      </c>
      <c r="AM505" s="31">
        <f t="shared" ca="1" si="147"/>
        <v>25</v>
      </c>
    </row>
    <row r="506" spans="14:39">
      <c r="N506" s="26">
        <v>498</v>
      </c>
      <c r="O506" s="30">
        <f t="shared" ca="1" si="153"/>
        <v>6.8967383897199435</v>
      </c>
      <c r="P506" s="30">
        <f t="shared" ca="1" si="153"/>
        <v>21.23853863161591</v>
      </c>
      <c r="Q506" s="30">
        <f t="shared" ca="1" si="153"/>
        <v>7.0758310982729542</v>
      </c>
      <c r="R506" s="30">
        <f t="shared" ca="1" si="153"/>
        <v>26.111810383356655</v>
      </c>
      <c r="S506" s="30">
        <f t="shared" ca="1" si="153"/>
        <v>7.8280951875674933</v>
      </c>
      <c r="T506" s="30">
        <f t="shared" ca="1" si="153"/>
        <v>9.4266613409721156</v>
      </c>
      <c r="U506" s="30">
        <f t="shared" ca="1" si="153"/>
        <v>28.46460467175417</v>
      </c>
      <c r="V506" s="30">
        <f t="shared" ca="1" si="153"/>
        <v>18.540565377300471</v>
      </c>
      <c r="W506" s="30">
        <f t="shared" ca="1" si="153"/>
        <v>32.419729131217153</v>
      </c>
      <c r="X506" s="30">
        <f t="shared" ca="1" si="153"/>
        <v>2.7575652015433223E-2</v>
      </c>
      <c r="Y506" s="30">
        <f t="shared" ca="1" si="153"/>
        <v>28.510265673845741</v>
      </c>
      <c r="Z506" s="30">
        <f t="shared" ca="1" si="153"/>
        <v>3.4525232900526901</v>
      </c>
      <c r="AA506" s="26">
        <v>498</v>
      </c>
      <c r="AB506" s="31">
        <f t="shared" ca="1" si="148"/>
        <v>8</v>
      </c>
      <c r="AC506" s="31">
        <f t="shared" ca="1" si="137"/>
        <v>34</v>
      </c>
      <c r="AD506" s="31">
        <f t="shared" ca="1" si="138"/>
        <v>8</v>
      </c>
      <c r="AE506" s="31">
        <f t="shared" ca="1" si="139"/>
        <v>51</v>
      </c>
      <c r="AF506" s="31">
        <f t="shared" ca="1" si="140"/>
        <v>9</v>
      </c>
      <c r="AG506" s="31">
        <f t="shared" ca="1" si="141"/>
        <v>11</v>
      </c>
      <c r="AH506" s="31">
        <f t="shared" ca="1" si="142"/>
        <v>64</v>
      </c>
      <c r="AI506" s="31">
        <f t="shared" ca="1" si="143"/>
        <v>27</v>
      </c>
      <c r="AJ506" s="31">
        <f t="shared" ca="1" si="144"/>
        <v>119</v>
      </c>
      <c r="AK506" s="31">
        <f t="shared" ca="1" si="145"/>
        <v>1</v>
      </c>
      <c r="AL506" s="31">
        <f t="shared" ca="1" si="146"/>
        <v>64</v>
      </c>
      <c r="AM506" s="31">
        <f t="shared" ca="1" si="147"/>
        <v>4</v>
      </c>
    </row>
    <row r="507" spans="14:39">
      <c r="N507" s="26">
        <v>499</v>
      </c>
      <c r="O507" s="30">
        <f t="shared" ca="1" si="153"/>
        <v>26.575734800561573</v>
      </c>
      <c r="P507" s="30">
        <f t="shared" ca="1" si="153"/>
        <v>14.912719039028088</v>
      </c>
      <c r="Q507" s="30">
        <f t="shared" ca="1" si="153"/>
        <v>22.081934113300818</v>
      </c>
      <c r="R507" s="30">
        <f t="shared" ca="1" si="153"/>
        <v>29.767407139937248</v>
      </c>
      <c r="S507" s="30">
        <f t="shared" ca="1" si="153"/>
        <v>6.4213372800088653</v>
      </c>
      <c r="T507" s="30">
        <f t="shared" ca="1" si="153"/>
        <v>15.384330356237472</v>
      </c>
      <c r="U507" s="30">
        <f t="shared" ca="1" si="153"/>
        <v>7.7450125762915043</v>
      </c>
      <c r="V507" s="30">
        <f t="shared" ca="1" si="153"/>
        <v>24.413184772187719</v>
      </c>
      <c r="W507" s="30">
        <f t="shared" ca="1" si="153"/>
        <v>10.935594012673933</v>
      </c>
      <c r="X507" s="30">
        <f t="shared" ca="1" si="153"/>
        <v>14.650395030523779</v>
      </c>
      <c r="Y507" s="30">
        <f t="shared" ca="1" si="153"/>
        <v>1.111508434561574</v>
      </c>
      <c r="Z507" s="30">
        <f t="shared" ca="1" si="153"/>
        <v>20.377794384268565</v>
      </c>
      <c r="AA507" s="26">
        <v>499</v>
      </c>
      <c r="AB507" s="31">
        <f t="shared" ca="1" si="148"/>
        <v>53</v>
      </c>
      <c r="AC507" s="31">
        <f t="shared" ca="1" si="137"/>
        <v>20</v>
      </c>
      <c r="AD507" s="31">
        <f t="shared" ca="1" si="138"/>
        <v>36</v>
      </c>
      <c r="AE507" s="31">
        <f t="shared" ca="1" si="139"/>
        <v>74</v>
      </c>
      <c r="AF507" s="31">
        <f t="shared" ca="1" si="140"/>
        <v>8</v>
      </c>
      <c r="AG507" s="31">
        <f t="shared" ca="1" si="141"/>
        <v>21</v>
      </c>
      <c r="AH507" s="31">
        <f t="shared" ca="1" si="142"/>
        <v>9</v>
      </c>
      <c r="AI507" s="31">
        <f t="shared" ca="1" si="143"/>
        <v>44</v>
      </c>
      <c r="AJ507" s="31">
        <f t="shared" ca="1" si="144"/>
        <v>14</v>
      </c>
      <c r="AK507" s="31">
        <f t="shared" ca="1" si="145"/>
        <v>20</v>
      </c>
      <c r="AL507" s="31">
        <f t="shared" ca="1" si="146"/>
        <v>2</v>
      </c>
      <c r="AM507" s="31">
        <f t="shared" ca="1" si="147"/>
        <v>32</v>
      </c>
    </row>
    <row r="508" spans="14:39">
      <c r="N508" s="26">
        <v>500</v>
      </c>
      <c r="O508" s="30">
        <f t="shared" ca="1" si="153"/>
        <v>1.3323018206814912</v>
      </c>
      <c r="P508" s="30">
        <f t="shared" ca="1" si="153"/>
        <v>10.01500149312915</v>
      </c>
      <c r="Q508" s="30">
        <f t="shared" ca="1" si="153"/>
        <v>17.569253913881063</v>
      </c>
      <c r="R508" s="30">
        <f t="shared" ca="1" si="153"/>
        <v>32.150761220710429</v>
      </c>
      <c r="S508" s="30">
        <f t="shared" ca="1" si="153"/>
        <v>8.685049625044341</v>
      </c>
      <c r="T508" s="30">
        <f t="shared" ca="1" si="153"/>
        <v>5.1717055351482966</v>
      </c>
      <c r="U508" s="30">
        <f t="shared" ca="1" si="153"/>
        <v>22.850975248827581</v>
      </c>
      <c r="V508" s="30">
        <f t="shared" ca="1" si="153"/>
        <v>8.2686125105162809</v>
      </c>
      <c r="W508" s="30">
        <f t="shared" ca="1" si="153"/>
        <v>14.802130485731052</v>
      </c>
      <c r="X508" s="30">
        <f t="shared" ca="1" si="153"/>
        <v>10.101896217838256</v>
      </c>
      <c r="Y508" s="30">
        <f t="shared" ca="1" si="153"/>
        <v>18.395609115924778</v>
      </c>
      <c r="Z508" s="30">
        <f t="shared" ca="1" si="153"/>
        <v>32.092066930822824</v>
      </c>
      <c r="AA508" s="26">
        <v>500</v>
      </c>
      <c r="AB508" s="31">
        <f t="shared" ca="1" si="148"/>
        <v>2</v>
      </c>
      <c r="AC508" s="31">
        <f t="shared" ca="1" si="137"/>
        <v>12</v>
      </c>
      <c r="AD508" s="31">
        <f t="shared" ca="1" si="138"/>
        <v>25</v>
      </c>
      <c r="AE508" s="31">
        <f t="shared" ca="1" si="139"/>
        <v>110</v>
      </c>
      <c r="AF508" s="31">
        <f t="shared" ca="1" si="140"/>
        <v>10</v>
      </c>
      <c r="AG508" s="31">
        <f t="shared" ca="1" si="141"/>
        <v>6</v>
      </c>
      <c r="AH508" s="31">
        <f t="shared" ca="1" si="142"/>
        <v>38</v>
      </c>
      <c r="AI508" s="31">
        <f t="shared" ca="1" si="143"/>
        <v>10</v>
      </c>
      <c r="AJ508" s="31">
        <f t="shared" ca="1" si="144"/>
        <v>20</v>
      </c>
      <c r="AK508" s="31">
        <f t="shared" ca="1" si="145"/>
        <v>12</v>
      </c>
      <c r="AL508" s="31">
        <f t="shared" ca="1" si="146"/>
        <v>27</v>
      </c>
      <c r="AM508" s="31">
        <f t="shared" ca="1" si="147"/>
        <v>109</v>
      </c>
    </row>
    <row r="509" spans="14:39">
      <c r="N509" s="26">
        <v>501</v>
      </c>
      <c r="O509" s="30">
        <f t="shared" ref="O509:Z518" ca="1" si="154">RAND()*sumweights</f>
        <v>25.393111072172736</v>
      </c>
      <c r="P509" s="30">
        <f t="shared" ca="1" si="154"/>
        <v>2.0135985989413157</v>
      </c>
      <c r="Q509" s="30">
        <f t="shared" ca="1" si="154"/>
        <v>30.271159052085139</v>
      </c>
      <c r="R509" s="30">
        <f t="shared" ca="1" si="154"/>
        <v>5.1643835182619258</v>
      </c>
      <c r="S509" s="30">
        <f t="shared" ca="1" si="154"/>
        <v>11.616134212937935</v>
      </c>
      <c r="T509" s="30">
        <f t="shared" ca="1" si="154"/>
        <v>21.993339938180867</v>
      </c>
      <c r="U509" s="30">
        <f t="shared" ca="1" si="154"/>
        <v>21.630147791989245</v>
      </c>
      <c r="V509" s="30">
        <f t="shared" ca="1" si="154"/>
        <v>9.4308587616366548</v>
      </c>
      <c r="W509" s="30">
        <f t="shared" ca="1" si="154"/>
        <v>9.1868554775511875</v>
      </c>
      <c r="X509" s="30">
        <f t="shared" ca="1" si="154"/>
        <v>23.964191094502166</v>
      </c>
      <c r="Y509" s="30">
        <f t="shared" ca="1" si="154"/>
        <v>17.340466488153051</v>
      </c>
      <c r="Z509" s="30">
        <f t="shared" ca="1" si="154"/>
        <v>1.0245179503135784</v>
      </c>
      <c r="AA509" s="26">
        <v>501</v>
      </c>
      <c r="AB509" s="31">
        <f t="shared" ca="1" si="148"/>
        <v>48</v>
      </c>
      <c r="AC509" s="31">
        <f t="shared" ca="1" si="137"/>
        <v>3</v>
      </c>
      <c r="AD509" s="31">
        <f t="shared" ca="1" si="138"/>
        <v>79</v>
      </c>
      <c r="AE509" s="31">
        <f t="shared" ca="1" si="139"/>
        <v>6</v>
      </c>
      <c r="AF509" s="31">
        <f t="shared" ca="1" si="140"/>
        <v>15</v>
      </c>
      <c r="AG509" s="31">
        <f t="shared" ca="1" si="141"/>
        <v>36</v>
      </c>
      <c r="AH509" s="31">
        <f t="shared" ca="1" si="142"/>
        <v>35</v>
      </c>
      <c r="AI509" s="31">
        <f t="shared" ca="1" si="143"/>
        <v>11</v>
      </c>
      <c r="AJ509" s="31">
        <f t="shared" ca="1" si="144"/>
        <v>11</v>
      </c>
      <c r="AK509" s="31">
        <f t="shared" ca="1" si="145"/>
        <v>42</v>
      </c>
      <c r="AL509" s="31">
        <f t="shared" ca="1" si="146"/>
        <v>25</v>
      </c>
      <c r="AM509" s="31">
        <f t="shared" ca="1" si="147"/>
        <v>2</v>
      </c>
    </row>
    <row r="510" spans="14:39">
      <c r="N510" s="26">
        <v>502</v>
      </c>
      <c r="O510" s="30">
        <f t="shared" ca="1" si="154"/>
        <v>15.262824707561148</v>
      </c>
      <c r="P510" s="30">
        <f t="shared" ca="1" si="154"/>
        <v>2.456714557054017</v>
      </c>
      <c r="Q510" s="30">
        <f t="shared" ca="1" si="154"/>
        <v>16.036499188729582</v>
      </c>
      <c r="R510" s="30">
        <f t="shared" ca="1" si="154"/>
        <v>28.156359088847559</v>
      </c>
      <c r="S510" s="30">
        <f t="shared" ca="1" si="154"/>
        <v>11.176645991207915</v>
      </c>
      <c r="T510" s="30">
        <f t="shared" ca="1" si="154"/>
        <v>29.593025853923674</v>
      </c>
      <c r="U510" s="30">
        <f t="shared" ca="1" si="154"/>
        <v>15.928442773860812</v>
      </c>
      <c r="V510" s="30">
        <f t="shared" ca="1" si="154"/>
        <v>3.4205242554507396</v>
      </c>
      <c r="W510" s="30">
        <f t="shared" ca="1" si="154"/>
        <v>28.396880001721428</v>
      </c>
      <c r="X510" s="30">
        <f t="shared" ca="1" si="154"/>
        <v>14.798841648223403</v>
      </c>
      <c r="Y510" s="30">
        <f t="shared" ca="1" si="154"/>
        <v>28.072052794780053</v>
      </c>
      <c r="Z510" s="30">
        <f t="shared" ca="1" si="154"/>
        <v>27.710469466578374</v>
      </c>
      <c r="AA510" s="26">
        <v>502</v>
      </c>
      <c r="AB510" s="31">
        <f t="shared" ca="1" si="148"/>
        <v>21</v>
      </c>
      <c r="AC510" s="31">
        <f t="shared" ca="1" si="137"/>
        <v>3</v>
      </c>
      <c r="AD510" s="31">
        <f t="shared" ca="1" si="138"/>
        <v>22</v>
      </c>
      <c r="AE510" s="31">
        <f t="shared" ca="1" si="139"/>
        <v>62</v>
      </c>
      <c r="AF510" s="31">
        <f t="shared" ca="1" si="140"/>
        <v>14</v>
      </c>
      <c r="AG510" s="31">
        <f t="shared" ca="1" si="141"/>
        <v>72</v>
      </c>
      <c r="AH510" s="31">
        <f t="shared" ca="1" si="142"/>
        <v>22</v>
      </c>
      <c r="AI510" s="31">
        <f t="shared" ca="1" si="143"/>
        <v>4</v>
      </c>
      <c r="AJ510" s="31">
        <f t="shared" ca="1" si="144"/>
        <v>63</v>
      </c>
      <c r="AK510" s="31">
        <f t="shared" ca="1" si="145"/>
        <v>20</v>
      </c>
      <c r="AL510" s="31">
        <f t="shared" ca="1" si="146"/>
        <v>61</v>
      </c>
      <c r="AM510" s="31">
        <f t="shared" ca="1" si="147"/>
        <v>59</v>
      </c>
    </row>
    <row r="511" spans="14:39">
      <c r="N511" s="26">
        <v>503</v>
      </c>
      <c r="O511" s="30">
        <f t="shared" ca="1" si="154"/>
        <v>5.0033477479043178</v>
      </c>
      <c r="P511" s="30">
        <f t="shared" ca="1" si="154"/>
        <v>18.85246223737569</v>
      </c>
      <c r="Q511" s="30">
        <f t="shared" ca="1" si="154"/>
        <v>28.094935147973885</v>
      </c>
      <c r="R511" s="30">
        <f t="shared" ca="1" si="154"/>
        <v>7.3577821664498568</v>
      </c>
      <c r="S511" s="30">
        <f t="shared" ca="1" si="154"/>
        <v>12.964965973339238</v>
      </c>
      <c r="T511" s="30">
        <f t="shared" ca="1" si="154"/>
        <v>13.940701871349562</v>
      </c>
      <c r="U511" s="30">
        <f t="shared" ca="1" si="154"/>
        <v>15.279398886636416</v>
      </c>
      <c r="V511" s="30">
        <f t="shared" ca="1" si="154"/>
        <v>2.4037915437330803</v>
      </c>
      <c r="W511" s="30">
        <f t="shared" ca="1" si="154"/>
        <v>1.9624577542304926</v>
      </c>
      <c r="X511" s="30">
        <f t="shared" ca="1" si="154"/>
        <v>0.81194785544253123</v>
      </c>
      <c r="Y511" s="30">
        <f t="shared" ca="1" si="154"/>
        <v>1.5976349688057081</v>
      </c>
      <c r="Z511" s="30">
        <f t="shared" ca="1" si="154"/>
        <v>7.1287705438776667</v>
      </c>
      <c r="AA511" s="26">
        <v>503</v>
      </c>
      <c r="AB511" s="31">
        <f t="shared" ca="1" si="148"/>
        <v>6</v>
      </c>
      <c r="AC511" s="31">
        <f t="shared" ca="1" si="137"/>
        <v>28</v>
      </c>
      <c r="AD511" s="31">
        <f t="shared" ca="1" si="138"/>
        <v>61</v>
      </c>
      <c r="AE511" s="31">
        <f t="shared" ca="1" si="139"/>
        <v>9</v>
      </c>
      <c r="AF511" s="31">
        <f t="shared" ca="1" si="140"/>
        <v>17</v>
      </c>
      <c r="AG511" s="31">
        <f t="shared" ca="1" si="141"/>
        <v>18</v>
      </c>
      <c r="AH511" s="31">
        <f t="shared" ca="1" si="142"/>
        <v>21</v>
      </c>
      <c r="AI511" s="31">
        <f t="shared" ca="1" si="143"/>
        <v>3</v>
      </c>
      <c r="AJ511" s="31">
        <f t="shared" ca="1" si="144"/>
        <v>2</v>
      </c>
      <c r="AK511" s="31">
        <f t="shared" ca="1" si="145"/>
        <v>1</v>
      </c>
      <c r="AL511" s="31">
        <f t="shared" ca="1" si="146"/>
        <v>2</v>
      </c>
      <c r="AM511" s="31">
        <f t="shared" ca="1" si="147"/>
        <v>8</v>
      </c>
    </row>
    <row r="512" spans="14:39">
      <c r="N512" s="26">
        <v>504</v>
      </c>
      <c r="O512" s="30">
        <f t="shared" ca="1" si="154"/>
        <v>14.497660344902499</v>
      </c>
      <c r="P512" s="30">
        <f t="shared" ca="1" si="154"/>
        <v>11.520774374764704</v>
      </c>
      <c r="Q512" s="30">
        <f t="shared" ca="1" si="154"/>
        <v>19.578564470770054</v>
      </c>
      <c r="R512" s="30">
        <f t="shared" ca="1" si="154"/>
        <v>7.3390223601044369</v>
      </c>
      <c r="S512" s="30">
        <f t="shared" ca="1" si="154"/>
        <v>21.923292884485363</v>
      </c>
      <c r="T512" s="30">
        <f t="shared" ca="1" si="154"/>
        <v>16.2529758677275</v>
      </c>
      <c r="U512" s="30">
        <f t="shared" ca="1" si="154"/>
        <v>27.401433022399949</v>
      </c>
      <c r="V512" s="30">
        <f t="shared" ca="1" si="154"/>
        <v>21.94679047765289</v>
      </c>
      <c r="W512" s="30">
        <f t="shared" ca="1" si="154"/>
        <v>2.1503778058360661</v>
      </c>
      <c r="X512" s="30">
        <f t="shared" ca="1" si="154"/>
        <v>2.2439672610841428</v>
      </c>
      <c r="Y512" s="30">
        <f t="shared" ca="1" si="154"/>
        <v>19.711112957048979</v>
      </c>
      <c r="Z512" s="30">
        <f t="shared" ca="1" si="154"/>
        <v>4.3689605288278957</v>
      </c>
      <c r="AA512" s="26">
        <v>504</v>
      </c>
      <c r="AB512" s="31">
        <f t="shared" ca="1" si="148"/>
        <v>19</v>
      </c>
      <c r="AC512" s="31">
        <f t="shared" ca="1" si="137"/>
        <v>14</v>
      </c>
      <c r="AD512" s="31">
        <f t="shared" ca="1" si="138"/>
        <v>30</v>
      </c>
      <c r="AE512" s="31">
        <f t="shared" ca="1" si="139"/>
        <v>9</v>
      </c>
      <c r="AF512" s="31">
        <f t="shared" ca="1" si="140"/>
        <v>36</v>
      </c>
      <c r="AG512" s="31">
        <f t="shared" ca="1" si="141"/>
        <v>22</v>
      </c>
      <c r="AH512" s="31">
        <f t="shared" ca="1" si="142"/>
        <v>57</v>
      </c>
      <c r="AI512" s="31">
        <f t="shared" ca="1" si="143"/>
        <v>36</v>
      </c>
      <c r="AJ512" s="31">
        <f t="shared" ca="1" si="144"/>
        <v>3</v>
      </c>
      <c r="AK512" s="31">
        <f t="shared" ca="1" si="145"/>
        <v>3</v>
      </c>
      <c r="AL512" s="31">
        <f t="shared" ca="1" si="146"/>
        <v>30</v>
      </c>
      <c r="AM512" s="31">
        <f t="shared" ca="1" si="147"/>
        <v>5</v>
      </c>
    </row>
    <row r="513" spans="14:39">
      <c r="N513" s="26">
        <v>505</v>
      </c>
      <c r="O513" s="30">
        <f t="shared" ca="1" si="154"/>
        <v>7.8746068496232002E-2</v>
      </c>
      <c r="P513" s="30">
        <f t="shared" ca="1" si="154"/>
        <v>4.2291829928512819</v>
      </c>
      <c r="Q513" s="30">
        <f t="shared" ca="1" si="154"/>
        <v>1.7785534211477256</v>
      </c>
      <c r="R513" s="30">
        <f t="shared" ca="1" si="154"/>
        <v>15.947754972779027</v>
      </c>
      <c r="S513" s="30">
        <f t="shared" ca="1" si="154"/>
        <v>2.5842867671767284</v>
      </c>
      <c r="T513" s="30">
        <f t="shared" ca="1" si="154"/>
        <v>19.887504696025168</v>
      </c>
      <c r="U513" s="30">
        <f t="shared" ca="1" si="154"/>
        <v>9.5815458774052722</v>
      </c>
      <c r="V513" s="30">
        <f t="shared" ca="1" si="154"/>
        <v>33.172820295509958</v>
      </c>
      <c r="W513" s="30">
        <f t="shared" ca="1" si="154"/>
        <v>4.9236008020523148</v>
      </c>
      <c r="X513" s="30">
        <f t="shared" ca="1" si="154"/>
        <v>18.59217671059471</v>
      </c>
      <c r="Y513" s="30">
        <f t="shared" ca="1" si="154"/>
        <v>18.870667843914685</v>
      </c>
      <c r="Z513" s="30">
        <f t="shared" ca="1" si="154"/>
        <v>22.469616961506318</v>
      </c>
      <c r="AA513" s="26">
        <v>505</v>
      </c>
      <c r="AB513" s="31">
        <f t="shared" ca="1" si="148"/>
        <v>1</v>
      </c>
      <c r="AC513" s="31">
        <f t="shared" ca="1" si="137"/>
        <v>5</v>
      </c>
      <c r="AD513" s="31">
        <f t="shared" ca="1" si="138"/>
        <v>2</v>
      </c>
      <c r="AE513" s="31">
        <f t="shared" ca="1" si="139"/>
        <v>22</v>
      </c>
      <c r="AF513" s="31">
        <f t="shared" ca="1" si="140"/>
        <v>3</v>
      </c>
      <c r="AG513" s="31">
        <f t="shared" ca="1" si="141"/>
        <v>30</v>
      </c>
      <c r="AH513" s="31">
        <f t="shared" ca="1" si="142"/>
        <v>12</v>
      </c>
      <c r="AI513" s="31">
        <f t="shared" ca="1" si="143"/>
        <v>176</v>
      </c>
      <c r="AJ513" s="31">
        <f t="shared" ca="1" si="144"/>
        <v>6</v>
      </c>
      <c r="AK513" s="31">
        <f t="shared" ca="1" si="145"/>
        <v>27</v>
      </c>
      <c r="AL513" s="31">
        <f t="shared" ca="1" si="146"/>
        <v>28</v>
      </c>
      <c r="AM513" s="31">
        <f t="shared" ca="1" si="147"/>
        <v>37</v>
      </c>
    </row>
    <row r="514" spans="14:39">
      <c r="N514" s="26">
        <v>506</v>
      </c>
      <c r="O514" s="30">
        <f t="shared" ca="1" si="154"/>
        <v>10.657292283306536</v>
      </c>
      <c r="P514" s="30">
        <f t="shared" ca="1" si="154"/>
        <v>32.681075028624299</v>
      </c>
      <c r="Q514" s="30">
        <f t="shared" ca="1" si="154"/>
        <v>25.607970131893616</v>
      </c>
      <c r="R514" s="30">
        <f t="shared" ca="1" si="154"/>
        <v>4.4282826111140094</v>
      </c>
      <c r="S514" s="30">
        <f t="shared" ca="1" si="154"/>
        <v>8.5091557664269146</v>
      </c>
      <c r="T514" s="30">
        <f t="shared" ca="1" si="154"/>
        <v>24.806692404907469</v>
      </c>
      <c r="U514" s="30">
        <f t="shared" ca="1" si="154"/>
        <v>24.471999390198452</v>
      </c>
      <c r="V514" s="30">
        <f t="shared" ca="1" si="154"/>
        <v>2.8370489719435481</v>
      </c>
      <c r="W514" s="30">
        <f t="shared" ca="1" si="154"/>
        <v>21.797684227822113</v>
      </c>
      <c r="X514" s="30">
        <f t="shared" ca="1" si="154"/>
        <v>16.554060382957928</v>
      </c>
      <c r="Y514" s="30">
        <f t="shared" ca="1" si="154"/>
        <v>12.571702331188455</v>
      </c>
      <c r="Z514" s="30">
        <f t="shared" ca="1" si="154"/>
        <v>22.738664091898698</v>
      </c>
      <c r="AA514" s="26">
        <v>506</v>
      </c>
      <c r="AB514" s="31">
        <f t="shared" ca="1" si="148"/>
        <v>13</v>
      </c>
      <c r="AC514" s="31">
        <f t="shared" ca="1" si="137"/>
        <v>130</v>
      </c>
      <c r="AD514" s="31">
        <f t="shared" ca="1" si="138"/>
        <v>49</v>
      </c>
      <c r="AE514" s="31">
        <f t="shared" ca="1" si="139"/>
        <v>5</v>
      </c>
      <c r="AF514" s="31">
        <f t="shared" ca="1" si="140"/>
        <v>10</v>
      </c>
      <c r="AG514" s="31">
        <f t="shared" ca="1" si="141"/>
        <v>45</v>
      </c>
      <c r="AH514" s="31">
        <f t="shared" ca="1" si="142"/>
        <v>44</v>
      </c>
      <c r="AI514" s="31">
        <f t="shared" ca="1" si="143"/>
        <v>3</v>
      </c>
      <c r="AJ514" s="31">
        <f t="shared" ca="1" si="144"/>
        <v>35</v>
      </c>
      <c r="AK514" s="31">
        <f t="shared" ca="1" si="145"/>
        <v>23</v>
      </c>
      <c r="AL514" s="31">
        <f t="shared" ca="1" si="146"/>
        <v>16</v>
      </c>
      <c r="AM514" s="31">
        <f t="shared" ca="1" si="147"/>
        <v>38</v>
      </c>
    </row>
    <row r="515" spans="14:39">
      <c r="N515" s="26">
        <v>507</v>
      </c>
      <c r="O515" s="30">
        <f t="shared" ca="1" si="154"/>
        <v>16.701453856571892</v>
      </c>
      <c r="P515" s="30">
        <f t="shared" ca="1" si="154"/>
        <v>5.9995662319143577</v>
      </c>
      <c r="Q515" s="30">
        <f t="shared" ca="1" si="154"/>
        <v>26.136466083290856</v>
      </c>
      <c r="R515" s="30">
        <f t="shared" ca="1" si="154"/>
        <v>21.334431936816983</v>
      </c>
      <c r="S515" s="30">
        <f t="shared" ca="1" si="154"/>
        <v>11.299189973202324</v>
      </c>
      <c r="T515" s="30">
        <f t="shared" ca="1" si="154"/>
        <v>21.178356232236002</v>
      </c>
      <c r="U515" s="30">
        <f t="shared" ca="1" si="154"/>
        <v>9.7644898388352477</v>
      </c>
      <c r="V515" s="30">
        <f t="shared" ca="1" si="154"/>
        <v>17.946714301111967</v>
      </c>
      <c r="W515" s="30">
        <f t="shared" ca="1" si="154"/>
        <v>13.272914397026753</v>
      </c>
      <c r="X515" s="30">
        <f t="shared" ca="1" si="154"/>
        <v>2.1272775195300953</v>
      </c>
      <c r="Y515" s="30">
        <f t="shared" ca="1" si="154"/>
        <v>15.537323372708622</v>
      </c>
      <c r="Z515" s="30">
        <f t="shared" ca="1" si="154"/>
        <v>7.6552864413071662</v>
      </c>
      <c r="AA515" s="26">
        <v>507</v>
      </c>
      <c r="AB515" s="31">
        <f t="shared" ca="1" si="148"/>
        <v>23</v>
      </c>
      <c r="AC515" s="31">
        <f t="shared" ca="1" si="137"/>
        <v>7</v>
      </c>
      <c r="AD515" s="31">
        <f t="shared" ca="1" si="138"/>
        <v>51</v>
      </c>
      <c r="AE515" s="31">
        <f t="shared" ca="1" si="139"/>
        <v>34</v>
      </c>
      <c r="AF515" s="31">
        <f t="shared" ca="1" si="140"/>
        <v>14</v>
      </c>
      <c r="AG515" s="31">
        <f t="shared" ca="1" si="141"/>
        <v>34</v>
      </c>
      <c r="AH515" s="31">
        <f t="shared" ca="1" si="142"/>
        <v>12</v>
      </c>
      <c r="AI515" s="31">
        <f t="shared" ca="1" si="143"/>
        <v>26</v>
      </c>
      <c r="AJ515" s="31">
        <f t="shared" ca="1" si="144"/>
        <v>17</v>
      </c>
      <c r="AK515" s="31">
        <f t="shared" ca="1" si="145"/>
        <v>3</v>
      </c>
      <c r="AL515" s="31">
        <f t="shared" ca="1" si="146"/>
        <v>21</v>
      </c>
      <c r="AM515" s="31">
        <f t="shared" ca="1" si="147"/>
        <v>9</v>
      </c>
    </row>
    <row r="516" spans="14:39">
      <c r="N516" s="26">
        <v>508</v>
      </c>
      <c r="O516" s="30">
        <f t="shared" ca="1" si="154"/>
        <v>33.034446915185697</v>
      </c>
      <c r="P516" s="30">
        <f t="shared" ca="1" si="154"/>
        <v>31.806365999870916</v>
      </c>
      <c r="Q516" s="30">
        <f t="shared" ca="1" si="154"/>
        <v>18.25623559007348</v>
      </c>
      <c r="R516" s="30">
        <f t="shared" ca="1" si="154"/>
        <v>16.998099376931378</v>
      </c>
      <c r="S516" s="30">
        <f t="shared" ca="1" si="154"/>
        <v>25.497717898763227</v>
      </c>
      <c r="T516" s="30">
        <f t="shared" ca="1" si="154"/>
        <v>27.52440657241803</v>
      </c>
      <c r="U516" s="30">
        <f t="shared" ca="1" si="154"/>
        <v>2.1867986445268603</v>
      </c>
      <c r="V516" s="30">
        <f t="shared" ca="1" si="154"/>
        <v>4.4041442647584423</v>
      </c>
      <c r="W516" s="30">
        <f t="shared" ca="1" si="154"/>
        <v>15.397125062991691</v>
      </c>
      <c r="X516" s="30">
        <f t="shared" ca="1" si="154"/>
        <v>31.711524774251814</v>
      </c>
      <c r="Y516" s="30">
        <f t="shared" ca="1" si="154"/>
        <v>21.527768376464309</v>
      </c>
      <c r="Z516" s="30">
        <f t="shared" ca="1" si="154"/>
        <v>20.184082753688749</v>
      </c>
      <c r="AA516" s="26">
        <v>508</v>
      </c>
      <c r="AB516" s="31">
        <f t="shared" ca="1" si="148"/>
        <v>155</v>
      </c>
      <c r="AC516" s="31">
        <f t="shared" ca="1" si="137"/>
        <v>102</v>
      </c>
      <c r="AD516" s="31">
        <f t="shared" ca="1" si="138"/>
        <v>27</v>
      </c>
      <c r="AE516" s="31">
        <f t="shared" ca="1" si="139"/>
        <v>24</v>
      </c>
      <c r="AF516" s="31">
        <f t="shared" ca="1" si="140"/>
        <v>48</v>
      </c>
      <c r="AG516" s="31">
        <f t="shared" ca="1" si="141"/>
        <v>58</v>
      </c>
      <c r="AH516" s="31">
        <f t="shared" ca="1" si="142"/>
        <v>3</v>
      </c>
      <c r="AI516" s="31">
        <f t="shared" ca="1" si="143"/>
        <v>5</v>
      </c>
      <c r="AJ516" s="31">
        <f t="shared" ca="1" si="144"/>
        <v>21</v>
      </c>
      <c r="AK516" s="31">
        <f t="shared" ca="1" si="145"/>
        <v>100</v>
      </c>
      <c r="AL516" s="31">
        <f t="shared" ca="1" si="146"/>
        <v>35</v>
      </c>
      <c r="AM516" s="31">
        <f t="shared" ca="1" si="147"/>
        <v>31</v>
      </c>
    </row>
    <row r="517" spans="14:39">
      <c r="N517" s="26">
        <v>509</v>
      </c>
      <c r="O517" s="30">
        <f t="shared" ca="1" si="154"/>
        <v>19.892487053127404</v>
      </c>
      <c r="P517" s="30">
        <f t="shared" ca="1" si="154"/>
        <v>17.575587763195834</v>
      </c>
      <c r="Q517" s="30">
        <f t="shared" ca="1" si="154"/>
        <v>16.972511824010056</v>
      </c>
      <c r="R517" s="30">
        <f t="shared" ca="1" si="154"/>
        <v>11.219352476340482</v>
      </c>
      <c r="S517" s="30">
        <f t="shared" ca="1" si="154"/>
        <v>28.151938758384052</v>
      </c>
      <c r="T517" s="30">
        <f t="shared" ca="1" si="154"/>
        <v>10.836867127477118</v>
      </c>
      <c r="U517" s="30">
        <f t="shared" ca="1" si="154"/>
        <v>29.059306787571266</v>
      </c>
      <c r="V517" s="30">
        <f t="shared" ca="1" si="154"/>
        <v>25.047127690551619</v>
      </c>
      <c r="W517" s="30">
        <f t="shared" ca="1" si="154"/>
        <v>3.3399010839977126</v>
      </c>
      <c r="X517" s="30">
        <f t="shared" ca="1" si="154"/>
        <v>22.750395563064135</v>
      </c>
      <c r="Y517" s="30">
        <f t="shared" ca="1" si="154"/>
        <v>21.126315480694029</v>
      </c>
      <c r="Z517" s="30">
        <f t="shared" ca="1" si="154"/>
        <v>28.353585347583039</v>
      </c>
      <c r="AA517" s="26">
        <v>509</v>
      </c>
      <c r="AB517" s="31">
        <f t="shared" ca="1" si="148"/>
        <v>30</v>
      </c>
      <c r="AC517" s="31">
        <f t="shared" ca="1" si="137"/>
        <v>25</v>
      </c>
      <c r="AD517" s="31">
        <f t="shared" ca="1" si="138"/>
        <v>24</v>
      </c>
      <c r="AE517" s="31">
        <f t="shared" ca="1" si="139"/>
        <v>14</v>
      </c>
      <c r="AF517" s="31">
        <f t="shared" ca="1" si="140"/>
        <v>62</v>
      </c>
      <c r="AG517" s="31">
        <f t="shared" ca="1" si="141"/>
        <v>13</v>
      </c>
      <c r="AH517" s="31">
        <f t="shared" ca="1" si="142"/>
        <v>68</v>
      </c>
      <c r="AI517" s="31">
        <f t="shared" ca="1" si="143"/>
        <v>46</v>
      </c>
      <c r="AJ517" s="31">
        <f t="shared" ca="1" si="144"/>
        <v>4</v>
      </c>
      <c r="AK517" s="31">
        <f t="shared" ca="1" si="145"/>
        <v>38</v>
      </c>
      <c r="AL517" s="31">
        <f t="shared" ca="1" si="146"/>
        <v>33</v>
      </c>
      <c r="AM517" s="31">
        <f t="shared" ca="1" si="147"/>
        <v>63</v>
      </c>
    </row>
    <row r="518" spans="14:39">
      <c r="N518" s="26">
        <v>510</v>
      </c>
      <c r="O518" s="30">
        <f t="shared" ca="1" si="154"/>
        <v>21.846932286959774</v>
      </c>
      <c r="P518" s="30">
        <f t="shared" ca="1" si="154"/>
        <v>26.947338465190164</v>
      </c>
      <c r="Q518" s="30">
        <f t="shared" ca="1" si="154"/>
        <v>5.327508201711832</v>
      </c>
      <c r="R518" s="30">
        <f t="shared" ca="1" si="154"/>
        <v>26.218207475619462</v>
      </c>
      <c r="S518" s="30">
        <f t="shared" ca="1" si="154"/>
        <v>30.906143086597233</v>
      </c>
      <c r="T518" s="30">
        <f t="shared" ca="1" si="154"/>
        <v>26.013682126898114</v>
      </c>
      <c r="U518" s="30">
        <f t="shared" ca="1" si="154"/>
        <v>4.9751182194153047</v>
      </c>
      <c r="V518" s="30">
        <f t="shared" ca="1" si="154"/>
        <v>4.5439341466964303</v>
      </c>
      <c r="W518" s="30">
        <f t="shared" ca="1" si="154"/>
        <v>28.306223862868066</v>
      </c>
      <c r="X518" s="30">
        <f t="shared" ca="1" si="154"/>
        <v>31.734612562367502</v>
      </c>
      <c r="Y518" s="30">
        <f t="shared" ca="1" si="154"/>
        <v>14.261354634906924</v>
      </c>
      <c r="Z518" s="30">
        <f t="shared" ca="1" si="154"/>
        <v>3.0639969091884676</v>
      </c>
      <c r="AA518" s="26">
        <v>510</v>
      </c>
      <c r="AB518" s="31">
        <f t="shared" ca="1" si="148"/>
        <v>35</v>
      </c>
      <c r="AC518" s="31">
        <f t="shared" ca="1" si="137"/>
        <v>55</v>
      </c>
      <c r="AD518" s="31">
        <f t="shared" ca="1" si="138"/>
        <v>6</v>
      </c>
      <c r="AE518" s="31">
        <f t="shared" ca="1" si="139"/>
        <v>51</v>
      </c>
      <c r="AF518" s="31">
        <f t="shared" ca="1" si="140"/>
        <v>87</v>
      </c>
      <c r="AG518" s="31">
        <f t="shared" ca="1" si="141"/>
        <v>50</v>
      </c>
      <c r="AH518" s="31">
        <f t="shared" ca="1" si="142"/>
        <v>6</v>
      </c>
      <c r="AI518" s="31">
        <f t="shared" ca="1" si="143"/>
        <v>5</v>
      </c>
      <c r="AJ518" s="31">
        <f t="shared" ca="1" si="144"/>
        <v>63</v>
      </c>
      <c r="AK518" s="31">
        <f t="shared" ca="1" si="145"/>
        <v>100</v>
      </c>
      <c r="AL518" s="31">
        <f t="shared" ca="1" si="146"/>
        <v>19</v>
      </c>
      <c r="AM518" s="31">
        <f t="shared" ca="1" si="147"/>
        <v>4</v>
      </c>
    </row>
    <row r="519" spans="14:39">
      <c r="N519" s="26">
        <v>511</v>
      </c>
      <c r="O519" s="30">
        <f t="shared" ref="O519:Z528" ca="1" si="155">RAND()*sumweights</f>
        <v>0.64811591640564303</v>
      </c>
      <c r="P519" s="30">
        <f t="shared" ca="1" si="155"/>
        <v>4.3996474155671592</v>
      </c>
      <c r="Q519" s="30">
        <f t="shared" ca="1" si="155"/>
        <v>27.874107922158871</v>
      </c>
      <c r="R519" s="30">
        <f t="shared" ca="1" si="155"/>
        <v>0.12963530753127919</v>
      </c>
      <c r="S519" s="30">
        <f t="shared" ca="1" si="155"/>
        <v>19.307329583286631</v>
      </c>
      <c r="T519" s="30">
        <f t="shared" ca="1" si="155"/>
        <v>27.800846298571727</v>
      </c>
      <c r="U519" s="30">
        <f t="shared" ca="1" si="155"/>
        <v>22.805522485551549</v>
      </c>
      <c r="V519" s="30">
        <f t="shared" ca="1" si="155"/>
        <v>20.583218039234193</v>
      </c>
      <c r="W519" s="30">
        <f t="shared" ca="1" si="155"/>
        <v>10.488630759456386</v>
      </c>
      <c r="X519" s="30">
        <f t="shared" ca="1" si="155"/>
        <v>13.023209174748942</v>
      </c>
      <c r="Y519" s="30">
        <f t="shared" ca="1" si="155"/>
        <v>30.039430505132877</v>
      </c>
      <c r="Z519" s="30">
        <f t="shared" ca="1" si="155"/>
        <v>6.701317203720671</v>
      </c>
      <c r="AA519" s="26">
        <v>511</v>
      </c>
      <c r="AB519" s="31">
        <f t="shared" ca="1" si="148"/>
        <v>1</v>
      </c>
      <c r="AC519" s="31">
        <f t="shared" ca="1" si="137"/>
        <v>5</v>
      </c>
      <c r="AD519" s="31">
        <f t="shared" ca="1" si="138"/>
        <v>60</v>
      </c>
      <c r="AE519" s="31">
        <f t="shared" ca="1" si="139"/>
        <v>1</v>
      </c>
      <c r="AF519" s="31">
        <f t="shared" ca="1" si="140"/>
        <v>29</v>
      </c>
      <c r="AG519" s="31">
        <f t="shared" ca="1" si="141"/>
        <v>59</v>
      </c>
      <c r="AH519" s="31">
        <f t="shared" ca="1" si="142"/>
        <v>38</v>
      </c>
      <c r="AI519" s="31">
        <f t="shared" ca="1" si="143"/>
        <v>32</v>
      </c>
      <c r="AJ519" s="31">
        <f t="shared" ca="1" si="144"/>
        <v>13</v>
      </c>
      <c r="AK519" s="31">
        <f t="shared" ca="1" si="145"/>
        <v>17</v>
      </c>
      <c r="AL519" s="31">
        <f t="shared" ca="1" si="146"/>
        <v>76</v>
      </c>
      <c r="AM519" s="31">
        <f t="shared" ca="1" si="147"/>
        <v>8</v>
      </c>
    </row>
    <row r="520" spans="14:39">
      <c r="N520" s="26">
        <v>512</v>
      </c>
      <c r="O520" s="30">
        <f t="shared" ca="1" si="155"/>
        <v>22.982139997795787</v>
      </c>
      <c r="P520" s="30">
        <f t="shared" ca="1" si="155"/>
        <v>4.3123906590404051</v>
      </c>
      <c r="Q520" s="30">
        <f t="shared" ca="1" si="155"/>
        <v>15.252666939089954</v>
      </c>
      <c r="R520" s="30">
        <f t="shared" ca="1" si="155"/>
        <v>6.1514767257209186</v>
      </c>
      <c r="S520" s="30">
        <f t="shared" ca="1" si="155"/>
        <v>8.084234425865958</v>
      </c>
      <c r="T520" s="30">
        <f t="shared" ca="1" si="155"/>
        <v>25.845911330957655</v>
      </c>
      <c r="U520" s="30">
        <f t="shared" ca="1" si="155"/>
        <v>23.499738735704724</v>
      </c>
      <c r="V520" s="30">
        <f t="shared" ca="1" si="155"/>
        <v>18.824745502021599</v>
      </c>
      <c r="W520" s="30">
        <f t="shared" ca="1" si="155"/>
        <v>24.626929185184022</v>
      </c>
      <c r="X520" s="30">
        <f t="shared" ca="1" si="155"/>
        <v>19.025348832150939</v>
      </c>
      <c r="Y520" s="30">
        <f t="shared" ca="1" si="155"/>
        <v>2.8146612504504547</v>
      </c>
      <c r="Z520" s="30">
        <f t="shared" ca="1" si="155"/>
        <v>17.013461892813332</v>
      </c>
      <c r="AA520" s="26">
        <v>512</v>
      </c>
      <c r="AB520" s="31">
        <f t="shared" ca="1" si="148"/>
        <v>39</v>
      </c>
      <c r="AC520" s="31">
        <f t="shared" ca="1" si="137"/>
        <v>5</v>
      </c>
      <c r="AD520" s="31">
        <f t="shared" ca="1" si="138"/>
        <v>21</v>
      </c>
      <c r="AE520" s="31">
        <f t="shared" ca="1" si="139"/>
        <v>7</v>
      </c>
      <c r="AF520" s="31">
        <f t="shared" ca="1" si="140"/>
        <v>10</v>
      </c>
      <c r="AG520" s="31">
        <f t="shared" ca="1" si="141"/>
        <v>50</v>
      </c>
      <c r="AH520" s="31">
        <f t="shared" ca="1" si="142"/>
        <v>41</v>
      </c>
      <c r="AI520" s="31">
        <f t="shared" ca="1" si="143"/>
        <v>28</v>
      </c>
      <c r="AJ520" s="31">
        <f t="shared" ca="1" si="144"/>
        <v>45</v>
      </c>
      <c r="AK520" s="31">
        <f t="shared" ca="1" si="145"/>
        <v>28</v>
      </c>
      <c r="AL520" s="31">
        <f t="shared" ca="1" si="146"/>
        <v>3</v>
      </c>
      <c r="AM520" s="31">
        <f t="shared" ca="1" si="147"/>
        <v>24</v>
      </c>
    </row>
    <row r="521" spans="14:39">
      <c r="N521" s="26">
        <v>513</v>
      </c>
      <c r="O521" s="30">
        <f t="shared" ca="1" si="155"/>
        <v>22.286623780241456</v>
      </c>
      <c r="P521" s="30">
        <f t="shared" ca="1" si="155"/>
        <v>5.9161577378700176</v>
      </c>
      <c r="Q521" s="30">
        <f t="shared" ca="1" si="155"/>
        <v>5.4150641393212666</v>
      </c>
      <c r="R521" s="30">
        <f t="shared" ca="1" si="155"/>
        <v>31.909482966709724</v>
      </c>
      <c r="S521" s="30">
        <f t="shared" ca="1" si="155"/>
        <v>6.9511255132119434</v>
      </c>
      <c r="T521" s="30">
        <f t="shared" ca="1" si="155"/>
        <v>20.926357313242143</v>
      </c>
      <c r="U521" s="30">
        <f t="shared" ca="1" si="155"/>
        <v>11.278210251550167</v>
      </c>
      <c r="V521" s="30">
        <f t="shared" ca="1" si="155"/>
        <v>7.386612764575613</v>
      </c>
      <c r="W521" s="30">
        <f t="shared" ca="1" si="155"/>
        <v>16.914081521515367</v>
      </c>
      <c r="X521" s="30">
        <f t="shared" ca="1" si="155"/>
        <v>29.334379961787331</v>
      </c>
      <c r="Y521" s="30">
        <f t="shared" ca="1" si="155"/>
        <v>8.43189263445724</v>
      </c>
      <c r="Z521" s="30">
        <f t="shared" ca="1" si="155"/>
        <v>29.882199931862306</v>
      </c>
      <c r="AA521" s="26">
        <v>513</v>
      </c>
      <c r="AB521" s="31">
        <f t="shared" ca="1" si="148"/>
        <v>37</v>
      </c>
      <c r="AC521" s="31">
        <f t="shared" ref="AC521:AC584" ca="1" si="156">MATCH(P521,cum_wt,1)</f>
        <v>7</v>
      </c>
      <c r="AD521" s="31">
        <f t="shared" ref="AD521:AD584" ca="1" si="157">MATCH(Q521,cum_wt,1)</f>
        <v>6</v>
      </c>
      <c r="AE521" s="31">
        <f t="shared" ref="AE521:AE584" ca="1" si="158">MATCH(R521,cum_wt,1)</f>
        <v>104</v>
      </c>
      <c r="AF521" s="31">
        <f t="shared" ref="AF521:AF584" ca="1" si="159">MATCH(S521,cum_wt,1)</f>
        <v>8</v>
      </c>
      <c r="AG521" s="31">
        <f t="shared" ref="AG521:AG584" ca="1" si="160">MATCH(T521,cum_wt,1)</f>
        <v>33</v>
      </c>
      <c r="AH521" s="31">
        <f t="shared" ref="AH521:AH584" ca="1" si="161">MATCH(U521,cum_wt,1)</f>
        <v>14</v>
      </c>
      <c r="AI521" s="31">
        <f t="shared" ref="AI521:AI584" ca="1" si="162">MATCH(V521,cum_wt,1)</f>
        <v>9</v>
      </c>
      <c r="AJ521" s="31">
        <f t="shared" ref="AJ521:AJ584" ca="1" si="163">MATCH(W521,cum_wt,1)</f>
        <v>24</v>
      </c>
      <c r="AK521" s="31">
        <f t="shared" ref="AK521:AK584" ca="1" si="164">MATCH(X521,cum_wt,1)</f>
        <v>70</v>
      </c>
      <c r="AL521" s="31">
        <f t="shared" ref="AL521:AL584" ca="1" si="165">MATCH(Y521,cum_wt,1)</f>
        <v>10</v>
      </c>
      <c r="AM521" s="31">
        <f t="shared" ref="AM521:AM584" ca="1" si="166">MATCH(Z521,cum_wt,1)</f>
        <v>75</v>
      </c>
    </row>
    <row r="522" spans="14:39">
      <c r="N522" s="26">
        <v>514</v>
      </c>
      <c r="O522" s="30">
        <f t="shared" ca="1" si="155"/>
        <v>0.56746470265025228</v>
      </c>
      <c r="P522" s="30">
        <f t="shared" ca="1" si="155"/>
        <v>6.5092311822036182</v>
      </c>
      <c r="Q522" s="30">
        <f t="shared" ca="1" si="155"/>
        <v>5.9406563509154315</v>
      </c>
      <c r="R522" s="30">
        <f t="shared" ca="1" si="155"/>
        <v>15.061912980393128</v>
      </c>
      <c r="S522" s="30">
        <f t="shared" ca="1" si="155"/>
        <v>24.603893606292189</v>
      </c>
      <c r="T522" s="30">
        <f t="shared" ca="1" si="155"/>
        <v>32.010262005731242</v>
      </c>
      <c r="U522" s="30">
        <f t="shared" ca="1" si="155"/>
        <v>21.30689236034442</v>
      </c>
      <c r="V522" s="30">
        <f t="shared" ca="1" si="155"/>
        <v>5.2021680580839771</v>
      </c>
      <c r="W522" s="30">
        <f t="shared" ca="1" si="155"/>
        <v>7.5763992785813601</v>
      </c>
      <c r="X522" s="30">
        <f t="shared" ca="1" si="155"/>
        <v>28.544728293707436</v>
      </c>
      <c r="Y522" s="30">
        <f t="shared" ca="1" si="155"/>
        <v>33.088878718111374</v>
      </c>
      <c r="Z522" s="30">
        <f t="shared" ca="1" si="155"/>
        <v>23.065558850223614</v>
      </c>
      <c r="AA522" s="26">
        <v>514</v>
      </c>
      <c r="AB522" s="31">
        <f t="shared" ref="AB522:AB585" ca="1" si="167">MATCH(O522,cum_wt,1)</f>
        <v>1</v>
      </c>
      <c r="AC522" s="31">
        <f t="shared" ca="1" si="156"/>
        <v>8</v>
      </c>
      <c r="AD522" s="31">
        <f t="shared" ca="1" si="157"/>
        <v>7</v>
      </c>
      <c r="AE522" s="31">
        <f t="shared" ca="1" si="158"/>
        <v>20</v>
      </c>
      <c r="AF522" s="31">
        <f t="shared" ca="1" si="159"/>
        <v>44</v>
      </c>
      <c r="AG522" s="31">
        <f t="shared" ca="1" si="160"/>
        <v>106</v>
      </c>
      <c r="AH522" s="31">
        <f t="shared" ca="1" si="161"/>
        <v>34</v>
      </c>
      <c r="AI522" s="31">
        <f t="shared" ca="1" si="162"/>
        <v>6</v>
      </c>
      <c r="AJ522" s="31">
        <f t="shared" ca="1" si="163"/>
        <v>9</v>
      </c>
      <c r="AK522" s="31">
        <f t="shared" ca="1" si="164"/>
        <v>64</v>
      </c>
      <c r="AL522" s="31">
        <f t="shared" ca="1" si="165"/>
        <v>162</v>
      </c>
      <c r="AM522" s="31">
        <f t="shared" ca="1" si="166"/>
        <v>39</v>
      </c>
    </row>
    <row r="523" spans="14:39">
      <c r="N523" s="26">
        <v>515</v>
      </c>
      <c r="O523" s="30">
        <f t="shared" ca="1" si="155"/>
        <v>8.1644888262533737</v>
      </c>
      <c r="P523" s="30">
        <f t="shared" ca="1" si="155"/>
        <v>8.0402913140291403</v>
      </c>
      <c r="Q523" s="30">
        <f t="shared" ca="1" si="155"/>
        <v>8.3517773924245393</v>
      </c>
      <c r="R523" s="30">
        <f t="shared" ca="1" si="155"/>
        <v>32.992200658551972</v>
      </c>
      <c r="S523" s="30">
        <f t="shared" ca="1" si="155"/>
        <v>2.8059516686377588</v>
      </c>
      <c r="T523" s="30">
        <f t="shared" ca="1" si="155"/>
        <v>29.716192159945528</v>
      </c>
      <c r="U523" s="30">
        <f t="shared" ca="1" si="155"/>
        <v>20.259089712980316</v>
      </c>
      <c r="V523" s="30">
        <f t="shared" ca="1" si="155"/>
        <v>8.0704418532207036</v>
      </c>
      <c r="W523" s="30">
        <f t="shared" ca="1" si="155"/>
        <v>11.177671495472477</v>
      </c>
      <c r="X523" s="30">
        <f t="shared" ca="1" si="155"/>
        <v>30.416165136548994</v>
      </c>
      <c r="Y523" s="30">
        <f t="shared" ca="1" si="155"/>
        <v>27.229929605730227</v>
      </c>
      <c r="Z523" s="30">
        <f t="shared" ca="1" si="155"/>
        <v>20.168172167158403</v>
      </c>
      <c r="AA523" s="26">
        <v>515</v>
      </c>
      <c r="AB523" s="31">
        <f t="shared" ca="1" si="167"/>
        <v>10</v>
      </c>
      <c r="AC523" s="31">
        <f t="shared" ca="1" si="156"/>
        <v>10</v>
      </c>
      <c r="AD523" s="31">
        <f t="shared" ca="1" si="157"/>
        <v>10</v>
      </c>
      <c r="AE523" s="31">
        <f t="shared" ca="1" si="158"/>
        <v>151</v>
      </c>
      <c r="AF523" s="31">
        <f t="shared" ca="1" si="159"/>
        <v>3</v>
      </c>
      <c r="AG523" s="31">
        <f t="shared" ca="1" si="160"/>
        <v>73</v>
      </c>
      <c r="AH523" s="31">
        <f t="shared" ca="1" si="161"/>
        <v>31</v>
      </c>
      <c r="AI523" s="31">
        <f t="shared" ca="1" si="162"/>
        <v>10</v>
      </c>
      <c r="AJ523" s="31">
        <f t="shared" ca="1" si="163"/>
        <v>14</v>
      </c>
      <c r="AK523" s="31">
        <f t="shared" ca="1" si="164"/>
        <v>80</v>
      </c>
      <c r="AL523" s="31">
        <f t="shared" ca="1" si="165"/>
        <v>56</v>
      </c>
      <c r="AM523" s="31">
        <f t="shared" ca="1" si="166"/>
        <v>31</v>
      </c>
    </row>
    <row r="524" spans="14:39">
      <c r="N524" s="26">
        <v>516</v>
      </c>
      <c r="O524" s="30">
        <f t="shared" ca="1" si="155"/>
        <v>26.715672355158414</v>
      </c>
      <c r="P524" s="30">
        <f t="shared" ca="1" si="155"/>
        <v>19.551834259494697</v>
      </c>
      <c r="Q524" s="30">
        <f t="shared" ca="1" si="155"/>
        <v>23.224710285434536</v>
      </c>
      <c r="R524" s="30">
        <f t="shared" ca="1" si="155"/>
        <v>25.331363973233614</v>
      </c>
      <c r="S524" s="30">
        <f t="shared" ca="1" si="155"/>
        <v>31.347355670639953</v>
      </c>
      <c r="T524" s="30">
        <f t="shared" ca="1" si="155"/>
        <v>22.12820257768238</v>
      </c>
      <c r="U524" s="30">
        <f t="shared" ca="1" si="155"/>
        <v>12.563202222842511</v>
      </c>
      <c r="V524" s="30">
        <f t="shared" ca="1" si="155"/>
        <v>18.299083966001557</v>
      </c>
      <c r="W524" s="30">
        <f t="shared" ca="1" si="155"/>
        <v>2.4219974297754483</v>
      </c>
      <c r="X524" s="30">
        <f t="shared" ca="1" si="155"/>
        <v>28.96243720774163</v>
      </c>
      <c r="Y524" s="30">
        <f t="shared" ca="1" si="155"/>
        <v>1.0900113200132784</v>
      </c>
      <c r="Z524" s="30">
        <f t="shared" ca="1" si="155"/>
        <v>16.786234593971095</v>
      </c>
      <c r="AA524" s="26">
        <v>516</v>
      </c>
      <c r="AB524" s="31">
        <f t="shared" ca="1" si="167"/>
        <v>54</v>
      </c>
      <c r="AC524" s="31">
        <f t="shared" ca="1" si="156"/>
        <v>29</v>
      </c>
      <c r="AD524" s="31">
        <f t="shared" ca="1" si="157"/>
        <v>40</v>
      </c>
      <c r="AE524" s="31">
        <f t="shared" ca="1" si="158"/>
        <v>47</v>
      </c>
      <c r="AF524" s="31">
        <f t="shared" ca="1" si="159"/>
        <v>93</v>
      </c>
      <c r="AG524" s="31">
        <f t="shared" ca="1" si="160"/>
        <v>36</v>
      </c>
      <c r="AH524" s="31">
        <f t="shared" ca="1" si="161"/>
        <v>16</v>
      </c>
      <c r="AI524" s="31">
        <f t="shared" ca="1" si="162"/>
        <v>27</v>
      </c>
      <c r="AJ524" s="31">
        <f t="shared" ca="1" si="163"/>
        <v>3</v>
      </c>
      <c r="AK524" s="31">
        <f t="shared" ca="1" si="164"/>
        <v>67</v>
      </c>
      <c r="AL524" s="31">
        <f t="shared" ca="1" si="165"/>
        <v>2</v>
      </c>
      <c r="AM524" s="31">
        <f t="shared" ca="1" si="166"/>
        <v>23</v>
      </c>
    </row>
    <row r="525" spans="14:39">
      <c r="N525" s="26">
        <v>517</v>
      </c>
      <c r="O525" s="30">
        <f t="shared" ca="1" si="155"/>
        <v>5.8815264998117369</v>
      </c>
      <c r="P525" s="30">
        <f t="shared" ca="1" si="155"/>
        <v>8.3643702784407168</v>
      </c>
      <c r="Q525" s="30">
        <f t="shared" ca="1" si="155"/>
        <v>12.293828127147796</v>
      </c>
      <c r="R525" s="30">
        <f t="shared" ca="1" si="155"/>
        <v>13.284321710397725</v>
      </c>
      <c r="S525" s="30">
        <f t="shared" ca="1" si="155"/>
        <v>4.9854516177881463</v>
      </c>
      <c r="T525" s="30">
        <f t="shared" ca="1" si="155"/>
        <v>31.808549204808241</v>
      </c>
      <c r="U525" s="30">
        <f t="shared" ca="1" si="155"/>
        <v>26.003110728761545</v>
      </c>
      <c r="V525" s="30">
        <f t="shared" ca="1" si="155"/>
        <v>9.3389279544641912</v>
      </c>
      <c r="W525" s="30">
        <f t="shared" ca="1" si="155"/>
        <v>25.306864877056064</v>
      </c>
      <c r="X525" s="30">
        <f t="shared" ca="1" si="155"/>
        <v>24.231778723346252</v>
      </c>
      <c r="Y525" s="30">
        <f t="shared" ca="1" si="155"/>
        <v>26.572154844908368</v>
      </c>
      <c r="Z525" s="30">
        <f t="shared" ca="1" si="155"/>
        <v>10.949146717627123</v>
      </c>
      <c r="AA525" s="26">
        <v>517</v>
      </c>
      <c r="AB525" s="31">
        <f t="shared" ca="1" si="167"/>
        <v>7</v>
      </c>
      <c r="AC525" s="31">
        <f t="shared" ca="1" si="156"/>
        <v>10</v>
      </c>
      <c r="AD525" s="31">
        <f t="shared" ca="1" si="157"/>
        <v>16</v>
      </c>
      <c r="AE525" s="31">
        <f t="shared" ca="1" si="158"/>
        <v>17</v>
      </c>
      <c r="AF525" s="31">
        <f t="shared" ca="1" si="159"/>
        <v>6</v>
      </c>
      <c r="AG525" s="31">
        <f t="shared" ca="1" si="160"/>
        <v>102</v>
      </c>
      <c r="AH525" s="31">
        <f t="shared" ca="1" si="161"/>
        <v>50</v>
      </c>
      <c r="AI525" s="31">
        <f t="shared" ca="1" si="162"/>
        <v>11</v>
      </c>
      <c r="AJ525" s="31">
        <f t="shared" ca="1" si="163"/>
        <v>47</v>
      </c>
      <c r="AK525" s="31">
        <f t="shared" ca="1" si="164"/>
        <v>43</v>
      </c>
      <c r="AL525" s="31">
        <f t="shared" ca="1" si="165"/>
        <v>53</v>
      </c>
      <c r="AM525" s="31">
        <f t="shared" ca="1" si="166"/>
        <v>14</v>
      </c>
    </row>
    <row r="526" spans="14:39">
      <c r="N526" s="26">
        <v>518</v>
      </c>
      <c r="O526" s="30">
        <f t="shared" ca="1" si="155"/>
        <v>2.0081887744438696</v>
      </c>
      <c r="P526" s="30">
        <f t="shared" ca="1" si="155"/>
        <v>13.375246459260445</v>
      </c>
      <c r="Q526" s="30">
        <f t="shared" ca="1" si="155"/>
        <v>2.7431746187610901</v>
      </c>
      <c r="R526" s="30">
        <f t="shared" ca="1" si="155"/>
        <v>24.7581014732942</v>
      </c>
      <c r="S526" s="30">
        <f t="shared" ca="1" si="155"/>
        <v>6.0315374419483145</v>
      </c>
      <c r="T526" s="30">
        <f t="shared" ca="1" si="155"/>
        <v>8.7430137446540659</v>
      </c>
      <c r="U526" s="30">
        <f t="shared" ca="1" si="155"/>
        <v>32.516728644736197</v>
      </c>
      <c r="V526" s="30">
        <f t="shared" ca="1" si="155"/>
        <v>1.9380176554245112</v>
      </c>
      <c r="W526" s="30">
        <f t="shared" ca="1" si="155"/>
        <v>30.684179931210927</v>
      </c>
      <c r="X526" s="30">
        <f t="shared" ca="1" si="155"/>
        <v>16.919532939275204</v>
      </c>
      <c r="Y526" s="30">
        <f t="shared" ca="1" si="155"/>
        <v>7.3771064249638592</v>
      </c>
      <c r="Z526" s="30">
        <f t="shared" ca="1" si="155"/>
        <v>8.088105323464756</v>
      </c>
      <c r="AA526" s="26">
        <v>518</v>
      </c>
      <c r="AB526" s="31">
        <f t="shared" ca="1" si="167"/>
        <v>3</v>
      </c>
      <c r="AC526" s="31">
        <f t="shared" ca="1" si="156"/>
        <v>17</v>
      </c>
      <c r="AD526" s="31">
        <f t="shared" ca="1" si="157"/>
        <v>3</v>
      </c>
      <c r="AE526" s="31">
        <f t="shared" ca="1" si="158"/>
        <v>45</v>
      </c>
      <c r="AF526" s="31">
        <f t="shared" ca="1" si="159"/>
        <v>7</v>
      </c>
      <c r="AG526" s="31">
        <f t="shared" ca="1" si="160"/>
        <v>10</v>
      </c>
      <c r="AH526" s="31">
        <f t="shared" ca="1" si="161"/>
        <v>122</v>
      </c>
      <c r="AI526" s="31">
        <f t="shared" ca="1" si="162"/>
        <v>2</v>
      </c>
      <c r="AJ526" s="31">
        <f t="shared" ca="1" si="163"/>
        <v>84</v>
      </c>
      <c r="AK526" s="31">
        <f t="shared" ca="1" si="164"/>
        <v>24</v>
      </c>
      <c r="AL526" s="31">
        <f t="shared" ca="1" si="165"/>
        <v>9</v>
      </c>
      <c r="AM526" s="31">
        <f t="shared" ca="1" si="166"/>
        <v>10</v>
      </c>
    </row>
    <row r="527" spans="14:39">
      <c r="N527" s="26">
        <v>519</v>
      </c>
      <c r="O527" s="30">
        <f t="shared" ca="1" si="155"/>
        <v>18.445506182155235</v>
      </c>
      <c r="P527" s="30">
        <f t="shared" ca="1" si="155"/>
        <v>19.892240125894443</v>
      </c>
      <c r="Q527" s="30">
        <f t="shared" ca="1" si="155"/>
        <v>32.63652395428857</v>
      </c>
      <c r="R527" s="30">
        <f t="shared" ca="1" si="155"/>
        <v>27.497818999774385</v>
      </c>
      <c r="S527" s="30">
        <f t="shared" ca="1" si="155"/>
        <v>14.250371989104872</v>
      </c>
      <c r="T527" s="30">
        <f t="shared" ca="1" si="155"/>
        <v>13.905422377602326</v>
      </c>
      <c r="U527" s="30">
        <f t="shared" ca="1" si="155"/>
        <v>32.551516882576443</v>
      </c>
      <c r="V527" s="30">
        <f t="shared" ca="1" si="155"/>
        <v>12.779655294858246</v>
      </c>
      <c r="W527" s="30">
        <f t="shared" ca="1" si="155"/>
        <v>24.223995337502675</v>
      </c>
      <c r="X527" s="30">
        <f t="shared" ca="1" si="155"/>
        <v>32.322386483648678</v>
      </c>
      <c r="Y527" s="30">
        <f t="shared" ca="1" si="155"/>
        <v>2.0038982212465557</v>
      </c>
      <c r="Z527" s="30">
        <f t="shared" ca="1" si="155"/>
        <v>19.870469030578587</v>
      </c>
      <c r="AA527" s="26">
        <v>519</v>
      </c>
      <c r="AB527" s="31">
        <f t="shared" ca="1" si="167"/>
        <v>27</v>
      </c>
      <c r="AC527" s="31">
        <f t="shared" ca="1" si="156"/>
        <v>30</v>
      </c>
      <c r="AD527" s="31">
        <f t="shared" ca="1" si="157"/>
        <v>127</v>
      </c>
      <c r="AE527" s="31">
        <f t="shared" ca="1" si="158"/>
        <v>58</v>
      </c>
      <c r="AF527" s="31">
        <f t="shared" ca="1" si="159"/>
        <v>19</v>
      </c>
      <c r="AG527" s="31">
        <f t="shared" ca="1" si="160"/>
        <v>18</v>
      </c>
      <c r="AH527" s="31">
        <f t="shared" ca="1" si="161"/>
        <v>124</v>
      </c>
      <c r="AI527" s="31">
        <f t="shared" ca="1" si="162"/>
        <v>16</v>
      </c>
      <c r="AJ527" s="31">
        <f t="shared" ca="1" si="163"/>
        <v>43</v>
      </c>
      <c r="AK527" s="31">
        <f t="shared" ca="1" si="164"/>
        <v>115</v>
      </c>
      <c r="AL527" s="31">
        <f t="shared" ca="1" si="165"/>
        <v>3</v>
      </c>
      <c r="AM527" s="31">
        <f t="shared" ca="1" si="166"/>
        <v>30</v>
      </c>
    </row>
    <row r="528" spans="14:39">
      <c r="N528" s="26">
        <v>520</v>
      </c>
      <c r="O528" s="30">
        <f t="shared" ca="1" si="155"/>
        <v>29.233252087578599</v>
      </c>
      <c r="P528" s="30">
        <f t="shared" ca="1" si="155"/>
        <v>24.866731306062956</v>
      </c>
      <c r="Q528" s="30">
        <f t="shared" ca="1" si="155"/>
        <v>5.1163881677854253</v>
      </c>
      <c r="R528" s="30">
        <f t="shared" ca="1" si="155"/>
        <v>32.663541197709769</v>
      </c>
      <c r="S528" s="30">
        <f t="shared" ca="1" si="155"/>
        <v>3.9775855945980663</v>
      </c>
      <c r="T528" s="30">
        <f t="shared" ca="1" si="155"/>
        <v>18.998320741119549</v>
      </c>
      <c r="U528" s="30">
        <f t="shared" ca="1" si="155"/>
        <v>20.366557871309148</v>
      </c>
      <c r="V528" s="30">
        <f t="shared" ca="1" si="155"/>
        <v>17.182501504695985</v>
      </c>
      <c r="W528" s="30">
        <f t="shared" ca="1" si="155"/>
        <v>5.0090135044006301</v>
      </c>
      <c r="X528" s="30">
        <f t="shared" ca="1" si="155"/>
        <v>31.736374683882623</v>
      </c>
      <c r="Y528" s="30">
        <f t="shared" ca="1" si="155"/>
        <v>3.4246325612302955</v>
      </c>
      <c r="Z528" s="30">
        <f t="shared" ca="1" si="155"/>
        <v>30.973920863615749</v>
      </c>
      <c r="AA528" s="26">
        <v>520</v>
      </c>
      <c r="AB528" s="31">
        <f t="shared" ca="1" si="167"/>
        <v>69</v>
      </c>
      <c r="AC528" s="31">
        <f t="shared" ca="1" si="156"/>
        <v>45</v>
      </c>
      <c r="AD528" s="31">
        <f t="shared" ca="1" si="157"/>
        <v>6</v>
      </c>
      <c r="AE528" s="31">
        <f t="shared" ca="1" si="158"/>
        <v>129</v>
      </c>
      <c r="AF528" s="31">
        <f t="shared" ca="1" si="159"/>
        <v>5</v>
      </c>
      <c r="AG528" s="31">
        <f t="shared" ca="1" si="160"/>
        <v>28</v>
      </c>
      <c r="AH528" s="31">
        <f t="shared" ca="1" si="161"/>
        <v>31</v>
      </c>
      <c r="AI528" s="31">
        <f t="shared" ca="1" si="162"/>
        <v>24</v>
      </c>
      <c r="AJ528" s="31">
        <f t="shared" ca="1" si="163"/>
        <v>6</v>
      </c>
      <c r="AK528" s="31">
        <f t="shared" ca="1" si="164"/>
        <v>100</v>
      </c>
      <c r="AL528" s="31">
        <f t="shared" ca="1" si="165"/>
        <v>4</v>
      </c>
      <c r="AM528" s="31">
        <f t="shared" ca="1" si="166"/>
        <v>87</v>
      </c>
    </row>
    <row r="529" spans="14:39">
      <c r="N529" s="26">
        <v>521</v>
      </c>
      <c r="O529" s="30">
        <f t="shared" ref="O529:Z538" ca="1" si="168">RAND()*sumweights</f>
        <v>32.07202314623931</v>
      </c>
      <c r="P529" s="30">
        <f t="shared" ca="1" si="168"/>
        <v>29.327547900634361</v>
      </c>
      <c r="Q529" s="30">
        <f t="shared" ca="1" si="168"/>
        <v>8.0846196576466625</v>
      </c>
      <c r="R529" s="30">
        <f t="shared" ca="1" si="168"/>
        <v>10.646275198091542</v>
      </c>
      <c r="S529" s="30">
        <f t="shared" ca="1" si="168"/>
        <v>26.747724019538961</v>
      </c>
      <c r="T529" s="30">
        <f t="shared" ca="1" si="168"/>
        <v>14.30626886433612</v>
      </c>
      <c r="U529" s="30">
        <f t="shared" ca="1" si="168"/>
        <v>12.941294302479402</v>
      </c>
      <c r="V529" s="30">
        <f t="shared" ca="1" si="168"/>
        <v>6.3079454266254444</v>
      </c>
      <c r="W529" s="30">
        <f t="shared" ca="1" si="168"/>
        <v>7.2522378103535212</v>
      </c>
      <c r="X529" s="30">
        <f t="shared" ca="1" si="168"/>
        <v>20.148671973349408</v>
      </c>
      <c r="Y529" s="30">
        <f t="shared" ca="1" si="168"/>
        <v>3.7252956162239785</v>
      </c>
      <c r="Z529" s="30">
        <f t="shared" ca="1" si="168"/>
        <v>3.3350114992463493</v>
      </c>
      <c r="AA529" s="26">
        <v>521</v>
      </c>
      <c r="AB529" s="31">
        <f t="shared" ca="1" si="167"/>
        <v>108</v>
      </c>
      <c r="AC529" s="31">
        <f t="shared" ca="1" si="156"/>
        <v>70</v>
      </c>
      <c r="AD529" s="31">
        <f t="shared" ca="1" si="157"/>
        <v>10</v>
      </c>
      <c r="AE529" s="31">
        <f t="shared" ca="1" si="158"/>
        <v>13</v>
      </c>
      <c r="AF529" s="31">
        <f t="shared" ca="1" si="159"/>
        <v>54</v>
      </c>
      <c r="AG529" s="31">
        <f t="shared" ca="1" si="160"/>
        <v>19</v>
      </c>
      <c r="AH529" s="31">
        <f t="shared" ca="1" si="161"/>
        <v>17</v>
      </c>
      <c r="AI529" s="31">
        <f t="shared" ca="1" si="162"/>
        <v>7</v>
      </c>
      <c r="AJ529" s="31">
        <f t="shared" ca="1" si="163"/>
        <v>9</v>
      </c>
      <c r="AK529" s="31">
        <f t="shared" ca="1" si="164"/>
        <v>31</v>
      </c>
      <c r="AL529" s="31">
        <f t="shared" ca="1" si="165"/>
        <v>4</v>
      </c>
      <c r="AM529" s="31">
        <f t="shared" ca="1" si="166"/>
        <v>4</v>
      </c>
    </row>
    <row r="530" spans="14:39">
      <c r="N530" s="26">
        <v>522</v>
      </c>
      <c r="O530" s="30">
        <f t="shared" ca="1" si="168"/>
        <v>13.09830853911909</v>
      </c>
      <c r="P530" s="30">
        <f t="shared" ca="1" si="168"/>
        <v>2.4695801401425359</v>
      </c>
      <c r="Q530" s="30">
        <f t="shared" ca="1" si="168"/>
        <v>12.394115037341999</v>
      </c>
      <c r="R530" s="30">
        <f t="shared" ca="1" si="168"/>
        <v>10.284598361796226</v>
      </c>
      <c r="S530" s="30">
        <f t="shared" ca="1" si="168"/>
        <v>25.297213702840573</v>
      </c>
      <c r="T530" s="30">
        <f t="shared" ca="1" si="168"/>
        <v>7.9228721045317752</v>
      </c>
      <c r="U530" s="30">
        <f t="shared" ca="1" si="168"/>
        <v>12.053959358884548</v>
      </c>
      <c r="V530" s="30">
        <f t="shared" ca="1" si="168"/>
        <v>12.940356471692366</v>
      </c>
      <c r="W530" s="30">
        <f t="shared" ca="1" si="168"/>
        <v>27.49886417597774</v>
      </c>
      <c r="X530" s="30">
        <f t="shared" ca="1" si="168"/>
        <v>7.1915619081209696</v>
      </c>
      <c r="Y530" s="30">
        <f t="shared" ca="1" si="168"/>
        <v>18.293415074003665</v>
      </c>
      <c r="Z530" s="30">
        <f t="shared" ca="1" si="168"/>
        <v>16.138845021521782</v>
      </c>
      <c r="AA530" s="26">
        <v>522</v>
      </c>
      <c r="AB530" s="31">
        <f t="shared" ca="1" si="167"/>
        <v>17</v>
      </c>
      <c r="AC530" s="31">
        <f t="shared" ca="1" si="156"/>
        <v>3</v>
      </c>
      <c r="AD530" s="31">
        <f t="shared" ca="1" si="157"/>
        <v>16</v>
      </c>
      <c r="AE530" s="31">
        <f t="shared" ca="1" si="158"/>
        <v>13</v>
      </c>
      <c r="AF530" s="31">
        <f t="shared" ca="1" si="159"/>
        <v>47</v>
      </c>
      <c r="AG530" s="31">
        <f t="shared" ca="1" si="160"/>
        <v>9</v>
      </c>
      <c r="AH530" s="31">
        <f t="shared" ca="1" si="161"/>
        <v>15</v>
      </c>
      <c r="AI530" s="31">
        <f t="shared" ca="1" si="162"/>
        <v>17</v>
      </c>
      <c r="AJ530" s="31">
        <f t="shared" ca="1" si="163"/>
        <v>58</v>
      </c>
      <c r="AK530" s="31">
        <f t="shared" ca="1" si="164"/>
        <v>8</v>
      </c>
      <c r="AL530" s="31">
        <f t="shared" ca="1" si="165"/>
        <v>27</v>
      </c>
      <c r="AM530" s="31">
        <f t="shared" ca="1" si="166"/>
        <v>22</v>
      </c>
    </row>
    <row r="531" spans="14:39">
      <c r="N531" s="26">
        <v>523</v>
      </c>
      <c r="O531" s="30">
        <f t="shared" ca="1" si="168"/>
        <v>29.954012203664714</v>
      </c>
      <c r="P531" s="30">
        <f t="shared" ca="1" si="168"/>
        <v>10.039114772179914</v>
      </c>
      <c r="Q531" s="30">
        <f t="shared" ca="1" si="168"/>
        <v>24.49170286780663</v>
      </c>
      <c r="R531" s="30">
        <f t="shared" ca="1" si="168"/>
        <v>30.929091939120937</v>
      </c>
      <c r="S531" s="30">
        <f t="shared" ca="1" si="168"/>
        <v>10.578036413686043</v>
      </c>
      <c r="T531" s="30">
        <f t="shared" ca="1" si="168"/>
        <v>17.089722587846286</v>
      </c>
      <c r="U531" s="30">
        <f t="shared" ca="1" si="168"/>
        <v>18.508066560911562</v>
      </c>
      <c r="V531" s="30">
        <f t="shared" ca="1" si="168"/>
        <v>13.480462456781019</v>
      </c>
      <c r="W531" s="30">
        <f t="shared" ca="1" si="168"/>
        <v>1.0843925627381878</v>
      </c>
      <c r="X531" s="30">
        <f t="shared" ca="1" si="168"/>
        <v>4.3743124342753763</v>
      </c>
      <c r="Y531" s="30">
        <f t="shared" ca="1" si="168"/>
        <v>2.1381522857085007</v>
      </c>
      <c r="Z531" s="30">
        <f t="shared" ca="1" si="168"/>
        <v>0.29511043117916763</v>
      </c>
      <c r="AA531" s="26">
        <v>523</v>
      </c>
      <c r="AB531" s="31">
        <f t="shared" ca="1" si="167"/>
        <v>76</v>
      </c>
      <c r="AC531" s="31">
        <f t="shared" ca="1" si="156"/>
        <v>12</v>
      </c>
      <c r="AD531" s="31">
        <f t="shared" ca="1" si="157"/>
        <v>44</v>
      </c>
      <c r="AE531" s="31">
        <f t="shared" ca="1" si="158"/>
        <v>87</v>
      </c>
      <c r="AF531" s="31">
        <f t="shared" ca="1" si="159"/>
        <v>13</v>
      </c>
      <c r="AG531" s="31">
        <f t="shared" ca="1" si="160"/>
        <v>24</v>
      </c>
      <c r="AH531" s="31">
        <f t="shared" ca="1" si="161"/>
        <v>27</v>
      </c>
      <c r="AI531" s="31">
        <f t="shared" ca="1" si="162"/>
        <v>18</v>
      </c>
      <c r="AJ531" s="31">
        <f t="shared" ca="1" si="163"/>
        <v>2</v>
      </c>
      <c r="AK531" s="31">
        <f t="shared" ca="1" si="164"/>
        <v>5</v>
      </c>
      <c r="AL531" s="31">
        <f t="shared" ca="1" si="165"/>
        <v>3</v>
      </c>
      <c r="AM531" s="31">
        <f t="shared" ca="1" si="166"/>
        <v>1</v>
      </c>
    </row>
    <row r="532" spans="14:39">
      <c r="N532" s="26">
        <v>524</v>
      </c>
      <c r="O532" s="30">
        <f t="shared" ca="1" si="168"/>
        <v>13.975926101785035</v>
      </c>
      <c r="P532" s="30">
        <f t="shared" ca="1" si="168"/>
        <v>29.809877619068043</v>
      </c>
      <c r="Q532" s="30">
        <f t="shared" ca="1" si="168"/>
        <v>31.460427883593564</v>
      </c>
      <c r="R532" s="30">
        <f t="shared" ca="1" si="168"/>
        <v>22.578412470807251</v>
      </c>
      <c r="S532" s="30">
        <f t="shared" ca="1" si="168"/>
        <v>17.985806476070255</v>
      </c>
      <c r="T532" s="30">
        <f t="shared" ca="1" si="168"/>
        <v>1.7992448748329271</v>
      </c>
      <c r="U532" s="30">
        <f t="shared" ca="1" si="168"/>
        <v>0.74146927205022506</v>
      </c>
      <c r="V532" s="30">
        <f t="shared" ca="1" si="168"/>
        <v>4.9960430085280434</v>
      </c>
      <c r="W532" s="30">
        <f t="shared" ca="1" si="168"/>
        <v>8.110648151498161</v>
      </c>
      <c r="X532" s="30">
        <f t="shared" ca="1" si="168"/>
        <v>3.4841263418420425</v>
      </c>
      <c r="Y532" s="30">
        <f t="shared" ca="1" si="168"/>
        <v>10.015782600498294</v>
      </c>
      <c r="Z532" s="30">
        <f t="shared" ca="1" si="168"/>
        <v>24.487949349036018</v>
      </c>
      <c r="AA532" s="26">
        <v>524</v>
      </c>
      <c r="AB532" s="31">
        <f t="shared" ca="1" si="167"/>
        <v>18</v>
      </c>
      <c r="AC532" s="31">
        <f t="shared" ca="1" si="156"/>
        <v>74</v>
      </c>
      <c r="AD532" s="31">
        <f t="shared" ca="1" si="157"/>
        <v>95</v>
      </c>
      <c r="AE532" s="31">
        <f t="shared" ca="1" si="158"/>
        <v>38</v>
      </c>
      <c r="AF532" s="31">
        <f t="shared" ca="1" si="159"/>
        <v>26</v>
      </c>
      <c r="AG532" s="31">
        <f t="shared" ca="1" si="160"/>
        <v>2</v>
      </c>
      <c r="AH532" s="31">
        <f t="shared" ca="1" si="161"/>
        <v>1</v>
      </c>
      <c r="AI532" s="31">
        <f t="shared" ca="1" si="162"/>
        <v>6</v>
      </c>
      <c r="AJ532" s="31">
        <f t="shared" ca="1" si="163"/>
        <v>10</v>
      </c>
      <c r="AK532" s="31">
        <f t="shared" ca="1" si="164"/>
        <v>4</v>
      </c>
      <c r="AL532" s="31">
        <f t="shared" ca="1" si="165"/>
        <v>12</v>
      </c>
      <c r="AM532" s="31">
        <f t="shared" ca="1" si="166"/>
        <v>44</v>
      </c>
    </row>
    <row r="533" spans="14:39">
      <c r="N533" s="26">
        <v>525</v>
      </c>
      <c r="O533" s="30">
        <f t="shared" ca="1" si="168"/>
        <v>7.373044508408884</v>
      </c>
      <c r="P533" s="30">
        <f t="shared" ca="1" si="168"/>
        <v>29.745314301150305</v>
      </c>
      <c r="Q533" s="30">
        <f t="shared" ca="1" si="168"/>
        <v>16.249576438609296</v>
      </c>
      <c r="R533" s="30">
        <f t="shared" ca="1" si="168"/>
        <v>25.747226193098783</v>
      </c>
      <c r="S533" s="30">
        <f t="shared" ca="1" si="168"/>
        <v>17.268483371938615</v>
      </c>
      <c r="T533" s="30">
        <f t="shared" ca="1" si="168"/>
        <v>12.984815243376291</v>
      </c>
      <c r="U533" s="30">
        <f t="shared" ca="1" si="168"/>
        <v>5.3056307409003747</v>
      </c>
      <c r="V533" s="30">
        <f t="shared" ca="1" si="168"/>
        <v>5.6634209468015779</v>
      </c>
      <c r="W533" s="30">
        <f t="shared" ca="1" si="168"/>
        <v>14.597586200637334</v>
      </c>
      <c r="X533" s="30">
        <f t="shared" ca="1" si="168"/>
        <v>9.8883860631310405</v>
      </c>
      <c r="Y533" s="30">
        <f t="shared" ca="1" si="168"/>
        <v>4.089614339383572</v>
      </c>
      <c r="Z533" s="30">
        <f t="shared" ca="1" si="168"/>
        <v>26.303799306866658</v>
      </c>
      <c r="AA533" s="26">
        <v>525</v>
      </c>
      <c r="AB533" s="31">
        <f t="shared" ca="1" si="167"/>
        <v>9</v>
      </c>
      <c r="AC533" s="31">
        <f t="shared" ca="1" si="156"/>
        <v>74</v>
      </c>
      <c r="AD533" s="31">
        <f t="shared" ca="1" si="157"/>
        <v>22</v>
      </c>
      <c r="AE533" s="31">
        <f t="shared" ca="1" si="158"/>
        <v>49</v>
      </c>
      <c r="AF533" s="31">
        <f t="shared" ca="1" si="159"/>
        <v>24</v>
      </c>
      <c r="AG533" s="31">
        <f t="shared" ca="1" si="160"/>
        <v>17</v>
      </c>
      <c r="AH533" s="31">
        <f t="shared" ca="1" si="161"/>
        <v>6</v>
      </c>
      <c r="AI533" s="31">
        <f t="shared" ca="1" si="162"/>
        <v>7</v>
      </c>
      <c r="AJ533" s="31">
        <f t="shared" ca="1" si="163"/>
        <v>19</v>
      </c>
      <c r="AK533" s="31">
        <f t="shared" ca="1" si="164"/>
        <v>12</v>
      </c>
      <c r="AL533" s="31">
        <f t="shared" ca="1" si="165"/>
        <v>5</v>
      </c>
      <c r="AM533" s="31">
        <f t="shared" ca="1" si="166"/>
        <v>52</v>
      </c>
    </row>
    <row r="534" spans="14:39">
      <c r="N534" s="26">
        <v>526</v>
      </c>
      <c r="O534" s="30">
        <f t="shared" ca="1" si="168"/>
        <v>11.142128355914465</v>
      </c>
      <c r="P534" s="30">
        <f t="shared" ca="1" si="168"/>
        <v>5.1504473912595037</v>
      </c>
      <c r="Q534" s="30">
        <f t="shared" ca="1" si="168"/>
        <v>6.3868308207720617</v>
      </c>
      <c r="R534" s="30">
        <f t="shared" ca="1" si="168"/>
        <v>12.318064462128609</v>
      </c>
      <c r="S534" s="30">
        <f t="shared" ca="1" si="168"/>
        <v>30.216064021748199</v>
      </c>
      <c r="T534" s="30">
        <f t="shared" ca="1" si="168"/>
        <v>25.297166456814892</v>
      </c>
      <c r="U534" s="30">
        <f t="shared" ca="1" si="168"/>
        <v>6.0329481113396266</v>
      </c>
      <c r="V534" s="30">
        <f t="shared" ca="1" si="168"/>
        <v>4.7558802585592126</v>
      </c>
      <c r="W534" s="30">
        <f t="shared" ca="1" si="168"/>
        <v>27.942408642398235</v>
      </c>
      <c r="X534" s="30">
        <f t="shared" ca="1" si="168"/>
        <v>14.33475154289377</v>
      </c>
      <c r="Y534" s="30">
        <f t="shared" ca="1" si="168"/>
        <v>4.5758591840940017</v>
      </c>
      <c r="Z534" s="30">
        <f t="shared" ca="1" si="168"/>
        <v>15.078344103410824</v>
      </c>
      <c r="AA534" s="26">
        <v>526</v>
      </c>
      <c r="AB534" s="31">
        <f t="shared" ca="1" si="167"/>
        <v>14</v>
      </c>
      <c r="AC534" s="31">
        <f t="shared" ca="1" si="156"/>
        <v>6</v>
      </c>
      <c r="AD534" s="31">
        <f t="shared" ca="1" si="157"/>
        <v>7</v>
      </c>
      <c r="AE534" s="31">
        <f t="shared" ca="1" si="158"/>
        <v>16</v>
      </c>
      <c r="AF534" s="31">
        <f t="shared" ca="1" si="159"/>
        <v>78</v>
      </c>
      <c r="AG534" s="31">
        <f t="shared" ca="1" si="160"/>
        <v>47</v>
      </c>
      <c r="AH534" s="31">
        <f t="shared" ca="1" si="161"/>
        <v>7</v>
      </c>
      <c r="AI534" s="31">
        <f t="shared" ca="1" si="162"/>
        <v>6</v>
      </c>
      <c r="AJ534" s="31">
        <f t="shared" ca="1" si="163"/>
        <v>60</v>
      </c>
      <c r="AK534" s="31">
        <f t="shared" ca="1" si="164"/>
        <v>19</v>
      </c>
      <c r="AL534" s="31">
        <f t="shared" ca="1" si="165"/>
        <v>5</v>
      </c>
      <c r="AM534" s="31">
        <f t="shared" ca="1" si="166"/>
        <v>20</v>
      </c>
    </row>
    <row r="535" spans="14:39">
      <c r="N535" s="26">
        <v>527</v>
      </c>
      <c r="O535" s="30">
        <f t="shared" ca="1" si="168"/>
        <v>20.134065779561361</v>
      </c>
      <c r="P535" s="30">
        <f t="shared" ca="1" si="168"/>
        <v>12.556070021801824</v>
      </c>
      <c r="Q535" s="30">
        <f t="shared" ca="1" si="168"/>
        <v>15.16887244702999</v>
      </c>
      <c r="R535" s="30">
        <f t="shared" ca="1" si="168"/>
        <v>26.909994365245336</v>
      </c>
      <c r="S535" s="30">
        <f t="shared" ca="1" si="168"/>
        <v>31.292516049688906</v>
      </c>
      <c r="T535" s="30">
        <f t="shared" ca="1" si="168"/>
        <v>3.1791952068731515</v>
      </c>
      <c r="U535" s="30">
        <f t="shared" ca="1" si="168"/>
        <v>24.887006358417267</v>
      </c>
      <c r="V535" s="30">
        <f t="shared" ca="1" si="168"/>
        <v>32.531524738037007</v>
      </c>
      <c r="W535" s="30">
        <f t="shared" ca="1" si="168"/>
        <v>23.862559850163031</v>
      </c>
      <c r="X535" s="30">
        <f t="shared" ca="1" si="168"/>
        <v>18.763020317260217</v>
      </c>
      <c r="Y535" s="30">
        <f t="shared" ca="1" si="168"/>
        <v>30.382219324083358</v>
      </c>
      <c r="Z535" s="30">
        <f t="shared" ca="1" si="168"/>
        <v>15.839950322523711</v>
      </c>
      <c r="AA535" s="26">
        <v>527</v>
      </c>
      <c r="AB535" s="31">
        <f t="shared" ca="1" si="167"/>
        <v>31</v>
      </c>
      <c r="AC535" s="31">
        <f t="shared" ca="1" si="156"/>
        <v>16</v>
      </c>
      <c r="AD535" s="31">
        <f t="shared" ca="1" si="157"/>
        <v>20</v>
      </c>
      <c r="AE535" s="31">
        <f t="shared" ca="1" si="158"/>
        <v>55</v>
      </c>
      <c r="AF535" s="31">
        <f t="shared" ca="1" si="159"/>
        <v>92</v>
      </c>
      <c r="AG535" s="31">
        <f t="shared" ca="1" si="160"/>
        <v>4</v>
      </c>
      <c r="AH535" s="31">
        <f t="shared" ca="1" si="161"/>
        <v>46</v>
      </c>
      <c r="AI535" s="31">
        <f t="shared" ca="1" si="162"/>
        <v>123</v>
      </c>
      <c r="AJ535" s="31">
        <f t="shared" ca="1" si="163"/>
        <v>42</v>
      </c>
      <c r="AK535" s="31">
        <f t="shared" ca="1" si="164"/>
        <v>28</v>
      </c>
      <c r="AL535" s="31">
        <f t="shared" ca="1" si="165"/>
        <v>80</v>
      </c>
      <c r="AM535" s="31">
        <f t="shared" ca="1" si="166"/>
        <v>22</v>
      </c>
    </row>
    <row r="536" spans="14:39">
      <c r="N536" s="26">
        <v>528</v>
      </c>
      <c r="O536" s="30">
        <f t="shared" ca="1" si="168"/>
        <v>4.2646252709165973</v>
      </c>
      <c r="P536" s="30">
        <f t="shared" ca="1" si="168"/>
        <v>1.5175499596921018</v>
      </c>
      <c r="Q536" s="30">
        <f t="shared" ca="1" si="168"/>
        <v>24.565229772470971</v>
      </c>
      <c r="R536" s="30">
        <f t="shared" ca="1" si="168"/>
        <v>20.120020029811354</v>
      </c>
      <c r="S536" s="30">
        <f t="shared" ca="1" si="168"/>
        <v>29.108992947237102</v>
      </c>
      <c r="T536" s="30">
        <f t="shared" ca="1" si="168"/>
        <v>23.345696636475662</v>
      </c>
      <c r="U536" s="30">
        <f t="shared" ca="1" si="168"/>
        <v>8.0286232233391157</v>
      </c>
      <c r="V536" s="30">
        <f t="shared" ca="1" si="168"/>
        <v>5.5101637126902725</v>
      </c>
      <c r="W536" s="30">
        <f t="shared" ca="1" si="168"/>
        <v>21.433925395739678</v>
      </c>
      <c r="X536" s="30">
        <f t="shared" ca="1" si="168"/>
        <v>29.462630331619785</v>
      </c>
      <c r="Y536" s="30">
        <f t="shared" ca="1" si="168"/>
        <v>15.892996063614596</v>
      </c>
      <c r="Z536" s="30">
        <f t="shared" ca="1" si="168"/>
        <v>12.79327871289756</v>
      </c>
      <c r="AA536" s="26">
        <v>528</v>
      </c>
      <c r="AB536" s="31">
        <f t="shared" ca="1" si="167"/>
        <v>5</v>
      </c>
      <c r="AC536" s="31">
        <f t="shared" ca="1" si="156"/>
        <v>2</v>
      </c>
      <c r="AD536" s="31">
        <f t="shared" ca="1" si="157"/>
        <v>44</v>
      </c>
      <c r="AE536" s="31">
        <f t="shared" ca="1" si="158"/>
        <v>31</v>
      </c>
      <c r="AF536" s="31">
        <f t="shared" ca="1" si="159"/>
        <v>68</v>
      </c>
      <c r="AG536" s="31">
        <f t="shared" ca="1" si="160"/>
        <v>40</v>
      </c>
      <c r="AH536" s="31">
        <f t="shared" ca="1" si="161"/>
        <v>10</v>
      </c>
      <c r="AI536" s="31">
        <f t="shared" ca="1" si="162"/>
        <v>6</v>
      </c>
      <c r="AJ536" s="31">
        <f t="shared" ca="1" si="163"/>
        <v>34</v>
      </c>
      <c r="AK536" s="31">
        <f t="shared" ca="1" si="164"/>
        <v>71</v>
      </c>
      <c r="AL536" s="31">
        <f t="shared" ca="1" si="165"/>
        <v>22</v>
      </c>
      <c r="AM536" s="31">
        <f t="shared" ca="1" si="166"/>
        <v>16</v>
      </c>
    </row>
    <row r="537" spans="14:39">
      <c r="N537" s="26">
        <v>529</v>
      </c>
      <c r="O537" s="30">
        <f t="shared" ca="1" si="168"/>
        <v>33.061241699712951</v>
      </c>
      <c r="P537" s="30">
        <f t="shared" ca="1" si="168"/>
        <v>7.5027020594021767</v>
      </c>
      <c r="Q537" s="30">
        <f t="shared" ca="1" si="168"/>
        <v>20.071594917947536</v>
      </c>
      <c r="R537" s="30">
        <f t="shared" ca="1" si="168"/>
        <v>20.645217102568651</v>
      </c>
      <c r="S537" s="30">
        <f t="shared" ca="1" si="168"/>
        <v>7.1206832194519132</v>
      </c>
      <c r="T537" s="30">
        <f t="shared" ca="1" si="168"/>
        <v>30.142358462410119</v>
      </c>
      <c r="U537" s="30">
        <f t="shared" ca="1" si="168"/>
        <v>28.768148214416389</v>
      </c>
      <c r="V537" s="30">
        <f t="shared" ca="1" si="168"/>
        <v>27.119999398978578</v>
      </c>
      <c r="W537" s="30">
        <f t="shared" ca="1" si="168"/>
        <v>24.275715793129766</v>
      </c>
      <c r="X537" s="30">
        <f t="shared" ca="1" si="168"/>
        <v>12.71380853210138</v>
      </c>
      <c r="Y537" s="30">
        <f t="shared" ca="1" si="168"/>
        <v>23.056950515416087</v>
      </c>
      <c r="Z537" s="30">
        <f t="shared" ca="1" si="168"/>
        <v>17.627768939093656</v>
      </c>
      <c r="AA537" s="26">
        <v>529</v>
      </c>
      <c r="AB537" s="31">
        <f t="shared" ca="1" si="167"/>
        <v>158</v>
      </c>
      <c r="AC537" s="31">
        <f t="shared" ca="1" si="156"/>
        <v>9</v>
      </c>
      <c r="AD537" s="31">
        <f t="shared" ca="1" si="157"/>
        <v>31</v>
      </c>
      <c r="AE537" s="31">
        <f t="shared" ca="1" si="158"/>
        <v>32</v>
      </c>
      <c r="AF537" s="31">
        <f t="shared" ca="1" si="159"/>
        <v>8</v>
      </c>
      <c r="AG537" s="31">
        <f t="shared" ca="1" si="160"/>
        <v>78</v>
      </c>
      <c r="AH537" s="31">
        <f t="shared" ca="1" si="161"/>
        <v>66</v>
      </c>
      <c r="AI537" s="31">
        <f t="shared" ca="1" si="162"/>
        <v>56</v>
      </c>
      <c r="AJ537" s="31">
        <f t="shared" ca="1" si="163"/>
        <v>43</v>
      </c>
      <c r="AK537" s="31">
        <f t="shared" ca="1" si="164"/>
        <v>16</v>
      </c>
      <c r="AL537" s="31">
        <f t="shared" ca="1" si="165"/>
        <v>39</v>
      </c>
      <c r="AM537" s="31">
        <f t="shared" ca="1" si="166"/>
        <v>25</v>
      </c>
    </row>
    <row r="538" spans="14:39">
      <c r="N538" s="26">
        <v>530</v>
      </c>
      <c r="O538" s="30">
        <f t="shared" ca="1" si="168"/>
        <v>19.598015954421996</v>
      </c>
      <c r="P538" s="30">
        <f t="shared" ca="1" si="168"/>
        <v>25.536984048796185</v>
      </c>
      <c r="Q538" s="30">
        <f t="shared" ca="1" si="168"/>
        <v>17.155862760435909</v>
      </c>
      <c r="R538" s="30">
        <f t="shared" ca="1" si="168"/>
        <v>4.5873756671988755</v>
      </c>
      <c r="S538" s="30">
        <f t="shared" ca="1" si="168"/>
        <v>6.3261087880746176</v>
      </c>
      <c r="T538" s="30">
        <f t="shared" ca="1" si="168"/>
        <v>14.31628006860767</v>
      </c>
      <c r="U538" s="30">
        <f t="shared" ca="1" si="168"/>
        <v>27.597478507857115</v>
      </c>
      <c r="V538" s="30">
        <f t="shared" ca="1" si="168"/>
        <v>28.791939855003577</v>
      </c>
      <c r="W538" s="30">
        <f t="shared" ca="1" si="168"/>
        <v>4.3559167647686721</v>
      </c>
      <c r="X538" s="30">
        <f t="shared" ca="1" si="168"/>
        <v>30.031886041189843</v>
      </c>
      <c r="Y538" s="30">
        <f t="shared" ca="1" si="168"/>
        <v>24.706435112549418</v>
      </c>
      <c r="Z538" s="30">
        <f t="shared" ca="1" si="168"/>
        <v>4.7454742244526873</v>
      </c>
      <c r="AA538" s="26">
        <v>530</v>
      </c>
      <c r="AB538" s="31">
        <f t="shared" ca="1" si="167"/>
        <v>30</v>
      </c>
      <c r="AC538" s="31">
        <f t="shared" ca="1" si="156"/>
        <v>48</v>
      </c>
      <c r="AD538" s="31">
        <f t="shared" ca="1" si="157"/>
        <v>24</v>
      </c>
      <c r="AE538" s="31">
        <f t="shared" ca="1" si="158"/>
        <v>5</v>
      </c>
      <c r="AF538" s="31">
        <f t="shared" ca="1" si="159"/>
        <v>7</v>
      </c>
      <c r="AG538" s="31">
        <f t="shared" ca="1" si="160"/>
        <v>19</v>
      </c>
      <c r="AH538" s="31">
        <f t="shared" ca="1" si="161"/>
        <v>58</v>
      </c>
      <c r="AI538" s="31">
        <f t="shared" ca="1" si="162"/>
        <v>66</v>
      </c>
      <c r="AJ538" s="31">
        <f t="shared" ca="1" si="163"/>
        <v>5</v>
      </c>
      <c r="AK538" s="31">
        <f t="shared" ca="1" si="164"/>
        <v>76</v>
      </c>
      <c r="AL538" s="31">
        <f t="shared" ca="1" si="165"/>
        <v>45</v>
      </c>
      <c r="AM538" s="31">
        <f t="shared" ca="1" si="166"/>
        <v>6</v>
      </c>
    </row>
    <row r="539" spans="14:39">
      <c r="N539" s="26">
        <v>531</v>
      </c>
      <c r="O539" s="30">
        <f t="shared" ref="O539:Z548" ca="1" si="169">RAND()*sumweights</f>
        <v>22.442568247090868</v>
      </c>
      <c r="P539" s="30">
        <f t="shared" ca="1" si="169"/>
        <v>33.149469818891049</v>
      </c>
      <c r="Q539" s="30">
        <f t="shared" ca="1" si="169"/>
        <v>9.1187605096472737</v>
      </c>
      <c r="R539" s="30">
        <f t="shared" ca="1" si="169"/>
        <v>14.443749783517841</v>
      </c>
      <c r="S539" s="30">
        <f t="shared" ca="1" si="169"/>
        <v>1.2465496880590583</v>
      </c>
      <c r="T539" s="30">
        <f t="shared" ca="1" si="169"/>
        <v>7.2464684831320731</v>
      </c>
      <c r="U539" s="30">
        <f t="shared" ca="1" si="169"/>
        <v>9.7972371222901504</v>
      </c>
      <c r="V539" s="30">
        <f t="shared" ca="1" si="169"/>
        <v>17.018024837676624</v>
      </c>
      <c r="W539" s="30">
        <f t="shared" ca="1" si="169"/>
        <v>19.57323803405129</v>
      </c>
      <c r="X539" s="30">
        <f t="shared" ca="1" si="169"/>
        <v>11.892767767658457</v>
      </c>
      <c r="Y539" s="30">
        <f t="shared" ca="1" si="169"/>
        <v>11.056142152241966</v>
      </c>
      <c r="Z539" s="30">
        <f t="shared" ca="1" si="169"/>
        <v>7.0751549677606249</v>
      </c>
      <c r="AA539" s="26">
        <v>531</v>
      </c>
      <c r="AB539" s="31">
        <f t="shared" ca="1" si="167"/>
        <v>37</v>
      </c>
      <c r="AC539" s="31">
        <f t="shared" ca="1" si="156"/>
        <v>171</v>
      </c>
      <c r="AD539" s="31">
        <f t="shared" ca="1" si="157"/>
        <v>11</v>
      </c>
      <c r="AE539" s="31">
        <f t="shared" ca="1" si="158"/>
        <v>19</v>
      </c>
      <c r="AF539" s="31">
        <f t="shared" ca="1" si="159"/>
        <v>2</v>
      </c>
      <c r="AG539" s="31">
        <f t="shared" ca="1" si="160"/>
        <v>9</v>
      </c>
      <c r="AH539" s="31">
        <f t="shared" ca="1" si="161"/>
        <v>12</v>
      </c>
      <c r="AI539" s="31">
        <f t="shared" ca="1" si="162"/>
        <v>24</v>
      </c>
      <c r="AJ539" s="31">
        <f t="shared" ca="1" si="163"/>
        <v>30</v>
      </c>
      <c r="AK539" s="31">
        <f t="shared" ca="1" si="164"/>
        <v>15</v>
      </c>
      <c r="AL539" s="31">
        <f t="shared" ca="1" si="165"/>
        <v>14</v>
      </c>
      <c r="AM539" s="31">
        <f t="shared" ca="1" si="166"/>
        <v>8</v>
      </c>
    </row>
    <row r="540" spans="14:39">
      <c r="N540" s="26">
        <v>532</v>
      </c>
      <c r="O540" s="30">
        <f t="shared" ca="1" si="169"/>
        <v>7.535640608148074</v>
      </c>
      <c r="P540" s="30">
        <f t="shared" ca="1" si="169"/>
        <v>10.143703909546009</v>
      </c>
      <c r="Q540" s="30">
        <f t="shared" ca="1" si="169"/>
        <v>6.5589110306879278E-2</v>
      </c>
      <c r="R540" s="30">
        <f t="shared" ca="1" si="169"/>
        <v>5.2465731106201821</v>
      </c>
      <c r="S540" s="30">
        <f t="shared" ca="1" si="169"/>
        <v>32.61612656381967</v>
      </c>
      <c r="T540" s="30">
        <f t="shared" ca="1" si="169"/>
        <v>7.9954841189384753</v>
      </c>
      <c r="U540" s="30">
        <f t="shared" ca="1" si="169"/>
        <v>23.355565497248605</v>
      </c>
      <c r="V540" s="30">
        <f t="shared" ca="1" si="169"/>
        <v>25.134037438622862</v>
      </c>
      <c r="W540" s="30">
        <f t="shared" ca="1" si="169"/>
        <v>27.144316896544968</v>
      </c>
      <c r="X540" s="30">
        <f t="shared" ca="1" si="169"/>
        <v>17.415303972241873</v>
      </c>
      <c r="Y540" s="30">
        <f t="shared" ca="1" si="169"/>
        <v>28.745361230006505</v>
      </c>
      <c r="Z540" s="30">
        <f t="shared" ca="1" si="169"/>
        <v>1.7252438742301242</v>
      </c>
      <c r="AA540" s="26">
        <v>532</v>
      </c>
      <c r="AB540" s="31">
        <f t="shared" ca="1" si="167"/>
        <v>9</v>
      </c>
      <c r="AC540" s="31">
        <f t="shared" ca="1" si="156"/>
        <v>12</v>
      </c>
      <c r="AD540" s="31">
        <f t="shared" ca="1" si="157"/>
        <v>1</v>
      </c>
      <c r="AE540" s="31">
        <f t="shared" ca="1" si="158"/>
        <v>6</v>
      </c>
      <c r="AF540" s="31">
        <f t="shared" ca="1" si="159"/>
        <v>127</v>
      </c>
      <c r="AG540" s="31">
        <f t="shared" ca="1" si="160"/>
        <v>10</v>
      </c>
      <c r="AH540" s="31">
        <f t="shared" ca="1" si="161"/>
        <v>40</v>
      </c>
      <c r="AI540" s="31">
        <f t="shared" ca="1" si="162"/>
        <v>47</v>
      </c>
      <c r="AJ540" s="31">
        <f t="shared" ca="1" si="163"/>
        <v>56</v>
      </c>
      <c r="AK540" s="31">
        <f t="shared" ca="1" si="164"/>
        <v>25</v>
      </c>
      <c r="AL540" s="31">
        <f t="shared" ca="1" si="165"/>
        <v>66</v>
      </c>
      <c r="AM540" s="31">
        <f t="shared" ca="1" si="166"/>
        <v>2</v>
      </c>
    </row>
    <row r="541" spans="14:39">
      <c r="N541" s="26">
        <v>533</v>
      </c>
      <c r="O541" s="30">
        <f t="shared" ca="1" si="169"/>
        <v>6.7808776394805115</v>
      </c>
      <c r="P541" s="30">
        <f t="shared" ca="1" si="169"/>
        <v>11.053994000354121</v>
      </c>
      <c r="Q541" s="30">
        <f t="shared" ca="1" si="169"/>
        <v>14.813642391636371</v>
      </c>
      <c r="R541" s="30">
        <f t="shared" ca="1" si="169"/>
        <v>14.454161760299353</v>
      </c>
      <c r="S541" s="30">
        <f t="shared" ca="1" si="169"/>
        <v>30.779531838670298</v>
      </c>
      <c r="T541" s="30">
        <f t="shared" ca="1" si="169"/>
        <v>23.609679159707241</v>
      </c>
      <c r="U541" s="30">
        <f t="shared" ca="1" si="169"/>
        <v>10.295939016109465</v>
      </c>
      <c r="V541" s="30">
        <f t="shared" ca="1" si="169"/>
        <v>14.036831374465347</v>
      </c>
      <c r="W541" s="30">
        <f t="shared" ca="1" si="169"/>
        <v>8.7035545473179088</v>
      </c>
      <c r="X541" s="30">
        <f t="shared" ca="1" si="169"/>
        <v>26.620474350256632</v>
      </c>
      <c r="Y541" s="30">
        <f t="shared" ca="1" si="169"/>
        <v>32.446628229108541</v>
      </c>
      <c r="Z541" s="30">
        <f t="shared" ca="1" si="169"/>
        <v>9.848071783334186</v>
      </c>
      <c r="AA541" s="26">
        <v>533</v>
      </c>
      <c r="AB541" s="31">
        <f t="shared" ca="1" si="167"/>
        <v>8</v>
      </c>
      <c r="AC541" s="31">
        <f t="shared" ca="1" si="156"/>
        <v>14</v>
      </c>
      <c r="AD541" s="31">
        <f t="shared" ca="1" si="157"/>
        <v>20</v>
      </c>
      <c r="AE541" s="31">
        <f t="shared" ca="1" si="158"/>
        <v>19</v>
      </c>
      <c r="AF541" s="31">
        <f t="shared" ca="1" si="159"/>
        <v>85</v>
      </c>
      <c r="AG541" s="31">
        <f t="shared" ca="1" si="160"/>
        <v>41</v>
      </c>
      <c r="AH541" s="31">
        <f t="shared" ca="1" si="161"/>
        <v>13</v>
      </c>
      <c r="AI541" s="31">
        <f t="shared" ca="1" si="162"/>
        <v>18</v>
      </c>
      <c r="AJ541" s="31">
        <f t="shared" ca="1" si="163"/>
        <v>10</v>
      </c>
      <c r="AK541" s="31">
        <f t="shared" ca="1" si="164"/>
        <v>53</v>
      </c>
      <c r="AL541" s="31">
        <f t="shared" ca="1" si="165"/>
        <v>120</v>
      </c>
      <c r="AM541" s="31">
        <f t="shared" ca="1" si="166"/>
        <v>12</v>
      </c>
    </row>
    <row r="542" spans="14:39">
      <c r="N542" s="26">
        <v>534</v>
      </c>
      <c r="O542" s="30">
        <f t="shared" ca="1" si="169"/>
        <v>10.971029522125944</v>
      </c>
      <c r="P542" s="30">
        <f t="shared" ca="1" si="169"/>
        <v>3.938710967178479</v>
      </c>
      <c r="Q542" s="30">
        <f t="shared" ca="1" si="169"/>
        <v>10.008225219439383</v>
      </c>
      <c r="R542" s="30">
        <f t="shared" ca="1" si="169"/>
        <v>8.0526789577696789</v>
      </c>
      <c r="S542" s="30">
        <f t="shared" ca="1" si="169"/>
        <v>15.267046976341589</v>
      </c>
      <c r="T542" s="30">
        <f t="shared" ca="1" si="169"/>
        <v>8.3331648702430225</v>
      </c>
      <c r="U542" s="30">
        <f t="shared" ca="1" si="169"/>
        <v>17.874120216520737</v>
      </c>
      <c r="V542" s="30">
        <f t="shared" ca="1" si="169"/>
        <v>15.770790700825984</v>
      </c>
      <c r="W542" s="30">
        <f t="shared" ca="1" si="169"/>
        <v>29.686213133120951</v>
      </c>
      <c r="X542" s="30">
        <f t="shared" ca="1" si="169"/>
        <v>16.687654945678588</v>
      </c>
      <c r="Y542" s="30">
        <f t="shared" ca="1" si="169"/>
        <v>22.032528042764021</v>
      </c>
      <c r="Z542" s="30">
        <f t="shared" ca="1" si="169"/>
        <v>9.7054734411778618</v>
      </c>
      <c r="AA542" s="26">
        <v>534</v>
      </c>
      <c r="AB542" s="31">
        <f t="shared" ca="1" si="167"/>
        <v>14</v>
      </c>
      <c r="AC542" s="31">
        <f t="shared" ca="1" si="156"/>
        <v>5</v>
      </c>
      <c r="AD542" s="31">
        <f t="shared" ca="1" si="157"/>
        <v>12</v>
      </c>
      <c r="AE542" s="31">
        <f t="shared" ca="1" si="158"/>
        <v>10</v>
      </c>
      <c r="AF542" s="31">
        <f t="shared" ca="1" si="159"/>
        <v>21</v>
      </c>
      <c r="AG542" s="31">
        <f t="shared" ca="1" si="160"/>
        <v>10</v>
      </c>
      <c r="AH542" s="31">
        <f t="shared" ca="1" si="161"/>
        <v>26</v>
      </c>
      <c r="AI542" s="31">
        <f t="shared" ca="1" si="162"/>
        <v>22</v>
      </c>
      <c r="AJ542" s="31">
        <f t="shared" ca="1" si="163"/>
        <v>73</v>
      </c>
      <c r="AK542" s="31">
        <f t="shared" ca="1" si="164"/>
        <v>23</v>
      </c>
      <c r="AL542" s="31">
        <f t="shared" ca="1" si="165"/>
        <v>36</v>
      </c>
      <c r="AM542" s="31">
        <f t="shared" ca="1" si="166"/>
        <v>12</v>
      </c>
    </row>
    <row r="543" spans="14:39">
      <c r="N543" s="26">
        <v>535</v>
      </c>
      <c r="O543" s="30">
        <f t="shared" ca="1" si="169"/>
        <v>20.880126785178813</v>
      </c>
      <c r="P543" s="30">
        <f t="shared" ca="1" si="169"/>
        <v>5.5590084591523841</v>
      </c>
      <c r="Q543" s="30">
        <f t="shared" ca="1" si="169"/>
        <v>12.971168366542445</v>
      </c>
      <c r="R543" s="30">
        <f t="shared" ca="1" si="169"/>
        <v>18.958054024409897</v>
      </c>
      <c r="S543" s="30">
        <f t="shared" ca="1" si="169"/>
        <v>26.092172093660523</v>
      </c>
      <c r="T543" s="30">
        <f t="shared" ca="1" si="169"/>
        <v>18.797712322294302</v>
      </c>
      <c r="U543" s="30">
        <f t="shared" ca="1" si="169"/>
        <v>30.459250949039593</v>
      </c>
      <c r="V543" s="30">
        <f t="shared" ca="1" si="169"/>
        <v>9.2252361161266361</v>
      </c>
      <c r="W543" s="30">
        <f t="shared" ca="1" si="169"/>
        <v>11.202289691010593</v>
      </c>
      <c r="X543" s="30">
        <f t="shared" ca="1" si="169"/>
        <v>2.5952406451260241</v>
      </c>
      <c r="Y543" s="30">
        <f t="shared" ca="1" si="169"/>
        <v>11.13803616159354</v>
      </c>
      <c r="Z543" s="30">
        <f t="shared" ca="1" si="169"/>
        <v>18.748463897732563</v>
      </c>
      <c r="AA543" s="26">
        <v>535</v>
      </c>
      <c r="AB543" s="31">
        <f t="shared" ca="1" si="167"/>
        <v>33</v>
      </c>
      <c r="AC543" s="31">
        <f t="shared" ca="1" si="156"/>
        <v>6</v>
      </c>
      <c r="AD543" s="31">
        <f t="shared" ca="1" si="157"/>
        <v>17</v>
      </c>
      <c r="AE543" s="31">
        <f t="shared" ca="1" si="158"/>
        <v>28</v>
      </c>
      <c r="AF543" s="31">
        <f t="shared" ca="1" si="159"/>
        <v>51</v>
      </c>
      <c r="AG543" s="31">
        <f t="shared" ca="1" si="160"/>
        <v>28</v>
      </c>
      <c r="AH543" s="31">
        <f t="shared" ca="1" si="161"/>
        <v>81</v>
      </c>
      <c r="AI543" s="31">
        <f t="shared" ca="1" si="162"/>
        <v>11</v>
      </c>
      <c r="AJ543" s="31">
        <f t="shared" ca="1" si="163"/>
        <v>14</v>
      </c>
      <c r="AK543" s="31">
        <f t="shared" ca="1" si="164"/>
        <v>3</v>
      </c>
      <c r="AL543" s="31">
        <f t="shared" ca="1" si="165"/>
        <v>14</v>
      </c>
      <c r="AM543" s="31">
        <f t="shared" ca="1" si="166"/>
        <v>28</v>
      </c>
    </row>
    <row r="544" spans="14:39">
      <c r="N544" s="26">
        <v>536</v>
      </c>
      <c r="O544" s="30">
        <f t="shared" ca="1" si="169"/>
        <v>32.911720921888339</v>
      </c>
      <c r="P544" s="30">
        <f t="shared" ca="1" si="169"/>
        <v>12.400932729469462</v>
      </c>
      <c r="Q544" s="30">
        <f t="shared" ca="1" si="169"/>
        <v>29.748844252543293</v>
      </c>
      <c r="R544" s="30">
        <f t="shared" ca="1" si="169"/>
        <v>31.594584707961086</v>
      </c>
      <c r="S544" s="30">
        <f t="shared" ca="1" si="169"/>
        <v>1.6175267709779948</v>
      </c>
      <c r="T544" s="30">
        <f t="shared" ca="1" si="169"/>
        <v>5.5512632962048487</v>
      </c>
      <c r="U544" s="30">
        <f t="shared" ca="1" si="169"/>
        <v>32.392541604006148</v>
      </c>
      <c r="V544" s="30">
        <f t="shared" ca="1" si="169"/>
        <v>9.6958019690427388</v>
      </c>
      <c r="W544" s="30">
        <f t="shared" ca="1" si="169"/>
        <v>8.8277093792619397</v>
      </c>
      <c r="X544" s="30">
        <f t="shared" ca="1" si="169"/>
        <v>14.876983079102388</v>
      </c>
      <c r="Y544" s="30">
        <f t="shared" ca="1" si="169"/>
        <v>18.588471873346382</v>
      </c>
      <c r="Z544" s="30">
        <f t="shared" ca="1" si="169"/>
        <v>27.916779960905</v>
      </c>
      <c r="AA544" s="26">
        <v>536</v>
      </c>
      <c r="AB544" s="31">
        <f t="shared" ca="1" si="167"/>
        <v>144</v>
      </c>
      <c r="AC544" s="31">
        <f t="shared" ca="1" si="156"/>
        <v>16</v>
      </c>
      <c r="AD544" s="31">
        <f t="shared" ca="1" si="157"/>
        <v>74</v>
      </c>
      <c r="AE544" s="31">
        <f t="shared" ca="1" si="158"/>
        <v>97</v>
      </c>
      <c r="AF544" s="31">
        <f t="shared" ca="1" si="159"/>
        <v>2</v>
      </c>
      <c r="AG544" s="31">
        <f t="shared" ca="1" si="160"/>
        <v>6</v>
      </c>
      <c r="AH544" s="31">
        <f t="shared" ca="1" si="161"/>
        <v>118</v>
      </c>
      <c r="AI544" s="31">
        <f t="shared" ca="1" si="162"/>
        <v>12</v>
      </c>
      <c r="AJ544" s="31">
        <f t="shared" ca="1" si="163"/>
        <v>11</v>
      </c>
      <c r="AK544" s="31">
        <f t="shared" ca="1" si="164"/>
        <v>20</v>
      </c>
      <c r="AL544" s="31">
        <f t="shared" ca="1" si="165"/>
        <v>27</v>
      </c>
      <c r="AM544" s="31">
        <f t="shared" ca="1" si="166"/>
        <v>60</v>
      </c>
    </row>
    <row r="545" spans="14:39">
      <c r="N545" s="26">
        <v>537</v>
      </c>
      <c r="O545" s="30">
        <f t="shared" ca="1" si="169"/>
        <v>14.777076613939055</v>
      </c>
      <c r="P545" s="30">
        <f t="shared" ca="1" si="169"/>
        <v>28.884775073615295</v>
      </c>
      <c r="Q545" s="30">
        <f t="shared" ca="1" si="169"/>
        <v>6.5843214555946394</v>
      </c>
      <c r="R545" s="30">
        <f t="shared" ca="1" si="169"/>
        <v>27.963735369463802</v>
      </c>
      <c r="S545" s="30">
        <f t="shared" ca="1" si="169"/>
        <v>13.437752024863199</v>
      </c>
      <c r="T545" s="30">
        <f t="shared" ca="1" si="169"/>
        <v>2.2927569667959564</v>
      </c>
      <c r="U545" s="30">
        <f t="shared" ca="1" si="169"/>
        <v>4.7037155361159924</v>
      </c>
      <c r="V545" s="30">
        <f t="shared" ca="1" si="169"/>
        <v>5.7940143506189274</v>
      </c>
      <c r="W545" s="30">
        <f t="shared" ca="1" si="169"/>
        <v>12.841053870734038</v>
      </c>
      <c r="X545" s="30">
        <f t="shared" ca="1" si="169"/>
        <v>26.107015367830975</v>
      </c>
      <c r="Y545" s="30">
        <f t="shared" ca="1" si="169"/>
        <v>30.990090454443052</v>
      </c>
      <c r="Z545" s="30">
        <f t="shared" ca="1" si="169"/>
        <v>3.4884157748006142</v>
      </c>
      <c r="AA545" s="26">
        <v>537</v>
      </c>
      <c r="AB545" s="31">
        <f t="shared" ca="1" si="167"/>
        <v>20</v>
      </c>
      <c r="AC545" s="31">
        <f t="shared" ca="1" si="156"/>
        <v>67</v>
      </c>
      <c r="AD545" s="31">
        <f t="shared" ca="1" si="157"/>
        <v>8</v>
      </c>
      <c r="AE545" s="31">
        <f t="shared" ca="1" si="158"/>
        <v>60</v>
      </c>
      <c r="AF545" s="31">
        <f t="shared" ca="1" si="159"/>
        <v>17</v>
      </c>
      <c r="AG545" s="31">
        <f t="shared" ca="1" si="160"/>
        <v>3</v>
      </c>
      <c r="AH545" s="31">
        <f t="shared" ca="1" si="161"/>
        <v>5</v>
      </c>
      <c r="AI545" s="31">
        <f t="shared" ca="1" si="162"/>
        <v>7</v>
      </c>
      <c r="AJ545" s="31">
        <f t="shared" ca="1" si="163"/>
        <v>16</v>
      </c>
      <c r="AK545" s="31">
        <f t="shared" ca="1" si="164"/>
        <v>51</v>
      </c>
      <c r="AL545" s="31">
        <f t="shared" ca="1" si="165"/>
        <v>88</v>
      </c>
      <c r="AM545" s="31">
        <f t="shared" ca="1" si="166"/>
        <v>4</v>
      </c>
    </row>
    <row r="546" spans="14:39">
      <c r="N546" s="26">
        <v>538</v>
      </c>
      <c r="O546" s="30">
        <f t="shared" ca="1" si="169"/>
        <v>19.987714433774244</v>
      </c>
      <c r="P546" s="30">
        <f t="shared" ca="1" si="169"/>
        <v>1.5888398094547851</v>
      </c>
      <c r="Q546" s="30">
        <f t="shared" ca="1" si="169"/>
        <v>10.25616046229527</v>
      </c>
      <c r="R546" s="30">
        <f t="shared" ca="1" si="169"/>
        <v>5.6777657404024398</v>
      </c>
      <c r="S546" s="30">
        <f t="shared" ca="1" si="169"/>
        <v>18.346909984605809</v>
      </c>
      <c r="T546" s="30">
        <f t="shared" ca="1" si="169"/>
        <v>0.32591251043699326</v>
      </c>
      <c r="U546" s="30">
        <f t="shared" ca="1" si="169"/>
        <v>29.70056112019153</v>
      </c>
      <c r="V546" s="30">
        <f t="shared" ca="1" si="169"/>
        <v>26.290107588486176</v>
      </c>
      <c r="W546" s="30">
        <f t="shared" ca="1" si="169"/>
        <v>11.566093046763692</v>
      </c>
      <c r="X546" s="30">
        <f t="shared" ca="1" si="169"/>
        <v>25.55318757059921</v>
      </c>
      <c r="Y546" s="30">
        <f t="shared" ca="1" si="169"/>
        <v>16.753895485853789</v>
      </c>
      <c r="Z546" s="30">
        <f t="shared" ca="1" si="169"/>
        <v>17.549148646152716</v>
      </c>
      <c r="AA546" s="26">
        <v>538</v>
      </c>
      <c r="AB546" s="31">
        <f t="shared" ca="1" si="167"/>
        <v>31</v>
      </c>
      <c r="AC546" s="31">
        <f t="shared" ca="1" si="156"/>
        <v>2</v>
      </c>
      <c r="AD546" s="31">
        <f t="shared" ca="1" si="157"/>
        <v>13</v>
      </c>
      <c r="AE546" s="31">
        <f t="shared" ca="1" si="158"/>
        <v>7</v>
      </c>
      <c r="AF546" s="31">
        <f t="shared" ca="1" si="159"/>
        <v>27</v>
      </c>
      <c r="AG546" s="31">
        <f t="shared" ca="1" si="160"/>
        <v>1</v>
      </c>
      <c r="AH546" s="31">
        <f t="shared" ca="1" si="161"/>
        <v>73</v>
      </c>
      <c r="AI546" s="31">
        <f t="shared" ca="1" si="162"/>
        <v>52</v>
      </c>
      <c r="AJ546" s="31">
        <f t="shared" ca="1" si="163"/>
        <v>14</v>
      </c>
      <c r="AK546" s="31">
        <f t="shared" ca="1" si="164"/>
        <v>48</v>
      </c>
      <c r="AL546" s="31">
        <f t="shared" ca="1" si="165"/>
        <v>23</v>
      </c>
      <c r="AM546" s="31">
        <f t="shared" ca="1" si="166"/>
        <v>25</v>
      </c>
    </row>
    <row r="547" spans="14:39">
      <c r="N547" s="26">
        <v>539</v>
      </c>
      <c r="O547" s="30">
        <f t="shared" ca="1" si="169"/>
        <v>8.146970834263028</v>
      </c>
      <c r="P547" s="30">
        <f t="shared" ca="1" si="169"/>
        <v>21.616603926021988</v>
      </c>
      <c r="Q547" s="30">
        <f t="shared" ca="1" si="169"/>
        <v>4.5142901500772297</v>
      </c>
      <c r="R547" s="30">
        <f t="shared" ca="1" si="169"/>
        <v>19.694267234678986</v>
      </c>
      <c r="S547" s="30">
        <f t="shared" ca="1" si="169"/>
        <v>5.1469782316904382</v>
      </c>
      <c r="T547" s="30">
        <f t="shared" ca="1" si="169"/>
        <v>14.80012258307938</v>
      </c>
      <c r="U547" s="30">
        <f t="shared" ca="1" si="169"/>
        <v>26.88952749476147</v>
      </c>
      <c r="V547" s="30">
        <f t="shared" ca="1" si="169"/>
        <v>33.059689376318701</v>
      </c>
      <c r="W547" s="30">
        <f t="shared" ca="1" si="169"/>
        <v>1.5795743301114333</v>
      </c>
      <c r="X547" s="30">
        <f t="shared" ca="1" si="169"/>
        <v>22.327461067641739</v>
      </c>
      <c r="Y547" s="30">
        <f t="shared" ca="1" si="169"/>
        <v>11.300791643152499</v>
      </c>
      <c r="Z547" s="30">
        <f t="shared" ca="1" si="169"/>
        <v>2.7505999245705648</v>
      </c>
      <c r="AA547" s="26">
        <v>539</v>
      </c>
      <c r="AB547" s="31">
        <f t="shared" ca="1" si="167"/>
        <v>10</v>
      </c>
      <c r="AC547" s="31">
        <f t="shared" ca="1" si="156"/>
        <v>35</v>
      </c>
      <c r="AD547" s="31">
        <f t="shared" ca="1" si="157"/>
        <v>5</v>
      </c>
      <c r="AE547" s="31">
        <f t="shared" ca="1" si="158"/>
        <v>30</v>
      </c>
      <c r="AF547" s="31">
        <f t="shared" ca="1" si="159"/>
        <v>6</v>
      </c>
      <c r="AG547" s="31">
        <f t="shared" ca="1" si="160"/>
        <v>20</v>
      </c>
      <c r="AH547" s="31">
        <f t="shared" ca="1" si="161"/>
        <v>54</v>
      </c>
      <c r="AI547" s="31">
        <f t="shared" ca="1" si="162"/>
        <v>158</v>
      </c>
      <c r="AJ547" s="31">
        <f t="shared" ca="1" si="163"/>
        <v>2</v>
      </c>
      <c r="AK547" s="31">
        <f t="shared" ca="1" si="164"/>
        <v>37</v>
      </c>
      <c r="AL547" s="31">
        <f t="shared" ca="1" si="165"/>
        <v>14</v>
      </c>
      <c r="AM547" s="31">
        <f t="shared" ca="1" si="166"/>
        <v>3</v>
      </c>
    </row>
    <row r="548" spans="14:39">
      <c r="N548" s="26">
        <v>540</v>
      </c>
      <c r="O548" s="30">
        <f t="shared" ca="1" si="169"/>
        <v>24.562084436087844</v>
      </c>
      <c r="P548" s="30">
        <f t="shared" ca="1" si="169"/>
        <v>13.565065056438662</v>
      </c>
      <c r="Q548" s="30">
        <f t="shared" ca="1" si="169"/>
        <v>20.348627828531125</v>
      </c>
      <c r="R548" s="30">
        <f t="shared" ca="1" si="169"/>
        <v>30.301942328018995</v>
      </c>
      <c r="S548" s="30">
        <f t="shared" ca="1" si="169"/>
        <v>1.5189163492824203</v>
      </c>
      <c r="T548" s="30">
        <f t="shared" ca="1" si="169"/>
        <v>11.990166951855048</v>
      </c>
      <c r="U548" s="30">
        <f t="shared" ca="1" si="169"/>
        <v>7.4548247923078144</v>
      </c>
      <c r="V548" s="30">
        <f t="shared" ca="1" si="169"/>
        <v>24.745422049204013</v>
      </c>
      <c r="W548" s="30">
        <f t="shared" ca="1" si="169"/>
        <v>24.131033208725103</v>
      </c>
      <c r="X548" s="30">
        <f t="shared" ca="1" si="169"/>
        <v>14.149172762568604</v>
      </c>
      <c r="Y548" s="30">
        <f t="shared" ca="1" si="169"/>
        <v>19.237194575338439</v>
      </c>
      <c r="Z548" s="30">
        <f t="shared" ca="1" si="169"/>
        <v>21.36975453294464</v>
      </c>
      <c r="AA548" s="26">
        <v>540</v>
      </c>
      <c r="AB548" s="31">
        <f t="shared" ca="1" si="167"/>
        <v>44</v>
      </c>
      <c r="AC548" s="31">
        <f t="shared" ca="1" si="156"/>
        <v>18</v>
      </c>
      <c r="AD548" s="31">
        <f t="shared" ca="1" si="157"/>
        <v>31</v>
      </c>
      <c r="AE548" s="31">
        <f t="shared" ca="1" si="158"/>
        <v>79</v>
      </c>
      <c r="AF548" s="31">
        <f t="shared" ca="1" si="159"/>
        <v>2</v>
      </c>
      <c r="AG548" s="31">
        <f t="shared" ca="1" si="160"/>
        <v>15</v>
      </c>
      <c r="AH548" s="31">
        <f t="shared" ca="1" si="161"/>
        <v>9</v>
      </c>
      <c r="AI548" s="31">
        <f t="shared" ca="1" si="162"/>
        <v>45</v>
      </c>
      <c r="AJ548" s="31">
        <f t="shared" ca="1" si="163"/>
        <v>43</v>
      </c>
      <c r="AK548" s="31">
        <f t="shared" ca="1" si="164"/>
        <v>19</v>
      </c>
      <c r="AL548" s="31">
        <f t="shared" ca="1" si="165"/>
        <v>29</v>
      </c>
      <c r="AM548" s="31">
        <f t="shared" ca="1" si="166"/>
        <v>34</v>
      </c>
    </row>
    <row r="549" spans="14:39">
      <c r="N549" s="26">
        <v>541</v>
      </c>
      <c r="O549" s="30">
        <f t="shared" ref="O549:Z558" ca="1" si="170">RAND()*sumweights</f>
        <v>5.4811421267324576</v>
      </c>
      <c r="P549" s="30">
        <f t="shared" ca="1" si="170"/>
        <v>12.681206518456463</v>
      </c>
      <c r="Q549" s="30">
        <f t="shared" ca="1" si="170"/>
        <v>30.318772696800565</v>
      </c>
      <c r="R549" s="30">
        <f t="shared" ca="1" si="170"/>
        <v>19.584160133254024</v>
      </c>
      <c r="S549" s="30">
        <f t="shared" ca="1" si="170"/>
        <v>8.7688062739656925</v>
      </c>
      <c r="T549" s="30">
        <f t="shared" ca="1" si="170"/>
        <v>27.269840572775514</v>
      </c>
      <c r="U549" s="30">
        <f t="shared" ca="1" si="170"/>
        <v>8.9947555116425235</v>
      </c>
      <c r="V549" s="30">
        <f t="shared" ca="1" si="170"/>
        <v>19.829435886100818</v>
      </c>
      <c r="W549" s="30">
        <f t="shared" ca="1" si="170"/>
        <v>25.904174100283697</v>
      </c>
      <c r="X549" s="30">
        <f t="shared" ca="1" si="170"/>
        <v>16.862635684888591</v>
      </c>
      <c r="Y549" s="30">
        <f t="shared" ca="1" si="170"/>
        <v>8.9184000662387408</v>
      </c>
      <c r="Z549" s="30">
        <f t="shared" ca="1" si="170"/>
        <v>11.16285351887468</v>
      </c>
      <c r="AA549" s="26">
        <v>541</v>
      </c>
      <c r="AB549" s="31">
        <f t="shared" ca="1" si="167"/>
        <v>6</v>
      </c>
      <c r="AC549" s="31">
        <f t="shared" ca="1" si="156"/>
        <v>16</v>
      </c>
      <c r="AD549" s="31">
        <f t="shared" ca="1" si="157"/>
        <v>79</v>
      </c>
      <c r="AE549" s="31">
        <f t="shared" ca="1" si="158"/>
        <v>30</v>
      </c>
      <c r="AF549" s="31">
        <f t="shared" ca="1" si="159"/>
        <v>11</v>
      </c>
      <c r="AG549" s="31">
        <f t="shared" ca="1" si="160"/>
        <v>56</v>
      </c>
      <c r="AH549" s="31">
        <f t="shared" ca="1" si="161"/>
        <v>11</v>
      </c>
      <c r="AI549" s="31">
        <f t="shared" ca="1" si="162"/>
        <v>30</v>
      </c>
      <c r="AJ549" s="31">
        <f t="shared" ca="1" si="163"/>
        <v>50</v>
      </c>
      <c r="AK549" s="31">
        <f t="shared" ca="1" si="164"/>
        <v>24</v>
      </c>
      <c r="AL549" s="31">
        <f t="shared" ca="1" si="165"/>
        <v>11</v>
      </c>
      <c r="AM549" s="31">
        <f t="shared" ca="1" si="166"/>
        <v>14</v>
      </c>
    </row>
    <row r="550" spans="14:39">
      <c r="N550" s="26">
        <v>542</v>
      </c>
      <c r="O550" s="30">
        <f t="shared" ca="1" si="170"/>
        <v>0.16983265407572098</v>
      </c>
      <c r="P550" s="30">
        <f t="shared" ca="1" si="170"/>
        <v>26.805294937292704</v>
      </c>
      <c r="Q550" s="30">
        <f t="shared" ca="1" si="170"/>
        <v>9.0485774433519612</v>
      </c>
      <c r="R550" s="30">
        <f t="shared" ca="1" si="170"/>
        <v>8.422937654040167</v>
      </c>
      <c r="S550" s="30">
        <f t="shared" ca="1" si="170"/>
        <v>29.966214748758389</v>
      </c>
      <c r="T550" s="30">
        <f t="shared" ca="1" si="170"/>
        <v>28.751017535075373</v>
      </c>
      <c r="U550" s="30">
        <f t="shared" ca="1" si="170"/>
        <v>24.046123197824222</v>
      </c>
      <c r="V550" s="30">
        <f t="shared" ca="1" si="170"/>
        <v>4.7083156574424088</v>
      </c>
      <c r="W550" s="30">
        <f t="shared" ca="1" si="170"/>
        <v>17.367526644455602</v>
      </c>
      <c r="X550" s="30">
        <f t="shared" ca="1" si="170"/>
        <v>31.723002122854115</v>
      </c>
      <c r="Y550" s="30">
        <f t="shared" ca="1" si="170"/>
        <v>13.157299332560624</v>
      </c>
      <c r="Z550" s="30">
        <f t="shared" ca="1" si="170"/>
        <v>8.707331174926372</v>
      </c>
      <c r="AA550" s="26">
        <v>542</v>
      </c>
      <c r="AB550" s="31">
        <f t="shared" ca="1" si="167"/>
        <v>1</v>
      </c>
      <c r="AC550" s="31">
        <f t="shared" ca="1" si="156"/>
        <v>54</v>
      </c>
      <c r="AD550" s="31">
        <f t="shared" ca="1" si="157"/>
        <v>11</v>
      </c>
      <c r="AE550" s="31">
        <f t="shared" ca="1" si="158"/>
        <v>10</v>
      </c>
      <c r="AF550" s="31">
        <f t="shared" ca="1" si="159"/>
        <v>76</v>
      </c>
      <c r="AG550" s="31">
        <f t="shared" ca="1" si="160"/>
        <v>66</v>
      </c>
      <c r="AH550" s="31">
        <f t="shared" ca="1" si="161"/>
        <v>42</v>
      </c>
      <c r="AI550" s="31">
        <f t="shared" ca="1" si="162"/>
        <v>5</v>
      </c>
      <c r="AJ550" s="31">
        <f t="shared" ca="1" si="163"/>
        <v>25</v>
      </c>
      <c r="AK550" s="31">
        <f t="shared" ca="1" si="164"/>
        <v>100</v>
      </c>
      <c r="AL550" s="31">
        <f t="shared" ca="1" si="165"/>
        <v>17</v>
      </c>
      <c r="AM550" s="31">
        <f t="shared" ca="1" si="166"/>
        <v>10</v>
      </c>
    </row>
    <row r="551" spans="14:39">
      <c r="N551" s="26">
        <v>543</v>
      </c>
      <c r="O551" s="30">
        <f t="shared" ca="1" si="170"/>
        <v>24.038299850058799</v>
      </c>
      <c r="P551" s="30">
        <f t="shared" ca="1" si="170"/>
        <v>29.834735443761861</v>
      </c>
      <c r="Q551" s="30">
        <f t="shared" ca="1" si="170"/>
        <v>32.356574461158687</v>
      </c>
      <c r="R551" s="30">
        <f t="shared" ca="1" si="170"/>
        <v>21.669292534712202</v>
      </c>
      <c r="S551" s="30">
        <f t="shared" ca="1" si="170"/>
        <v>12.733468991677634</v>
      </c>
      <c r="T551" s="30">
        <f t="shared" ca="1" si="170"/>
        <v>31.534365497557356</v>
      </c>
      <c r="U551" s="30">
        <f t="shared" ca="1" si="170"/>
        <v>13.314267550940402</v>
      </c>
      <c r="V551" s="30">
        <f t="shared" ca="1" si="170"/>
        <v>9.3440983656628251</v>
      </c>
      <c r="W551" s="30">
        <f t="shared" ca="1" si="170"/>
        <v>30.266414149981212</v>
      </c>
      <c r="X551" s="30">
        <f t="shared" ca="1" si="170"/>
        <v>19.683500736757562</v>
      </c>
      <c r="Y551" s="30">
        <f t="shared" ca="1" si="170"/>
        <v>5.8896173369641698</v>
      </c>
      <c r="Z551" s="30">
        <f t="shared" ca="1" si="170"/>
        <v>7.964264708555322</v>
      </c>
      <c r="AA551" s="26">
        <v>543</v>
      </c>
      <c r="AB551" s="31">
        <f t="shared" ca="1" si="167"/>
        <v>42</v>
      </c>
      <c r="AC551" s="31">
        <f t="shared" ca="1" si="156"/>
        <v>75</v>
      </c>
      <c r="AD551" s="31">
        <f t="shared" ca="1" si="157"/>
        <v>116</v>
      </c>
      <c r="AE551" s="31">
        <f t="shared" ca="1" si="158"/>
        <v>35</v>
      </c>
      <c r="AF551" s="31">
        <f t="shared" ca="1" si="159"/>
        <v>16</v>
      </c>
      <c r="AG551" s="31">
        <f t="shared" ca="1" si="160"/>
        <v>96</v>
      </c>
      <c r="AH551" s="31">
        <f t="shared" ca="1" si="161"/>
        <v>17</v>
      </c>
      <c r="AI551" s="31">
        <f t="shared" ca="1" si="162"/>
        <v>11</v>
      </c>
      <c r="AJ551" s="31">
        <f t="shared" ca="1" si="163"/>
        <v>79</v>
      </c>
      <c r="AK551" s="31">
        <f t="shared" ca="1" si="164"/>
        <v>30</v>
      </c>
      <c r="AL551" s="31">
        <f t="shared" ca="1" si="165"/>
        <v>7</v>
      </c>
      <c r="AM551" s="31">
        <f t="shared" ca="1" si="166"/>
        <v>9</v>
      </c>
    </row>
    <row r="552" spans="14:39">
      <c r="N552" s="26">
        <v>544</v>
      </c>
      <c r="O552" s="30">
        <f t="shared" ca="1" si="170"/>
        <v>13.208953581084788</v>
      </c>
      <c r="P552" s="30">
        <f t="shared" ca="1" si="170"/>
        <v>11.373342828426171</v>
      </c>
      <c r="Q552" s="30">
        <f t="shared" ca="1" si="170"/>
        <v>22.351414605581976</v>
      </c>
      <c r="R552" s="30">
        <f t="shared" ca="1" si="170"/>
        <v>26.859710278909287</v>
      </c>
      <c r="S552" s="30">
        <f t="shared" ca="1" si="170"/>
        <v>23.35963136878274</v>
      </c>
      <c r="T552" s="30">
        <f t="shared" ca="1" si="170"/>
        <v>26.615105063877436</v>
      </c>
      <c r="U552" s="30">
        <f t="shared" ca="1" si="170"/>
        <v>24.683634615174675</v>
      </c>
      <c r="V552" s="30">
        <f t="shared" ca="1" si="170"/>
        <v>31.757898652485011</v>
      </c>
      <c r="W552" s="30">
        <f t="shared" ca="1" si="170"/>
        <v>15.180173821768626</v>
      </c>
      <c r="X552" s="30">
        <f t="shared" ca="1" si="170"/>
        <v>8.9906034357697227</v>
      </c>
      <c r="Y552" s="30">
        <f t="shared" ca="1" si="170"/>
        <v>20.544251313154515</v>
      </c>
      <c r="Z552" s="30">
        <f t="shared" ca="1" si="170"/>
        <v>23.882915202117562</v>
      </c>
      <c r="AA552" s="26">
        <v>544</v>
      </c>
      <c r="AB552" s="31">
        <f t="shared" ca="1" si="167"/>
        <v>17</v>
      </c>
      <c r="AC552" s="31">
        <f t="shared" ca="1" si="156"/>
        <v>14</v>
      </c>
      <c r="AD552" s="31">
        <f t="shared" ca="1" si="157"/>
        <v>37</v>
      </c>
      <c r="AE552" s="31">
        <f t="shared" ca="1" si="158"/>
        <v>54</v>
      </c>
      <c r="AF552" s="31">
        <f t="shared" ca="1" si="159"/>
        <v>40</v>
      </c>
      <c r="AG552" s="31">
        <f t="shared" ca="1" si="160"/>
        <v>53</v>
      </c>
      <c r="AH552" s="31">
        <f t="shared" ca="1" si="161"/>
        <v>45</v>
      </c>
      <c r="AI552" s="31">
        <f t="shared" ca="1" si="162"/>
        <v>101</v>
      </c>
      <c r="AJ552" s="31">
        <f t="shared" ca="1" si="163"/>
        <v>20</v>
      </c>
      <c r="AK552" s="31">
        <f t="shared" ca="1" si="164"/>
        <v>11</v>
      </c>
      <c r="AL552" s="31">
        <f t="shared" ca="1" si="165"/>
        <v>32</v>
      </c>
      <c r="AM552" s="31">
        <f t="shared" ca="1" si="166"/>
        <v>42</v>
      </c>
    </row>
    <row r="553" spans="14:39">
      <c r="N553" s="26">
        <v>545</v>
      </c>
      <c r="O553" s="30">
        <f t="shared" ca="1" si="170"/>
        <v>30.166100810475374</v>
      </c>
      <c r="P553" s="30">
        <f t="shared" ca="1" si="170"/>
        <v>31.014772900999013</v>
      </c>
      <c r="Q553" s="30">
        <f t="shared" ca="1" si="170"/>
        <v>13.05846604359262</v>
      </c>
      <c r="R553" s="30">
        <f t="shared" ca="1" si="170"/>
        <v>27.777998644269051</v>
      </c>
      <c r="S553" s="30">
        <f t="shared" ca="1" si="170"/>
        <v>13.209073886419228</v>
      </c>
      <c r="T553" s="30">
        <f t="shared" ca="1" si="170"/>
        <v>8.7838047934285672</v>
      </c>
      <c r="U553" s="30">
        <f t="shared" ca="1" si="170"/>
        <v>3.9833429324902192</v>
      </c>
      <c r="V553" s="30">
        <f t="shared" ca="1" si="170"/>
        <v>10.913151986041761</v>
      </c>
      <c r="W553" s="30">
        <f t="shared" ca="1" si="170"/>
        <v>22.559237019385684</v>
      </c>
      <c r="X553" s="30">
        <f t="shared" ca="1" si="170"/>
        <v>1.8297420567425764</v>
      </c>
      <c r="Y553" s="30">
        <f t="shared" ca="1" si="170"/>
        <v>23.154806325296551</v>
      </c>
      <c r="Z553" s="30">
        <f t="shared" ca="1" si="170"/>
        <v>18.70035096368272</v>
      </c>
      <c r="AA553" s="26">
        <v>545</v>
      </c>
      <c r="AB553" s="31">
        <f t="shared" ca="1" si="167"/>
        <v>78</v>
      </c>
      <c r="AC553" s="31">
        <f t="shared" ca="1" si="156"/>
        <v>88</v>
      </c>
      <c r="AD553" s="31">
        <f t="shared" ca="1" si="157"/>
        <v>17</v>
      </c>
      <c r="AE553" s="31">
        <f t="shared" ca="1" si="158"/>
        <v>59</v>
      </c>
      <c r="AF553" s="31">
        <f t="shared" ca="1" si="159"/>
        <v>17</v>
      </c>
      <c r="AG553" s="31">
        <f t="shared" ca="1" si="160"/>
        <v>11</v>
      </c>
      <c r="AH553" s="31">
        <f t="shared" ca="1" si="161"/>
        <v>5</v>
      </c>
      <c r="AI553" s="31">
        <f t="shared" ca="1" si="162"/>
        <v>14</v>
      </c>
      <c r="AJ553" s="31">
        <f t="shared" ca="1" si="163"/>
        <v>38</v>
      </c>
      <c r="AK553" s="31">
        <f t="shared" ca="1" si="164"/>
        <v>2</v>
      </c>
      <c r="AL553" s="31">
        <f t="shared" ca="1" si="165"/>
        <v>39</v>
      </c>
      <c r="AM553" s="31">
        <f t="shared" ca="1" si="166"/>
        <v>28</v>
      </c>
    </row>
    <row r="554" spans="14:39">
      <c r="N554" s="26">
        <v>546</v>
      </c>
      <c r="O554" s="30">
        <f t="shared" ca="1" si="170"/>
        <v>2.1177744913175705</v>
      </c>
      <c r="P554" s="30">
        <f t="shared" ca="1" si="170"/>
        <v>19.243982270608299</v>
      </c>
      <c r="Q554" s="30">
        <f t="shared" ca="1" si="170"/>
        <v>21.704918567827892</v>
      </c>
      <c r="R554" s="30">
        <f t="shared" ca="1" si="170"/>
        <v>30.465898362080164</v>
      </c>
      <c r="S554" s="30">
        <f t="shared" ca="1" si="170"/>
        <v>12.48792264533227</v>
      </c>
      <c r="T554" s="30">
        <f t="shared" ca="1" si="170"/>
        <v>20.736043066221654</v>
      </c>
      <c r="U554" s="30">
        <f t="shared" ca="1" si="170"/>
        <v>13.747663700013408</v>
      </c>
      <c r="V554" s="30">
        <f t="shared" ca="1" si="170"/>
        <v>28.684657775440932</v>
      </c>
      <c r="W554" s="30">
        <f t="shared" ca="1" si="170"/>
        <v>29.80571527146769</v>
      </c>
      <c r="X554" s="30">
        <f t="shared" ca="1" si="170"/>
        <v>16.556908541201825</v>
      </c>
      <c r="Y554" s="30">
        <f t="shared" ca="1" si="170"/>
        <v>24.805440742834588</v>
      </c>
      <c r="Z554" s="30">
        <f t="shared" ca="1" si="170"/>
        <v>18.267003661314771</v>
      </c>
      <c r="AA554" s="26">
        <v>546</v>
      </c>
      <c r="AB554" s="31">
        <f t="shared" ca="1" si="167"/>
        <v>3</v>
      </c>
      <c r="AC554" s="31">
        <f t="shared" ca="1" si="156"/>
        <v>29</v>
      </c>
      <c r="AD554" s="31">
        <f t="shared" ca="1" si="157"/>
        <v>35</v>
      </c>
      <c r="AE554" s="31">
        <f t="shared" ca="1" si="158"/>
        <v>81</v>
      </c>
      <c r="AF554" s="31">
        <f t="shared" ca="1" si="159"/>
        <v>16</v>
      </c>
      <c r="AG554" s="31">
        <f t="shared" ca="1" si="160"/>
        <v>32</v>
      </c>
      <c r="AH554" s="31">
        <f t="shared" ca="1" si="161"/>
        <v>18</v>
      </c>
      <c r="AI554" s="31">
        <f t="shared" ca="1" si="162"/>
        <v>65</v>
      </c>
      <c r="AJ554" s="31">
        <f t="shared" ca="1" si="163"/>
        <v>74</v>
      </c>
      <c r="AK554" s="31">
        <f t="shared" ca="1" si="164"/>
        <v>23</v>
      </c>
      <c r="AL554" s="31">
        <f t="shared" ca="1" si="165"/>
        <v>45</v>
      </c>
      <c r="AM554" s="31">
        <f t="shared" ca="1" si="166"/>
        <v>27</v>
      </c>
    </row>
    <row r="555" spans="14:39">
      <c r="N555" s="26">
        <v>547</v>
      </c>
      <c r="O555" s="30">
        <f t="shared" ca="1" si="170"/>
        <v>16.246074891786389</v>
      </c>
      <c r="P555" s="30">
        <f t="shared" ca="1" si="170"/>
        <v>3.2005969854743372</v>
      </c>
      <c r="Q555" s="30">
        <f t="shared" ca="1" si="170"/>
        <v>2.378285747505545</v>
      </c>
      <c r="R555" s="30">
        <f t="shared" ca="1" si="170"/>
        <v>11.525448263503959</v>
      </c>
      <c r="S555" s="30">
        <f t="shared" ca="1" si="170"/>
        <v>26.45155290165496</v>
      </c>
      <c r="T555" s="30">
        <f t="shared" ca="1" si="170"/>
        <v>21.836183802199692</v>
      </c>
      <c r="U555" s="30">
        <f t="shared" ca="1" si="170"/>
        <v>20.047238468843187</v>
      </c>
      <c r="V555" s="30">
        <f t="shared" ca="1" si="170"/>
        <v>3.176713820478628</v>
      </c>
      <c r="W555" s="30">
        <f t="shared" ca="1" si="170"/>
        <v>14.20096659319594</v>
      </c>
      <c r="X555" s="30">
        <f t="shared" ca="1" si="170"/>
        <v>16.949897535232186</v>
      </c>
      <c r="Y555" s="30">
        <f t="shared" ca="1" si="170"/>
        <v>20.924811340219158</v>
      </c>
      <c r="Z555" s="30">
        <f t="shared" ca="1" si="170"/>
        <v>29.042200828608642</v>
      </c>
      <c r="AA555" s="26">
        <v>547</v>
      </c>
      <c r="AB555" s="31">
        <f t="shared" ca="1" si="167"/>
        <v>22</v>
      </c>
      <c r="AC555" s="31">
        <f t="shared" ca="1" si="156"/>
        <v>4</v>
      </c>
      <c r="AD555" s="31">
        <f t="shared" ca="1" si="157"/>
        <v>3</v>
      </c>
      <c r="AE555" s="31">
        <f t="shared" ca="1" si="158"/>
        <v>14</v>
      </c>
      <c r="AF555" s="31">
        <f t="shared" ca="1" si="159"/>
        <v>52</v>
      </c>
      <c r="AG555" s="31">
        <f t="shared" ca="1" si="160"/>
        <v>35</v>
      </c>
      <c r="AH555" s="31">
        <f t="shared" ca="1" si="161"/>
        <v>31</v>
      </c>
      <c r="AI555" s="31">
        <f t="shared" ca="1" si="162"/>
        <v>4</v>
      </c>
      <c r="AJ555" s="31">
        <f t="shared" ca="1" si="163"/>
        <v>19</v>
      </c>
      <c r="AK555" s="31">
        <f t="shared" ca="1" si="164"/>
        <v>24</v>
      </c>
      <c r="AL555" s="31">
        <f t="shared" ca="1" si="165"/>
        <v>33</v>
      </c>
      <c r="AM555" s="31">
        <f t="shared" ca="1" si="166"/>
        <v>68</v>
      </c>
    </row>
    <row r="556" spans="14:39">
      <c r="N556" s="26">
        <v>548</v>
      </c>
      <c r="O556" s="30">
        <f t="shared" ca="1" si="170"/>
        <v>8.7778482218328229</v>
      </c>
      <c r="P556" s="30">
        <f t="shared" ca="1" si="170"/>
        <v>6.7816058547717919</v>
      </c>
      <c r="Q556" s="30">
        <f t="shared" ca="1" si="170"/>
        <v>29.499188057615498</v>
      </c>
      <c r="R556" s="30">
        <f t="shared" ca="1" si="170"/>
        <v>12.544682948149736</v>
      </c>
      <c r="S556" s="30">
        <f t="shared" ca="1" si="170"/>
        <v>28.913608185949606</v>
      </c>
      <c r="T556" s="30">
        <f t="shared" ca="1" si="170"/>
        <v>12.352355801942258</v>
      </c>
      <c r="U556" s="30">
        <f t="shared" ca="1" si="170"/>
        <v>27.850632600048083</v>
      </c>
      <c r="V556" s="30">
        <f t="shared" ca="1" si="170"/>
        <v>26.97502186042469</v>
      </c>
      <c r="W556" s="30">
        <f t="shared" ca="1" si="170"/>
        <v>27.070644156796071</v>
      </c>
      <c r="X556" s="30">
        <f t="shared" ca="1" si="170"/>
        <v>18.707021838865792</v>
      </c>
      <c r="Y556" s="30">
        <f t="shared" ca="1" si="170"/>
        <v>23.254058058577151</v>
      </c>
      <c r="Z556" s="30">
        <f t="shared" ca="1" si="170"/>
        <v>28.828803141754989</v>
      </c>
      <c r="AA556" s="26">
        <v>548</v>
      </c>
      <c r="AB556" s="31">
        <f t="shared" ca="1" si="167"/>
        <v>11</v>
      </c>
      <c r="AC556" s="31">
        <f t="shared" ca="1" si="156"/>
        <v>8</v>
      </c>
      <c r="AD556" s="31">
        <f t="shared" ca="1" si="157"/>
        <v>72</v>
      </c>
      <c r="AE556" s="31">
        <f t="shared" ca="1" si="158"/>
        <v>16</v>
      </c>
      <c r="AF556" s="31">
        <f t="shared" ca="1" si="159"/>
        <v>67</v>
      </c>
      <c r="AG556" s="31">
        <f t="shared" ca="1" si="160"/>
        <v>16</v>
      </c>
      <c r="AH556" s="31">
        <f t="shared" ca="1" si="161"/>
        <v>60</v>
      </c>
      <c r="AI556" s="31">
        <f t="shared" ca="1" si="162"/>
        <v>55</v>
      </c>
      <c r="AJ556" s="31">
        <f t="shared" ca="1" si="163"/>
        <v>55</v>
      </c>
      <c r="AK556" s="31">
        <f t="shared" ca="1" si="164"/>
        <v>28</v>
      </c>
      <c r="AL556" s="31">
        <f t="shared" ca="1" si="165"/>
        <v>40</v>
      </c>
      <c r="AM556" s="31">
        <f t="shared" ca="1" si="166"/>
        <v>66</v>
      </c>
    </row>
    <row r="557" spans="14:39">
      <c r="N557" s="26">
        <v>549</v>
      </c>
      <c r="O557" s="30">
        <f t="shared" ca="1" si="170"/>
        <v>14.992246784379153</v>
      </c>
      <c r="P557" s="30">
        <f t="shared" ca="1" si="170"/>
        <v>14.26288591423137</v>
      </c>
      <c r="Q557" s="30">
        <f t="shared" ca="1" si="170"/>
        <v>15.867126175906515</v>
      </c>
      <c r="R557" s="30">
        <f t="shared" ca="1" si="170"/>
        <v>22.693682008550031</v>
      </c>
      <c r="S557" s="30">
        <f t="shared" ca="1" si="170"/>
        <v>5.3589006892842468</v>
      </c>
      <c r="T557" s="30">
        <f t="shared" ca="1" si="170"/>
        <v>29.353585495518743</v>
      </c>
      <c r="U557" s="30">
        <f t="shared" ca="1" si="170"/>
        <v>4.6627380399985023</v>
      </c>
      <c r="V557" s="30">
        <f t="shared" ca="1" si="170"/>
        <v>8.9698207838092241</v>
      </c>
      <c r="W557" s="30">
        <f t="shared" ca="1" si="170"/>
        <v>29.812079977588702</v>
      </c>
      <c r="X557" s="30">
        <f t="shared" ca="1" si="170"/>
        <v>14.965592579279047</v>
      </c>
      <c r="Y557" s="30">
        <f t="shared" ca="1" si="170"/>
        <v>32.561011881854633</v>
      </c>
      <c r="Z557" s="30">
        <f t="shared" ca="1" si="170"/>
        <v>21.785525019385815</v>
      </c>
      <c r="AA557" s="26">
        <v>549</v>
      </c>
      <c r="AB557" s="31">
        <f t="shared" ca="1" si="167"/>
        <v>20</v>
      </c>
      <c r="AC557" s="31">
        <f t="shared" ca="1" si="156"/>
        <v>19</v>
      </c>
      <c r="AD557" s="31">
        <f t="shared" ca="1" si="157"/>
        <v>22</v>
      </c>
      <c r="AE557" s="31">
        <f t="shared" ca="1" si="158"/>
        <v>38</v>
      </c>
      <c r="AF557" s="31">
        <f t="shared" ca="1" si="159"/>
        <v>6</v>
      </c>
      <c r="AG557" s="31">
        <f t="shared" ca="1" si="160"/>
        <v>70</v>
      </c>
      <c r="AH557" s="31">
        <f t="shared" ca="1" si="161"/>
        <v>5</v>
      </c>
      <c r="AI557" s="31">
        <f t="shared" ca="1" si="162"/>
        <v>11</v>
      </c>
      <c r="AJ557" s="31">
        <f t="shared" ca="1" si="163"/>
        <v>74</v>
      </c>
      <c r="AK557" s="31">
        <f t="shared" ca="1" si="164"/>
        <v>20</v>
      </c>
      <c r="AL557" s="31">
        <f t="shared" ca="1" si="165"/>
        <v>124</v>
      </c>
      <c r="AM557" s="31">
        <f t="shared" ca="1" si="166"/>
        <v>35</v>
      </c>
    </row>
    <row r="558" spans="14:39">
      <c r="N558" s="26">
        <v>550</v>
      </c>
      <c r="O558" s="30">
        <f t="shared" ca="1" si="170"/>
        <v>16.515849282039472</v>
      </c>
      <c r="P558" s="30">
        <f t="shared" ca="1" si="170"/>
        <v>6.983659818923349</v>
      </c>
      <c r="Q558" s="30">
        <f t="shared" ca="1" si="170"/>
        <v>26.461492053147268</v>
      </c>
      <c r="R558" s="30">
        <f t="shared" ca="1" si="170"/>
        <v>7.0580770004584448</v>
      </c>
      <c r="S558" s="30">
        <f t="shared" ca="1" si="170"/>
        <v>20.56973231017156</v>
      </c>
      <c r="T558" s="30">
        <f t="shared" ca="1" si="170"/>
        <v>27.169042676339348</v>
      </c>
      <c r="U558" s="30">
        <f t="shared" ca="1" si="170"/>
        <v>30.210519801426379</v>
      </c>
      <c r="V558" s="30">
        <f t="shared" ca="1" si="170"/>
        <v>22.114772540990181</v>
      </c>
      <c r="W558" s="30">
        <f t="shared" ca="1" si="170"/>
        <v>11.209109522971614</v>
      </c>
      <c r="X558" s="30">
        <f t="shared" ca="1" si="170"/>
        <v>32.989950515323784</v>
      </c>
      <c r="Y558" s="30">
        <f t="shared" ca="1" si="170"/>
        <v>19.137535131418439</v>
      </c>
      <c r="Z558" s="30">
        <f t="shared" ca="1" si="170"/>
        <v>2.0838589922132087</v>
      </c>
      <c r="AA558" s="26">
        <v>550</v>
      </c>
      <c r="AB558" s="31">
        <f t="shared" ca="1" si="167"/>
        <v>23</v>
      </c>
      <c r="AC558" s="31">
        <f t="shared" ca="1" si="156"/>
        <v>8</v>
      </c>
      <c r="AD558" s="31">
        <f t="shared" ca="1" si="157"/>
        <v>52</v>
      </c>
      <c r="AE558" s="31">
        <f t="shared" ca="1" si="158"/>
        <v>8</v>
      </c>
      <c r="AF558" s="31">
        <f t="shared" ca="1" si="159"/>
        <v>32</v>
      </c>
      <c r="AG558" s="31">
        <f t="shared" ca="1" si="160"/>
        <v>56</v>
      </c>
      <c r="AH558" s="31">
        <f t="shared" ca="1" si="161"/>
        <v>78</v>
      </c>
      <c r="AI558" s="31">
        <f t="shared" ca="1" si="162"/>
        <v>36</v>
      </c>
      <c r="AJ558" s="31">
        <f t="shared" ca="1" si="163"/>
        <v>14</v>
      </c>
      <c r="AK558" s="31">
        <f t="shared" ca="1" si="164"/>
        <v>151</v>
      </c>
      <c r="AL558" s="31">
        <f t="shared" ca="1" si="165"/>
        <v>29</v>
      </c>
      <c r="AM558" s="31">
        <f t="shared" ca="1" si="166"/>
        <v>3</v>
      </c>
    </row>
    <row r="559" spans="14:39">
      <c r="N559" s="26">
        <v>551</v>
      </c>
      <c r="O559" s="30">
        <f t="shared" ref="O559:Z568" ca="1" si="171">RAND()*sumweights</f>
        <v>32.001727894152431</v>
      </c>
      <c r="P559" s="30">
        <f t="shared" ca="1" si="171"/>
        <v>30.658266908483419</v>
      </c>
      <c r="Q559" s="30">
        <f t="shared" ca="1" si="171"/>
        <v>25.864547842240807</v>
      </c>
      <c r="R559" s="30">
        <f t="shared" ca="1" si="171"/>
        <v>0.80344672196301103</v>
      </c>
      <c r="S559" s="30">
        <f t="shared" ca="1" si="171"/>
        <v>10.635698653316407</v>
      </c>
      <c r="T559" s="30">
        <f t="shared" ca="1" si="171"/>
        <v>11.208439118322616</v>
      </c>
      <c r="U559" s="30">
        <f t="shared" ca="1" si="171"/>
        <v>14.60282975743004</v>
      </c>
      <c r="V559" s="30">
        <f t="shared" ca="1" si="171"/>
        <v>27.96312261677588</v>
      </c>
      <c r="W559" s="30">
        <f t="shared" ca="1" si="171"/>
        <v>6.3794677841626353</v>
      </c>
      <c r="X559" s="30">
        <f t="shared" ca="1" si="171"/>
        <v>2.2540763918677085</v>
      </c>
      <c r="Y559" s="30">
        <f t="shared" ca="1" si="171"/>
        <v>6.3473421295243551</v>
      </c>
      <c r="Z559" s="30">
        <f t="shared" ca="1" si="171"/>
        <v>6.9060799216980833</v>
      </c>
      <c r="AA559" s="26">
        <v>551</v>
      </c>
      <c r="AB559" s="31">
        <f t="shared" ca="1" si="167"/>
        <v>106</v>
      </c>
      <c r="AC559" s="31">
        <f t="shared" ca="1" si="156"/>
        <v>83</v>
      </c>
      <c r="AD559" s="31">
        <f t="shared" ca="1" si="157"/>
        <v>50</v>
      </c>
      <c r="AE559" s="31">
        <f t="shared" ca="1" si="158"/>
        <v>1</v>
      </c>
      <c r="AF559" s="31">
        <f t="shared" ca="1" si="159"/>
        <v>13</v>
      </c>
      <c r="AG559" s="31">
        <f t="shared" ca="1" si="160"/>
        <v>14</v>
      </c>
      <c r="AH559" s="31">
        <f t="shared" ca="1" si="161"/>
        <v>19</v>
      </c>
      <c r="AI559" s="31">
        <f t="shared" ca="1" si="162"/>
        <v>60</v>
      </c>
      <c r="AJ559" s="31">
        <f t="shared" ca="1" si="163"/>
        <v>7</v>
      </c>
      <c r="AK559" s="31">
        <f t="shared" ca="1" si="164"/>
        <v>3</v>
      </c>
      <c r="AL559" s="31">
        <f t="shared" ca="1" si="165"/>
        <v>7</v>
      </c>
      <c r="AM559" s="31">
        <f t="shared" ca="1" si="166"/>
        <v>8</v>
      </c>
    </row>
    <row r="560" spans="14:39">
      <c r="N560" s="26">
        <v>552</v>
      </c>
      <c r="O560" s="30">
        <f t="shared" ca="1" si="171"/>
        <v>32.86971702893544</v>
      </c>
      <c r="P560" s="30">
        <f t="shared" ca="1" si="171"/>
        <v>22.014868644950035</v>
      </c>
      <c r="Q560" s="30">
        <f t="shared" ca="1" si="171"/>
        <v>31.620177356908169</v>
      </c>
      <c r="R560" s="30">
        <f t="shared" ca="1" si="171"/>
        <v>30.465863297943969</v>
      </c>
      <c r="S560" s="30">
        <f t="shared" ca="1" si="171"/>
        <v>29.137075377045246</v>
      </c>
      <c r="T560" s="30">
        <f t="shared" ca="1" si="171"/>
        <v>26.025231845546294</v>
      </c>
      <c r="U560" s="30">
        <f t="shared" ca="1" si="171"/>
        <v>11.604216132673498</v>
      </c>
      <c r="V560" s="30">
        <f t="shared" ca="1" si="171"/>
        <v>30.233448488765987</v>
      </c>
      <c r="W560" s="30">
        <f t="shared" ca="1" si="171"/>
        <v>8.5989032292668437</v>
      </c>
      <c r="X560" s="30">
        <f t="shared" ca="1" si="171"/>
        <v>20.32793222921849</v>
      </c>
      <c r="Y560" s="30">
        <f t="shared" ca="1" si="171"/>
        <v>16.28122826635849</v>
      </c>
      <c r="Z560" s="30">
        <f t="shared" ca="1" si="171"/>
        <v>6.8283740699975866</v>
      </c>
      <c r="AA560" s="26">
        <v>552</v>
      </c>
      <c r="AB560" s="31">
        <f t="shared" ca="1" si="167"/>
        <v>141</v>
      </c>
      <c r="AC560" s="31">
        <f t="shared" ca="1" si="156"/>
        <v>36</v>
      </c>
      <c r="AD560" s="31">
        <f t="shared" ca="1" si="157"/>
        <v>98</v>
      </c>
      <c r="AE560" s="31">
        <f t="shared" ca="1" si="158"/>
        <v>81</v>
      </c>
      <c r="AF560" s="31">
        <f t="shared" ca="1" si="159"/>
        <v>69</v>
      </c>
      <c r="AG560" s="31">
        <f t="shared" ca="1" si="160"/>
        <v>50</v>
      </c>
      <c r="AH560" s="31">
        <f t="shared" ca="1" si="161"/>
        <v>15</v>
      </c>
      <c r="AI560" s="31">
        <f t="shared" ca="1" si="162"/>
        <v>78</v>
      </c>
      <c r="AJ560" s="31">
        <f t="shared" ca="1" si="163"/>
        <v>10</v>
      </c>
      <c r="AK560" s="31">
        <f t="shared" ca="1" si="164"/>
        <v>31</v>
      </c>
      <c r="AL560" s="31">
        <f t="shared" ca="1" si="165"/>
        <v>23</v>
      </c>
      <c r="AM560" s="31">
        <f t="shared" ca="1" si="166"/>
        <v>8</v>
      </c>
    </row>
    <row r="561" spans="14:39">
      <c r="N561" s="26">
        <v>553</v>
      </c>
      <c r="O561" s="30">
        <f t="shared" ca="1" si="171"/>
        <v>9.2471702500896225</v>
      </c>
      <c r="P561" s="30">
        <f t="shared" ca="1" si="171"/>
        <v>30.58721837361696</v>
      </c>
      <c r="Q561" s="30">
        <f t="shared" ca="1" si="171"/>
        <v>22.153270294661951</v>
      </c>
      <c r="R561" s="30">
        <f t="shared" ca="1" si="171"/>
        <v>13.212011817698963</v>
      </c>
      <c r="S561" s="30">
        <f t="shared" ca="1" si="171"/>
        <v>12.096944391302703</v>
      </c>
      <c r="T561" s="30">
        <f t="shared" ca="1" si="171"/>
        <v>16.036675259158418</v>
      </c>
      <c r="U561" s="30">
        <f t="shared" ca="1" si="171"/>
        <v>7.958362576420777</v>
      </c>
      <c r="V561" s="30">
        <f t="shared" ca="1" si="171"/>
        <v>15.054915778988633</v>
      </c>
      <c r="W561" s="30">
        <f t="shared" ca="1" si="171"/>
        <v>20.858199488876959</v>
      </c>
      <c r="X561" s="30">
        <f t="shared" ca="1" si="171"/>
        <v>13.971480956800313</v>
      </c>
      <c r="Y561" s="30">
        <f t="shared" ca="1" si="171"/>
        <v>16.99191531247849</v>
      </c>
      <c r="Z561" s="30">
        <f t="shared" ca="1" si="171"/>
        <v>25.664849618277572</v>
      </c>
      <c r="AA561" s="26">
        <v>553</v>
      </c>
      <c r="AB561" s="31">
        <f t="shared" ca="1" si="167"/>
        <v>11</v>
      </c>
      <c r="AC561" s="31">
        <f t="shared" ca="1" si="156"/>
        <v>82</v>
      </c>
      <c r="AD561" s="31">
        <f t="shared" ca="1" si="157"/>
        <v>36</v>
      </c>
      <c r="AE561" s="31">
        <f t="shared" ca="1" si="158"/>
        <v>17</v>
      </c>
      <c r="AF561" s="31">
        <f t="shared" ca="1" si="159"/>
        <v>15</v>
      </c>
      <c r="AG561" s="31">
        <f t="shared" ca="1" si="160"/>
        <v>22</v>
      </c>
      <c r="AH561" s="31">
        <f t="shared" ca="1" si="161"/>
        <v>9</v>
      </c>
      <c r="AI561" s="31">
        <f t="shared" ca="1" si="162"/>
        <v>20</v>
      </c>
      <c r="AJ561" s="31">
        <f t="shared" ca="1" si="163"/>
        <v>33</v>
      </c>
      <c r="AK561" s="31">
        <f t="shared" ca="1" si="164"/>
        <v>18</v>
      </c>
      <c r="AL561" s="31">
        <f t="shared" ca="1" si="165"/>
        <v>24</v>
      </c>
      <c r="AM561" s="31">
        <f t="shared" ca="1" si="166"/>
        <v>49</v>
      </c>
    </row>
    <row r="562" spans="14:39">
      <c r="N562" s="26">
        <v>554</v>
      </c>
      <c r="O562" s="30">
        <f t="shared" ca="1" si="171"/>
        <v>16.092300907596929</v>
      </c>
      <c r="P562" s="30">
        <f t="shared" ca="1" si="171"/>
        <v>31.81651199019786</v>
      </c>
      <c r="Q562" s="30">
        <f t="shared" ca="1" si="171"/>
        <v>13.132177270308187</v>
      </c>
      <c r="R562" s="30">
        <f t="shared" ca="1" si="171"/>
        <v>27.614135465684356</v>
      </c>
      <c r="S562" s="30">
        <f t="shared" ca="1" si="171"/>
        <v>21.706298960281469</v>
      </c>
      <c r="T562" s="30">
        <f t="shared" ca="1" si="171"/>
        <v>28.767076138598309</v>
      </c>
      <c r="U562" s="30">
        <f t="shared" ca="1" si="171"/>
        <v>30.530183950989194</v>
      </c>
      <c r="V562" s="30">
        <f t="shared" ca="1" si="171"/>
        <v>7.1130993165747283</v>
      </c>
      <c r="W562" s="30">
        <f t="shared" ca="1" si="171"/>
        <v>29.905342839135969</v>
      </c>
      <c r="X562" s="30">
        <f t="shared" ca="1" si="171"/>
        <v>25.92371709367573</v>
      </c>
      <c r="Y562" s="30">
        <f t="shared" ca="1" si="171"/>
        <v>29.047832878191862</v>
      </c>
      <c r="Z562" s="30">
        <f t="shared" ca="1" si="171"/>
        <v>8.8186584554014029</v>
      </c>
      <c r="AA562" s="26">
        <v>554</v>
      </c>
      <c r="AB562" s="31">
        <f t="shared" ca="1" si="167"/>
        <v>22</v>
      </c>
      <c r="AC562" s="31">
        <f t="shared" ca="1" si="156"/>
        <v>102</v>
      </c>
      <c r="AD562" s="31">
        <f t="shared" ca="1" si="157"/>
        <v>17</v>
      </c>
      <c r="AE562" s="31">
        <f t="shared" ca="1" si="158"/>
        <v>58</v>
      </c>
      <c r="AF562" s="31">
        <f t="shared" ca="1" si="159"/>
        <v>35</v>
      </c>
      <c r="AG562" s="31">
        <f t="shared" ca="1" si="160"/>
        <v>66</v>
      </c>
      <c r="AH562" s="31">
        <f t="shared" ca="1" si="161"/>
        <v>82</v>
      </c>
      <c r="AI562" s="31">
        <f t="shared" ca="1" si="162"/>
        <v>8</v>
      </c>
      <c r="AJ562" s="31">
        <f t="shared" ca="1" si="163"/>
        <v>75</v>
      </c>
      <c r="AK562" s="31">
        <f t="shared" ca="1" si="164"/>
        <v>50</v>
      </c>
      <c r="AL562" s="31">
        <f t="shared" ca="1" si="165"/>
        <v>68</v>
      </c>
      <c r="AM562" s="31">
        <f t="shared" ca="1" si="166"/>
        <v>11</v>
      </c>
    </row>
    <row r="563" spans="14:39">
      <c r="N563" s="26">
        <v>555</v>
      </c>
      <c r="O563" s="30">
        <f t="shared" ca="1" si="171"/>
        <v>19.594043802602091</v>
      </c>
      <c r="P563" s="30">
        <f t="shared" ca="1" si="171"/>
        <v>18.43978208153526</v>
      </c>
      <c r="Q563" s="30">
        <f t="shared" ca="1" si="171"/>
        <v>2.734669397769864</v>
      </c>
      <c r="R563" s="30">
        <f t="shared" ca="1" si="171"/>
        <v>21.523201558286079</v>
      </c>
      <c r="S563" s="30">
        <f t="shared" ca="1" si="171"/>
        <v>19.048064318385521</v>
      </c>
      <c r="T563" s="30">
        <f t="shared" ca="1" si="171"/>
        <v>24.052368918436969</v>
      </c>
      <c r="U563" s="30">
        <f t="shared" ca="1" si="171"/>
        <v>28.567558190519918</v>
      </c>
      <c r="V563" s="30">
        <f t="shared" ca="1" si="171"/>
        <v>7.0856275016515324</v>
      </c>
      <c r="W563" s="30">
        <f t="shared" ca="1" si="171"/>
        <v>12.110094140959243</v>
      </c>
      <c r="X563" s="30">
        <f t="shared" ca="1" si="171"/>
        <v>27.567028891670962</v>
      </c>
      <c r="Y563" s="30">
        <f t="shared" ca="1" si="171"/>
        <v>0.88536543692333136</v>
      </c>
      <c r="Z563" s="30">
        <f t="shared" ca="1" si="171"/>
        <v>29.845052859800116</v>
      </c>
      <c r="AA563" s="26">
        <v>555</v>
      </c>
      <c r="AB563" s="31">
        <f t="shared" ca="1" si="167"/>
        <v>30</v>
      </c>
      <c r="AC563" s="31">
        <f t="shared" ca="1" si="156"/>
        <v>27</v>
      </c>
      <c r="AD563" s="31">
        <f t="shared" ca="1" si="157"/>
        <v>3</v>
      </c>
      <c r="AE563" s="31">
        <f t="shared" ca="1" si="158"/>
        <v>35</v>
      </c>
      <c r="AF563" s="31">
        <f t="shared" ca="1" si="159"/>
        <v>28</v>
      </c>
      <c r="AG563" s="31">
        <f t="shared" ca="1" si="160"/>
        <v>42</v>
      </c>
      <c r="AH563" s="31">
        <f t="shared" ca="1" si="161"/>
        <v>64</v>
      </c>
      <c r="AI563" s="31">
        <f t="shared" ca="1" si="162"/>
        <v>8</v>
      </c>
      <c r="AJ563" s="31">
        <f t="shared" ca="1" si="163"/>
        <v>15</v>
      </c>
      <c r="AK563" s="31">
        <f t="shared" ca="1" si="164"/>
        <v>58</v>
      </c>
      <c r="AL563" s="31">
        <f t="shared" ca="1" si="165"/>
        <v>1</v>
      </c>
      <c r="AM563" s="31">
        <f t="shared" ca="1" si="166"/>
        <v>75</v>
      </c>
    </row>
    <row r="564" spans="14:39">
      <c r="N564" s="26">
        <v>556</v>
      </c>
      <c r="O564" s="30">
        <f t="shared" ca="1" si="171"/>
        <v>25.34831554572412</v>
      </c>
      <c r="P564" s="30">
        <f t="shared" ca="1" si="171"/>
        <v>32.752307547772368</v>
      </c>
      <c r="Q564" s="30">
        <f t="shared" ca="1" si="171"/>
        <v>30.745526261647065</v>
      </c>
      <c r="R564" s="30">
        <f t="shared" ca="1" si="171"/>
        <v>22.839174750476246</v>
      </c>
      <c r="S564" s="30">
        <f t="shared" ca="1" si="171"/>
        <v>31.209123821680098</v>
      </c>
      <c r="T564" s="30">
        <f t="shared" ca="1" si="171"/>
        <v>32.162017920140904</v>
      </c>
      <c r="U564" s="30">
        <f t="shared" ca="1" si="171"/>
        <v>32.910531954297788</v>
      </c>
      <c r="V564" s="30">
        <f t="shared" ca="1" si="171"/>
        <v>28.691819998639605</v>
      </c>
      <c r="W564" s="30">
        <f t="shared" ca="1" si="171"/>
        <v>27.869843112382341</v>
      </c>
      <c r="X564" s="30">
        <f t="shared" ca="1" si="171"/>
        <v>24.687197733503091</v>
      </c>
      <c r="Y564" s="30">
        <f t="shared" ca="1" si="171"/>
        <v>27.260416048099312</v>
      </c>
      <c r="Z564" s="30">
        <f t="shared" ca="1" si="171"/>
        <v>3.8993275273588677</v>
      </c>
      <c r="AA564" s="26">
        <v>556</v>
      </c>
      <c r="AB564" s="31">
        <f t="shared" ca="1" si="167"/>
        <v>47</v>
      </c>
      <c r="AC564" s="31">
        <f t="shared" ca="1" si="156"/>
        <v>133</v>
      </c>
      <c r="AD564" s="31">
        <f t="shared" ca="1" si="157"/>
        <v>84</v>
      </c>
      <c r="AE564" s="31">
        <f t="shared" ca="1" si="158"/>
        <v>38</v>
      </c>
      <c r="AF564" s="31">
        <f t="shared" ca="1" si="159"/>
        <v>91</v>
      </c>
      <c r="AG564" s="31">
        <f t="shared" ca="1" si="160"/>
        <v>110</v>
      </c>
      <c r="AH564" s="31">
        <f t="shared" ca="1" si="161"/>
        <v>144</v>
      </c>
      <c r="AI564" s="31">
        <f t="shared" ca="1" si="162"/>
        <v>65</v>
      </c>
      <c r="AJ564" s="31">
        <f t="shared" ca="1" si="163"/>
        <v>60</v>
      </c>
      <c r="AK564" s="31">
        <f t="shared" ca="1" si="164"/>
        <v>45</v>
      </c>
      <c r="AL564" s="31">
        <f t="shared" ca="1" si="165"/>
        <v>56</v>
      </c>
      <c r="AM564" s="31">
        <f t="shared" ca="1" si="166"/>
        <v>5</v>
      </c>
    </row>
    <row r="565" spans="14:39">
      <c r="N565" s="26">
        <v>557</v>
      </c>
      <c r="O565" s="30">
        <f t="shared" ca="1" si="171"/>
        <v>1.6632586253247694</v>
      </c>
      <c r="P565" s="30">
        <f t="shared" ca="1" si="171"/>
        <v>27.043172641643242</v>
      </c>
      <c r="Q565" s="30">
        <f t="shared" ca="1" si="171"/>
        <v>15.98491272180434</v>
      </c>
      <c r="R565" s="30">
        <f t="shared" ca="1" si="171"/>
        <v>31.550146637248595</v>
      </c>
      <c r="S565" s="30">
        <f t="shared" ca="1" si="171"/>
        <v>7.1322631866591326</v>
      </c>
      <c r="T565" s="30">
        <f t="shared" ca="1" si="171"/>
        <v>20.534059309239915</v>
      </c>
      <c r="U565" s="30">
        <f t="shared" ca="1" si="171"/>
        <v>11.328365674853609</v>
      </c>
      <c r="V565" s="30">
        <f t="shared" ca="1" si="171"/>
        <v>7.8050670079127942</v>
      </c>
      <c r="W565" s="30">
        <f t="shared" ca="1" si="171"/>
        <v>2.0666646688068977</v>
      </c>
      <c r="X565" s="30">
        <f t="shared" ca="1" si="171"/>
        <v>13.413182322232675</v>
      </c>
      <c r="Y565" s="30">
        <f t="shared" ca="1" si="171"/>
        <v>2.2648126648581233</v>
      </c>
      <c r="Z565" s="30">
        <f t="shared" ca="1" si="171"/>
        <v>30.187899610512954</v>
      </c>
      <c r="AA565" s="26">
        <v>557</v>
      </c>
      <c r="AB565" s="31">
        <f t="shared" ca="1" si="167"/>
        <v>2</v>
      </c>
      <c r="AC565" s="31">
        <f t="shared" ca="1" si="156"/>
        <v>55</v>
      </c>
      <c r="AD565" s="31">
        <f t="shared" ca="1" si="157"/>
        <v>22</v>
      </c>
      <c r="AE565" s="31">
        <f t="shared" ca="1" si="158"/>
        <v>97</v>
      </c>
      <c r="AF565" s="31">
        <f t="shared" ca="1" si="159"/>
        <v>8</v>
      </c>
      <c r="AG565" s="31">
        <f t="shared" ca="1" si="160"/>
        <v>32</v>
      </c>
      <c r="AH565" s="31">
        <f t="shared" ca="1" si="161"/>
        <v>14</v>
      </c>
      <c r="AI565" s="31">
        <f t="shared" ca="1" si="162"/>
        <v>9</v>
      </c>
      <c r="AJ565" s="31">
        <f t="shared" ca="1" si="163"/>
        <v>3</v>
      </c>
      <c r="AK565" s="31">
        <f t="shared" ca="1" si="164"/>
        <v>17</v>
      </c>
      <c r="AL565" s="31">
        <f t="shared" ca="1" si="165"/>
        <v>3</v>
      </c>
      <c r="AM565" s="31">
        <f t="shared" ca="1" si="166"/>
        <v>78</v>
      </c>
    </row>
    <row r="566" spans="14:39">
      <c r="N566" s="26">
        <v>558</v>
      </c>
      <c r="O566" s="30">
        <f t="shared" ca="1" si="171"/>
        <v>17.026442316612624</v>
      </c>
      <c r="P566" s="30">
        <f t="shared" ca="1" si="171"/>
        <v>3.198248278736719</v>
      </c>
      <c r="Q566" s="30">
        <f t="shared" ca="1" si="171"/>
        <v>24.501882055428219</v>
      </c>
      <c r="R566" s="30">
        <f t="shared" ca="1" si="171"/>
        <v>14.22073274691413</v>
      </c>
      <c r="S566" s="30">
        <f t="shared" ca="1" si="171"/>
        <v>10.2127440477097</v>
      </c>
      <c r="T566" s="30">
        <f t="shared" ca="1" si="171"/>
        <v>26.356528176917077</v>
      </c>
      <c r="U566" s="30">
        <f t="shared" ca="1" si="171"/>
        <v>17.971436713533489</v>
      </c>
      <c r="V566" s="30">
        <f t="shared" ca="1" si="171"/>
        <v>12.552167834893858</v>
      </c>
      <c r="W566" s="30">
        <f t="shared" ca="1" si="171"/>
        <v>27.085049728953962</v>
      </c>
      <c r="X566" s="30">
        <f t="shared" ca="1" si="171"/>
        <v>30.712189441890281</v>
      </c>
      <c r="Y566" s="30">
        <f t="shared" ca="1" si="171"/>
        <v>21.218420471810877</v>
      </c>
      <c r="Z566" s="30">
        <f t="shared" ca="1" si="171"/>
        <v>28.356206870678609</v>
      </c>
      <c r="AA566" s="26">
        <v>558</v>
      </c>
      <c r="AB566" s="31">
        <f t="shared" ca="1" si="167"/>
        <v>24</v>
      </c>
      <c r="AC566" s="31">
        <f t="shared" ca="1" si="156"/>
        <v>4</v>
      </c>
      <c r="AD566" s="31">
        <f t="shared" ca="1" si="157"/>
        <v>44</v>
      </c>
      <c r="AE566" s="31">
        <f t="shared" ca="1" si="158"/>
        <v>19</v>
      </c>
      <c r="AF566" s="31">
        <f t="shared" ca="1" si="159"/>
        <v>13</v>
      </c>
      <c r="AG566" s="31">
        <f t="shared" ca="1" si="160"/>
        <v>52</v>
      </c>
      <c r="AH566" s="31">
        <f t="shared" ca="1" si="161"/>
        <v>26</v>
      </c>
      <c r="AI566" s="31">
        <f t="shared" ca="1" si="162"/>
        <v>16</v>
      </c>
      <c r="AJ566" s="31">
        <f t="shared" ca="1" si="163"/>
        <v>55</v>
      </c>
      <c r="AK566" s="31">
        <f t="shared" ca="1" si="164"/>
        <v>84</v>
      </c>
      <c r="AL566" s="31">
        <f t="shared" ca="1" si="165"/>
        <v>34</v>
      </c>
      <c r="AM566" s="31">
        <f t="shared" ca="1" si="166"/>
        <v>63</v>
      </c>
    </row>
    <row r="567" spans="14:39">
      <c r="N567" s="26">
        <v>559</v>
      </c>
      <c r="O567" s="30">
        <f t="shared" ca="1" si="171"/>
        <v>8.8285240700527883</v>
      </c>
      <c r="P567" s="30">
        <f t="shared" ca="1" si="171"/>
        <v>5.094286711271045</v>
      </c>
      <c r="Q567" s="30">
        <f t="shared" ca="1" si="171"/>
        <v>33.057368452835796</v>
      </c>
      <c r="R567" s="30">
        <f t="shared" ca="1" si="171"/>
        <v>13.285510012032947</v>
      </c>
      <c r="S567" s="30">
        <f t="shared" ca="1" si="171"/>
        <v>32.115979934748133</v>
      </c>
      <c r="T567" s="30">
        <f t="shared" ca="1" si="171"/>
        <v>5.6601207528980364</v>
      </c>
      <c r="U567" s="30">
        <f t="shared" ca="1" si="171"/>
        <v>19.016972081439881</v>
      </c>
      <c r="V567" s="30">
        <f t="shared" ca="1" si="171"/>
        <v>27.514683712884054</v>
      </c>
      <c r="W567" s="30">
        <f t="shared" ca="1" si="171"/>
        <v>15.074487364391906</v>
      </c>
      <c r="X567" s="30">
        <f t="shared" ca="1" si="171"/>
        <v>17.970854606309306</v>
      </c>
      <c r="Y567" s="30">
        <f t="shared" ca="1" si="171"/>
        <v>22.238733766458736</v>
      </c>
      <c r="Z567" s="30">
        <f t="shared" ca="1" si="171"/>
        <v>26.267055026288176</v>
      </c>
      <c r="AA567" s="26">
        <v>559</v>
      </c>
      <c r="AB567" s="31">
        <f t="shared" ca="1" si="167"/>
        <v>11</v>
      </c>
      <c r="AC567" s="31">
        <f t="shared" ca="1" si="156"/>
        <v>6</v>
      </c>
      <c r="AD567" s="31">
        <f t="shared" ca="1" si="157"/>
        <v>158</v>
      </c>
      <c r="AE567" s="31">
        <f t="shared" ca="1" si="158"/>
        <v>17</v>
      </c>
      <c r="AF567" s="31">
        <f t="shared" ca="1" si="159"/>
        <v>109</v>
      </c>
      <c r="AG567" s="31">
        <f t="shared" ca="1" si="160"/>
        <v>7</v>
      </c>
      <c r="AH567" s="31">
        <f t="shared" ca="1" si="161"/>
        <v>28</v>
      </c>
      <c r="AI567" s="31">
        <f t="shared" ca="1" si="162"/>
        <v>58</v>
      </c>
      <c r="AJ567" s="31">
        <f t="shared" ca="1" si="163"/>
        <v>20</v>
      </c>
      <c r="AK567" s="31">
        <f t="shared" ca="1" si="164"/>
        <v>26</v>
      </c>
      <c r="AL567" s="31">
        <f t="shared" ca="1" si="165"/>
        <v>37</v>
      </c>
      <c r="AM567" s="31">
        <f t="shared" ca="1" si="166"/>
        <v>51</v>
      </c>
    </row>
    <row r="568" spans="14:39">
      <c r="N568" s="26">
        <v>560</v>
      </c>
      <c r="O568" s="30">
        <f t="shared" ca="1" si="171"/>
        <v>2.0806906752134506</v>
      </c>
      <c r="P568" s="30">
        <f t="shared" ca="1" si="171"/>
        <v>21.502476378459882</v>
      </c>
      <c r="Q568" s="30">
        <f t="shared" ca="1" si="171"/>
        <v>27.017640563624319</v>
      </c>
      <c r="R568" s="30">
        <f t="shared" ca="1" si="171"/>
        <v>21.722615274052785</v>
      </c>
      <c r="S568" s="30">
        <f t="shared" ca="1" si="171"/>
        <v>2.3487394871033027</v>
      </c>
      <c r="T568" s="30">
        <f t="shared" ca="1" si="171"/>
        <v>6.8797360368495468</v>
      </c>
      <c r="U568" s="30">
        <f t="shared" ca="1" si="171"/>
        <v>3.6026363934445542</v>
      </c>
      <c r="V568" s="30">
        <f t="shared" ca="1" si="171"/>
        <v>6.5056327661722495</v>
      </c>
      <c r="W568" s="30">
        <f t="shared" ca="1" si="171"/>
        <v>1.2594495555178948</v>
      </c>
      <c r="X568" s="30">
        <f t="shared" ca="1" si="171"/>
        <v>32.879643524603772</v>
      </c>
      <c r="Y568" s="30">
        <f t="shared" ca="1" si="171"/>
        <v>5.8468305141594445</v>
      </c>
      <c r="Z568" s="30">
        <f t="shared" ca="1" si="171"/>
        <v>0.64794383252783627</v>
      </c>
      <c r="AA568" s="26">
        <v>560</v>
      </c>
      <c r="AB568" s="31">
        <f t="shared" ca="1" si="167"/>
        <v>3</v>
      </c>
      <c r="AC568" s="31">
        <f t="shared" ca="1" si="156"/>
        <v>35</v>
      </c>
      <c r="AD568" s="31">
        <f t="shared" ca="1" si="157"/>
        <v>55</v>
      </c>
      <c r="AE568" s="31">
        <f t="shared" ca="1" si="158"/>
        <v>35</v>
      </c>
      <c r="AF568" s="31">
        <f t="shared" ca="1" si="159"/>
        <v>3</v>
      </c>
      <c r="AG568" s="31">
        <f t="shared" ca="1" si="160"/>
        <v>8</v>
      </c>
      <c r="AH568" s="31">
        <f t="shared" ca="1" si="161"/>
        <v>4</v>
      </c>
      <c r="AI568" s="31">
        <f t="shared" ca="1" si="162"/>
        <v>8</v>
      </c>
      <c r="AJ568" s="31">
        <f t="shared" ca="1" si="163"/>
        <v>2</v>
      </c>
      <c r="AK568" s="31">
        <f t="shared" ca="1" si="164"/>
        <v>142</v>
      </c>
      <c r="AL568" s="31">
        <f t="shared" ca="1" si="165"/>
        <v>7</v>
      </c>
      <c r="AM568" s="31">
        <f t="shared" ca="1" si="166"/>
        <v>1</v>
      </c>
    </row>
    <row r="569" spans="14:39">
      <c r="N569" s="26">
        <v>561</v>
      </c>
      <c r="O569" s="30">
        <f t="shared" ref="O569:Z578" ca="1" si="172">RAND()*sumweights</f>
        <v>25.547773225735845</v>
      </c>
      <c r="P569" s="30">
        <f t="shared" ca="1" si="172"/>
        <v>14.026944806614111</v>
      </c>
      <c r="Q569" s="30">
        <f t="shared" ca="1" si="172"/>
        <v>26.640810209078712</v>
      </c>
      <c r="R569" s="30">
        <f t="shared" ca="1" si="172"/>
        <v>7.93621677760233</v>
      </c>
      <c r="S569" s="30">
        <f t="shared" ca="1" si="172"/>
        <v>17.47796132053271</v>
      </c>
      <c r="T569" s="30">
        <f t="shared" ca="1" si="172"/>
        <v>7.3044878445322263</v>
      </c>
      <c r="U569" s="30">
        <f t="shared" ca="1" si="172"/>
        <v>23.904682118625399</v>
      </c>
      <c r="V569" s="30">
        <f t="shared" ca="1" si="172"/>
        <v>24.300523929974734</v>
      </c>
      <c r="W569" s="30">
        <f t="shared" ca="1" si="172"/>
        <v>25.00913117467227</v>
      </c>
      <c r="X569" s="30">
        <f t="shared" ca="1" si="172"/>
        <v>19.204942411678097</v>
      </c>
      <c r="Y569" s="30">
        <f t="shared" ca="1" si="172"/>
        <v>13.82403505624508</v>
      </c>
      <c r="Z569" s="30">
        <f t="shared" ca="1" si="172"/>
        <v>1.6210758341179909</v>
      </c>
      <c r="AA569" s="26">
        <v>561</v>
      </c>
      <c r="AB569" s="31">
        <f t="shared" ca="1" si="167"/>
        <v>48</v>
      </c>
      <c r="AC569" s="31">
        <f t="shared" ca="1" si="156"/>
        <v>18</v>
      </c>
      <c r="AD569" s="31">
        <f t="shared" ca="1" si="157"/>
        <v>53</v>
      </c>
      <c r="AE569" s="31">
        <f t="shared" ca="1" si="158"/>
        <v>9</v>
      </c>
      <c r="AF569" s="31">
        <f t="shared" ca="1" si="159"/>
        <v>25</v>
      </c>
      <c r="AG569" s="31">
        <f t="shared" ca="1" si="160"/>
        <v>9</v>
      </c>
      <c r="AH569" s="31">
        <f t="shared" ca="1" si="161"/>
        <v>42</v>
      </c>
      <c r="AI569" s="31">
        <f t="shared" ca="1" si="162"/>
        <v>43</v>
      </c>
      <c r="AJ569" s="31">
        <f t="shared" ca="1" si="163"/>
        <v>46</v>
      </c>
      <c r="AK569" s="31">
        <f t="shared" ca="1" si="164"/>
        <v>29</v>
      </c>
      <c r="AL569" s="31">
        <f t="shared" ca="1" si="165"/>
        <v>18</v>
      </c>
      <c r="AM569" s="31">
        <f t="shared" ca="1" si="166"/>
        <v>2</v>
      </c>
    </row>
    <row r="570" spans="14:39">
      <c r="N570" s="26">
        <v>562</v>
      </c>
      <c r="O570" s="30">
        <f t="shared" ca="1" si="172"/>
        <v>27.249326593184833</v>
      </c>
      <c r="P570" s="30">
        <f t="shared" ca="1" si="172"/>
        <v>6.6455868144725789</v>
      </c>
      <c r="Q570" s="30">
        <f t="shared" ca="1" si="172"/>
        <v>6.2245079511687926</v>
      </c>
      <c r="R570" s="30">
        <f t="shared" ca="1" si="172"/>
        <v>12.296734415569416</v>
      </c>
      <c r="S570" s="30">
        <f t="shared" ca="1" si="172"/>
        <v>15.787252544171725</v>
      </c>
      <c r="T570" s="30">
        <f t="shared" ca="1" si="172"/>
        <v>18.379208537756906</v>
      </c>
      <c r="U570" s="30">
        <f t="shared" ca="1" si="172"/>
        <v>22.313244369633747</v>
      </c>
      <c r="V570" s="30">
        <f t="shared" ca="1" si="172"/>
        <v>23.434979002624338</v>
      </c>
      <c r="W570" s="30">
        <f t="shared" ca="1" si="172"/>
        <v>15.303365055608561</v>
      </c>
      <c r="X570" s="30">
        <f t="shared" ca="1" si="172"/>
        <v>13.607818637048885</v>
      </c>
      <c r="Y570" s="30">
        <f t="shared" ca="1" si="172"/>
        <v>3.5942000937719891</v>
      </c>
      <c r="Z570" s="30">
        <f t="shared" ca="1" si="172"/>
        <v>6.38955837726966</v>
      </c>
      <c r="AA570" s="26">
        <v>562</v>
      </c>
      <c r="AB570" s="31">
        <f t="shared" ca="1" si="167"/>
        <v>56</v>
      </c>
      <c r="AC570" s="31">
        <f t="shared" ca="1" si="156"/>
        <v>8</v>
      </c>
      <c r="AD570" s="31">
        <f t="shared" ca="1" si="157"/>
        <v>7</v>
      </c>
      <c r="AE570" s="31">
        <f t="shared" ca="1" si="158"/>
        <v>16</v>
      </c>
      <c r="AF570" s="31">
        <f t="shared" ca="1" si="159"/>
        <v>22</v>
      </c>
      <c r="AG570" s="31">
        <f t="shared" ca="1" si="160"/>
        <v>27</v>
      </c>
      <c r="AH570" s="31">
        <f t="shared" ca="1" si="161"/>
        <v>37</v>
      </c>
      <c r="AI570" s="31">
        <f t="shared" ca="1" si="162"/>
        <v>40</v>
      </c>
      <c r="AJ570" s="31">
        <f t="shared" ca="1" si="163"/>
        <v>21</v>
      </c>
      <c r="AK570" s="31">
        <f t="shared" ca="1" si="164"/>
        <v>18</v>
      </c>
      <c r="AL570" s="31">
        <f t="shared" ca="1" si="165"/>
        <v>4</v>
      </c>
      <c r="AM570" s="31">
        <f t="shared" ca="1" si="166"/>
        <v>7</v>
      </c>
    </row>
    <row r="571" spans="14:39">
      <c r="N571" s="26">
        <v>563</v>
      </c>
      <c r="O571" s="30">
        <f t="shared" ca="1" si="172"/>
        <v>10.621214593778614</v>
      </c>
      <c r="P571" s="30">
        <f t="shared" ca="1" si="172"/>
        <v>17.419622245067153</v>
      </c>
      <c r="Q571" s="30">
        <f t="shared" ca="1" si="172"/>
        <v>6.8064175601276951</v>
      </c>
      <c r="R571" s="30">
        <f t="shared" ca="1" si="172"/>
        <v>33.275958299883072</v>
      </c>
      <c r="S571" s="30">
        <f t="shared" ca="1" si="172"/>
        <v>27.703362587781807</v>
      </c>
      <c r="T571" s="30">
        <f t="shared" ca="1" si="172"/>
        <v>21.301641477072632</v>
      </c>
      <c r="U571" s="30">
        <f t="shared" ca="1" si="172"/>
        <v>25.737406886397732</v>
      </c>
      <c r="V571" s="30">
        <f t="shared" ca="1" si="172"/>
        <v>16.621834644006405</v>
      </c>
      <c r="W571" s="30">
        <f t="shared" ca="1" si="172"/>
        <v>3.097027121690028</v>
      </c>
      <c r="X571" s="30">
        <f t="shared" ca="1" si="172"/>
        <v>28.365953501452935</v>
      </c>
      <c r="Y571" s="30">
        <f t="shared" ca="1" si="172"/>
        <v>28.896097912438027</v>
      </c>
      <c r="Z571" s="30">
        <f t="shared" ca="1" si="172"/>
        <v>24.928686005797683</v>
      </c>
      <c r="AA571" s="26">
        <v>563</v>
      </c>
      <c r="AB571" s="31">
        <f t="shared" ca="1" si="167"/>
        <v>13</v>
      </c>
      <c r="AC571" s="31">
        <f t="shared" ca="1" si="156"/>
        <v>25</v>
      </c>
      <c r="AD571" s="31">
        <f t="shared" ca="1" si="157"/>
        <v>8</v>
      </c>
      <c r="AE571" s="31">
        <f t="shared" ca="1" si="158"/>
        <v>209</v>
      </c>
      <c r="AF571" s="31">
        <f t="shared" ca="1" si="159"/>
        <v>59</v>
      </c>
      <c r="AG571" s="31">
        <f t="shared" ca="1" si="160"/>
        <v>34</v>
      </c>
      <c r="AH571" s="31">
        <f t="shared" ca="1" si="161"/>
        <v>49</v>
      </c>
      <c r="AI571" s="31">
        <f t="shared" ca="1" si="162"/>
        <v>23</v>
      </c>
      <c r="AJ571" s="31">
        <f t="shared" ca="1" si="163"/>
        <v>4</v>
      </c>
      <c r="AK571" s="31">
        <f t="shared" ca="1" si="164"/>
        <v>63</v>
      </c>
      <c r="AL571" s="31">
        <f t="shared" ca="1" si="165"/>
        <v>67</v>
      </c>
      <c r="AM571" s="31">
        <f t="shared" ca="1" si="166"/>
        <v>46</v>
      </c>
    </row>
    <row r="572" spans="14:39">
      <c r="N572" s="26">
        <v>564</v>
      </c>
      <c r="O572" s="30">
        <f t="shared" ca="1" si="172"/>
        <v>32.235328373215062</v>
      </c>
      <c r="P572" s="30">
        <f t="shared" ca="1" si="172"/>
        <v>27.933908926610233</v>
      </c>
      <c r="Q572" s="30">
        <f t="shared" ca="1" si="172"/>
        <v>23.862636944298668</v>
      </c>
      <c r="R572" s="30">
        <f t="shared" ca="1" si="172"/>
        <v>5.9683770352132148</v>
      </c>
      <c r="S572" s="30">
        <f t="shared" ca="1" si="172"/>
        <v>3.3994110484855451</v>
      </c>
      <c r="T572" s="30">
        <f t="shared" ca="1" si="172"/>
        <v>11.454344711339136</v>
      </c>
      <c r="U572" s="30">
        <f t="shared" ca="1" si="172"/>
        <v>33.125174189474045</v>
      </c>
      <c r="V572" s="30">
        <f t="shared" ca="1" si="172"/>
        <v>20.857555702844643</v>
      </c>
      <c r="W572" s="30">
        <f t="shared" ca="1" si="172"/>
        <v>11.526261880300904</v>
      </c>
      <c r="X572" s="30">
        <f t="shared" ca="1" si="172"/>
        <v>19.483254528233434</v>
      </c>
      <c r="Y572" s="30">
        <f t="shared" ca="1" si="172"/>
        <v>3.9905459874802958</v>
      </c>
      <c r="Z572" s="30">
        <f t="shared" ca="1" si="172"/>
        <v>5.0704080136469507</v>
      </c>
      <c r="AA572" s="26">
        <v>564</v>
      </c>
      <c r="AB572" s="31">
        <f t="shared" ca="1" si="167"/>
        <v>113</v>
      </c>
      <c r="AC572" s="31">
        <f t="shared" ca="1" si="156"/>
        <v>60</v>
      </c>
      <c r="AD572" s="31">
        <f t="shared" ca="1" si="157"/>
        <v>42</v>
      </c>
      <c r="AE572" s="31">
        <f t="shared" ca="1" si="158"/>
        <v>7</v>
      </c>
      <c r="AF572" s="31">
        <f t="shared" ca="1" si="159"/>
        <v>4</v>
      </c>
      <c r="AG572" s="31">
        <f t="shared" ca="1" si="160"/>
        <v>14</v>
      </c>
      <c r="AH572" s="31">
        <f t="shared" ca="1" si="161"/>
        <v>167</v>
      </c>
      <c r="AI572" s="31">
        <f t="shared" ca="1" si="162"/>
        <v>33</v>
      </c>
      <c r="AJ572" s="31">
        <f t="shared" ca="1" si="163"/>
        <v>14</v>
      </c>
      <c r="AK572" s="31">
        <f t="shared" ca="1" si="164"/>
        <v>29</v>
      </c>
      <c r="AL572" s="31">
        <f t="shared" ca="1" si="165"/>
        <v>5</v>
      </c>
      <c r="AM572" s="31">
        <f t="shared" ca="1" si="166"/>
        <v>6</v>
      </c>
    </row>
    <row r="573" spans="14:39">
      <c r="N573" s="26">
        <v>565</v>
      </c>
      <c r="O573" s="30">
        <f t="shared" ca="1" si="172"/>
        <v>7.3320905610531018</v>
      </c>
      <c r="P573" s="30">
        <f t="shared" ca="1" si="172"/>
        <v>15.890103231667497</v>
      </c>
      <c r="Q573" s="30">
        <f t="shared" ca="1" si="172"/>
        <v>14.652691059890143</v>
      </c>
      <c r="R573" s="30">
        <f t="shared" ca="1" si="172"/>
        <v>18.050133025329501</v>
      </c>
      <c r="S573" s="30">
        <f t="shared" ca="1" si="172"/>
        <v>6.1128693528859568</v>
      </c>
      <c r="T573" s="30">
        <f t="shared" ca="1" si="172"/>
        <v>27.02292418650029</v>
      </c>
      <c r="U573" s="30">
        <f t="shared" ca="1" si="172"/>
        <v>25.972546958586744</v>
      </c>
      <c r="V573" s="30">
        <f t="shared" ca="1" si="172"/>
        <v>22.185179131582192</v>
      </c>
      <c r="W573" s="30">
        <f t="shared" ca="1" si="172"/>
        <v>28.547850917860156</v>
      </c>
      <c r="X573" s="30">
        <f t="shared" ca="1" si="172"/>
        <v>29.880255025235993</v>
      </c>
      <c r="Y573" s="30">
        <f t="shared" ca="1" si="172"/>
        <v>0.86973086631961616</v>
      </c>
      <c r="Z573" s="30">
        <f t="shared" ca="1" si="172"/>
        <v>12.396065689898949</v>
      </c>
      <c r="AA573" s="26">
        <v>565</v>
      </c>
      <c r="AB573" s="31">
        <f t="shared" ca="1" si="167"/>
        <v>9</v>
      </c>
      <c r="AC573" s="31">
        <f t="shared" ca="1" si="156"/>
        <v>22</v>
      </c>
      <c r="AD573" s="31">
        <f t="shared" ca="1" si="157"/>
        <v>20</v>
      </c>
      <c r="AE573" s="31">
        <f t="shared" ca="1" si="158"/>
        <v>26</v>
      </c>
      <c r="AF573" s="31">
        <f t="shared" ca="1" si="159"/>
        <v>7</v>
      </c>
      <c r="AG573" s="31">
        <f t="shared" ca="1" si="160"/>
        <v>55</v>
      </c>
      <c r="AH573" s="31">
        <f t="shared" ca="1" si="161"/>
        <v>50</v>
      </c>
      <c r="AI573" s="31">
        <f t="shared" ca="1" si="162"/>
        <v>36</v>
      </c>
      <c r="AJ573" s="31">
        <f t="shared" ca="1" si="163"/>
        <v>64</v>
      </c>
      <c r="AK573" s="31">
        <f t="shared" ca="1" si="164"/>
        <v>75</v>
      </c>
      <c r="AL573" s="31">
        <f t="shared" ca="1" si="165"/>
        <v>1</v>
      </c>
      <c r="AM573" s="31">
        <f t="shared" ca="1" si="166"/>
        <v>16</v>
      </c>
    </row>
    <row r="574" spans="14:39">
      <c r="N574" s="26">
        <v>566</v>
      </c>
      <c r="O574" s="30">
        <f t="shared" ca="1" si="172"/>
        <v>23.573265356862464</v>
      </c>
      <c r="P574" s="30">
        <f t="shared" ca="1" si="172"/>
        <v>7.4943455990279979</v>
      </c>
      <c r="Q574" s="30">
        <f t="shared" ca="1" si="172"/>
        <v>14.144066533367376</v>
      </c>
      <c r="R574" s="30">
        <f t="shared" ca="1" si="172"/>
        <v>27.323977822555008</v>
      </c>
      <c r="S574" s="30">
        <f t="shared" ca="1" si="172"/>
        <v>19.747875546116834</v>
      </c>
      <c r="T574" s="30">
        <f t="shared" ca="1" si="172"/>
        <v>24.601696445600705</v>
      </c>
      <c r="U574" s="30">
        <f t="shared" ca="1" si="172"/>
        <v>17.175980668592324</v>
      </c>
      <c r="V574" s="30">
        <f t="shared" ca="1" si="172"/>
        <v>25.006513138500104</v>
      </c>
      <c r="W574" s="30">
        <f t="shared" ca="1" si="172"/>
        <v>30.453882189270139</v>
      </c>
      <c r="X574" s="30">
        <f t="shared" ca="1" si="172"/>
        <v>23.092309763299461</v>
      </c>
      <c r="Y574" s="30">
        <f t="shared" ca="1" si="172"/>
        <v>16.882650244359784</v>
      </c>
      <c r="Z574" s="30">
        <f t="shared" ca="1" si="172"/>
        <v>13.897999471400363</v>
      </c>
      <c r="AA574" s="26">
        <v>566</v>
      </c>
      <c r="AB574" s="31">
        <f t="shared" ca="1" si="167"/>
        <v>41</v>
      </c>
      <c r="AC574" s="31">
        <f t="shared" ca="1" si="156"/>
        <v>9</v>
      </c>
      <c r="AD574" s="31">
        <f t="shared" ca="1" si="157"/>
        <v>19</v>
      </c>
      <c r="AE574" s="31">
        <f t="shared" ca="1" si="158"/>
        <v>57</v>
      </c>
      <c r="AF574" s="31">
        <f t="shared" ca="1" si="159"/>
        <v>30</v>
      </c>
      <c r="AG574" s="31">
        <f t="shared" ca="1" si="160"/>
        <v>44</v>
      </c>
      <c r="AH574" s="31">
        <f t="shared" ca="1" si="161"/>
        <v>24</v>
      </c>
      <c r="AI574" s="31">
        <f t="shared" ca="1" si="162"/>
        <v>46</v>
      </c>
      <c r="AJ574" s="31">
        <f t="shared" ca="1" si="163"/>
        <v>81</v>
      </c>
      <c r="AK574" s="31">
        <f t="shared" ca="1" si="164"/>
        <v>39</v>
      </c>
      <c r="AL574" s="31">
        <f t="shared" ca="1" si="165"/>
        <v>24</v>
      </c>
      <c r="AM574" s="31">
        <f t="shared" ca="1" si="166"/>
        <v>18</v>
      </c>
    </row>
    <row r="575" spans="14:39">
      <c r="N575" s="26">
        <v>567</v>
      </c>
      <c r="O575" s="30">
        <f t="shared" ca="1" si="172"/>
        <v>2.0873720099141657</v>
      </c>
      <c r="P575" s="30">
        <f t="shared" ca="1" si="172"/>
        <v>17.833255525315554</v>
      </c>
      <c r="Q575" s="30">
        <f t="shared" ca="1" si="172"/>
        <v>19.409737881676826</v>
      </c>
      <c r="R575" s="30">
        <f t="shared" ca="1" si="172"/>
        <v>6.6619648653795114</v>
      </c>
      <c r="S575" s="30">
        <f t="shared" ca="1" si="172"/>
        <v>32.459066570255551</v>
      </c>
      <c r="T575" s="30">
        <f t="shared" ca="1" si="172"/>
        <v>20.804856712232674</v>
      </c>
      <c r="U575" s="30">
        <f t="shared" ca="1" si="172"/>
        <v>3.6232165066905107</v>
      </c>
      <c r="V575" s="30">
        <f t="shared" ca="1" si="172"/>
        <v>19.699536832177206</v>
      </c>
      <c r="W575" s="30">
        <f t="shared" ca="1" si="172"/>
        <v>7.7568182775610426</v>
      </c>
      <c r="X575" s="30">
        <f t="shared" ca="1" si="172"/>
        <v>2.7444603191471808</v>
      </c>
      <c r="Y575" s="30">
        <f t="shared" ca="1" si="172"/>
        <v>2.320562475652749</v>
      </c>
      <c r="Z575" s="30">
        <f t="shared" ca="1" si="172"/>
        <v>3.4957172640146577</v>
      </c>
      <c r="AA575" s="26">
        <v>567</v>
      </c>
      <c r="AB575" s="31">
        <f t="shared" ca="1" si="167"/>
        <v>3</v>
      </c>
      <c r="AC575" s="31">
        <f t="shared" ca="1" si="156"/>
        <v>26</v>
      </c>
      <c r="AD575" s="31">
        <f t="shared" ca="1" si="157"/>
        <v>29</v>
      </c>
      <c r="AE575" s="31">
        <f t="shared" ca="1" si="158"/>
        <v>8</v>
      </c>
      <c r="AF575" s="31">
        <f t="shared" ca="1" si="159"/>
        <v>120</v>
      </c>
      <c r="AG575" s="31">
        <f t="shared" ca="1" si="160"/>
        <v>33</v>
      </c>
      <c r="AH575" s="31">
        <f t="shared" ca="1" si="161"/>
        <v>4</v>
      </c>
      <c r="AI575" s="31">
        <f t="shared" ca="1" si="162"/>
        <v>30</v>
      </c>
      <c r="AJ575" s="31">
        <f t="shared" ca="1" si="163"/>
        <v>9</v>
      </c>
      <c r="AK575" s="31">
        <f t="shared" ca="1" si="164"/>
        <v>3</v>
      </c>
      <c r="AL575" s="31">
        <f t="shared" ca="1" si="165"/>
        <v>3</v>
      </c>
      <c r="AM575" s="31">
        <f t="shared" ca="1" si="166"/>
        <v>4</v>
      </c>
    </row>
    <row r="576" spans="14:39">
      <c r="N576" s="26">
        <v>568</v>
      </c>
      <c r="O576" s="30">
        <f t="shared" ca="1" si="172"/>
        <v>27.587329687176084</v>
      </c>
      <c r="P576" s="30">
        <f t="shared" ca="1" si="172"/>
        <v>2.3272072174949119</v>
      </c>
      <c r="Q576" s="30">
        <f t="shared" ca="1" si="172"/>
        <v>14.696411060654823</v>
      </c>
      <c r="R576" s="30">
        <f t="shared" ca="1" si="172"/>
        <v>13.64931223145363</v>
      </c>
      <c r="S576" s="30">
        <f t="shared" ca="1" si="172"/>
        <v>11.970431866762373</v>
      </c>
      <c r="T576" s="30">
        <f t="shared" ca="1" si="172"/>
        <v>8.377642559470404</v>
      </c>
      <c r="U576" s="30">
        <f t="shared" ca="1" si="172"/>
        <v>29.785319969198344</v>
      </c>
      <c r="V576" s="30">
        <f t="shared" ca="1" si="172"/>
        <v>1.5208460071437875</v>
      </c>
      <c r="W576" s="30">
        <f t="shared" ca="1" si="172"/>
        <v>31.332645113373996</v>
      </c>
      <c r="X576" s="30">
        <f t="shared" ca="1" si="172"/>
        <v>5.8745052973893506</v>
      </c>
      <c r="Y576" s="30">
        <f t="shared" ca="1" si="172"/>
        <v>19.600902094544658</v>
      </c>
      <c r="Z576" s="30">
        <f t="shared" ca="1" si="172"/>
        <v>29.927704087510811</v>
      </c>
      <c r="AA576" s="26">
        <v>568</v>
      </c>
      <c r="AB576" s="31">
        <f t="shared" ca="1" si="167"/>
        <v>58</v>
      </c>
      <c r="AC576" s="31">
        <f t="shared" ca="1" si="156"/>
        <v>3</v>
      </c>
      <c r="AD576" s="31">
        <f t="shared" ca="1" si="157"/>
        <v>20</v>
      </c>
      <c r="AE576" s="31">
        <f t="shared" ca="1" si="158"/>
        <v>18</v>
      </c>
      <c r="AF576" s="31">
        <f t="shared" ca="1" si="159"/>
        <v>15</v>
      </c>
      <c r="AG576" s="31">
        <f t="shared" ca="1" si="160"/>
        <v>10</v>
      </c>
      <c r="AH576" s="31">
        <f t="shared" ca="1" si="161"/>
        <v>74</v>
      </c>
      <c r="AI576" s="31">
        <f t="shared" ca="1" si="162"/>
        <v>2</v>
      </c>
      <c r="AJ576" s="31">
        <f t="shared" ca="1" si="163"/>
        <v>93</v>
      </c>
      <c r="AK576" s="31">
        <f t="shared" ca="1" si="164"/>
        <v>7</v>
      </c>
      <c r="AL576" s="31">
        <f t="shared" ca="1" si="165"/>
        <v>30</v>
      </c>
      <c r="AM576" s="31">
        <f t="shared" ca="1" si="166"/>
        <v>75</v>
      </c>
    </row>
    <row r="577" spans="14:39">
      <c r="N577" s="26">
        <v>569</v>
      </c>
      <c r="O577" s="30">
        <f t="shared" ca="1" si="172"/>
        <v>26.22527014796038</v>
      </c>
      <c r="P577" s="30">
        <f t="shared" ca="1" si="172"/>
        <v>12.427609696132759</v>
      </c>
      <c r="Q577" s="30">
        <f t="shared" ca="1" si="172"/>
        <v>10.128565731133165</v>
      </c>
      <c r="R577" s="30">
        <f t="shared" ca="1" si="172"/>
        <v>20.218055536230963</v>
      </c>
      <c r="S577" s="30">
        <f t="shared" ca="1" si="172"/>
        <v>2.3763923278235048</v>
      </c>
      <c r="T577" s="30">
        <f t="shared" ca="1" si="172"/>
        <v>7.69833123499932</v>
      </c>
      <c r="U577" s="30">
        <f t="shared" ca="1" si="172"/>
        <v>9.8716577616806269</v>
      </c>
      <c r="V577" s="30">
        <f t="shared" ca="1" si="172"/>
        <v>22.597680722571024</v>
      </c>
      <c r="W577" s="30">
        <f t="shared" ca="1" si="172"/>
        <v>23.652362717728174</v>
      </c>
      <c r="X577" s="30">
        <f t="shared" ca="1" si="172"/>
        <v>13.08872657363308</v>
      </c>
      <c r="Y577" s="30">
        <f t="shared" ca="1" si="172"/>
        <v>27.116788611863921</v>
      </c>
      <c r="Z577" s="30">
        <f t="shared" ca="1" si="172"/>
        <v>30.152706099026791</v>
      </c>
      <c r="AA577" s="26">
        <v>569</v>
      </c>
      <c r="AB577" s="31">
        <f t="shared" ca="1" si="167"/>
        <v>51</v>
      </c>
      <c r="AC577" s="31">
        <f t="shared" ca="1" si="156"/>
        <v>16</v>
      </c>
      <c r="AD577" s="31">
        <f t="shared" ca="1" si="157"/>
        <v>12</v>
      </c>
      <c r="AE577" s="31">
        <f t="shared" ca="1" si="158"/>
        <v>31</v>
      </c>
      <c r="AF577" s="31">
        <f t="shared" ca="1" si="159"/>
        <v>3</v>
      </c>
      <c r="AG577" s="31">
        <f t="shared" ca="1" si="160"/>
        <v>9</v>
      </c>
      <c r="AH577" s="31">
        <f t="shared" ca="1" si="161"/>
        <v>12</v>
      </c>
      <c r="AI577" s="31">
        <f t="shared" ca="1" si="162"/>
        <v>38</v>
      </c>
      <c r="AJ577" s="31">
        <f t="shared" ca="1" si="163"/>
        <v>41</v>
      </c>
      <c r="AK577" s="31">
        <f t="shared" ca="1" si="164"/>
        <v>17</v>
      </c>
      <c r="AL577" s="31">
        <f t="shared" ca="1" si="165"/>
        <v>56</v>
      </c>
      <c r="AM577" s="31">
        <f t="shared" ca="1" si="166"/>
        <v>78</v>
      </c>
    </row>
    <row r="578" spans="14:39">
      <c r="N578" s="26">
        <v>570</v>
      </c>
      <c r="O578" s="30">
        <f t="shared" ca="1" si="172"/>
        <v>5.8337162758326411</v>
      </c>
      <c r="P578" s="30">
        <f t="shared" ca="1" si="172"/>
        <v>11.769140223737713</v>
      </c>
      <c r="Q578" s="30">
        <f t="shared" ca="1" si="172"/>
        <v>1.0893586707517049</v>
      </c>
      <c r="R578" s="30">
        <f t="shared" ca="1" si="172"/>
        <v>9.8419411374906129</v>
      </c>
      <c r="S578" s="30">
        <f t="shared" ca="1" si="172"/>
        <v>8.7553502738443427</v>
      </c>
      <c r="T578" s="30">
        <f t="shared" ca="1" si="172"/>
        <v>11.480796307308516</v>
      </c>
      <c r="U578" s="30">
        <f t="shared" ca="1" si="172"/>
        <v>12.512572968843696</v>
      </c>
      <c r="V578" s="30">
        <f t="shared" ca="1" si="172"/>
        <v>30.530776508359281</v>
      </c>
      <c r="W578" s="30">
        <f t="shared" ca="1" si="172"/>
        <v>21.070671695544902</v>
      </c>
      <c r="X578" s="30">
        <f t="shared" ca="1" si="172"/>
        <v>12.436117899069725</v>
      </c>
      <c r="Y578" s="30">
        <f t="shared" ca="1" si="172"/>
        <v>23.230229413505615</v>
      </c>
      <c r="Z578" s="30">
        <f t="shared" ca="1" si="172"/>
        <v>1.6416373031222602</v>
      </c>
      <c r="AA578" s="26">
        <v>570</v>
      </c>
      <c r="AB578" s="31">
        <f t="shared" ca="1" si="167"/>
        <v>7</v>
      </c>
      <c r="AC578" s="31">
        <f t="shared" ca="1" si="156"/>
        <v>15</v>
      </c>
      <c r="AD578" s="31">
        <f t="shared" ca="1" si="157"/>
        <v>2</v>
      </c>
      <c r="AE578" s="31">
        <f t="shared" ca="1" si="158"/>
        <v>12</v>
      </c>
      <c r="AF578" s="31">
        <f t="shared" ca="1" si="159"/>
        <v>11</v>
      </c>
      <c r="AG578" s="31">
        <f t="shared" ca="1" si="160"/>
        <v>14</v>
      </c>
      <c r="AH578" s="31">
        <f t="shared" ca="1" si="161"/>
        <v>16</v>
      </c>
      <c r="AI578" s="31">
        <f t="shared" ca="1" si="162"/>
        <v>82</v>
      </c>
      <c r="AJ578" s="31">
        <f t="shared" ca="1" si="163"/>
        <v>33</v>
      </c>
      <c r="AK578" s="31">
        <f t="shared" ca="1" si="164"/>
        <v>16</v>
      </c>
      <c r="AL578" s="31">
        <f t="shared" ca="1" si="165"/>
        <v>40</v>
      </c>
      <c r="AM578" s="31">
        <f t="shared" ca="1" si="166"/>
        <v>2</v>
      </c>
    </row>
    <row r="579" spans="14:39">
      <c r="N579" s="26">
        <v>571</v>
      </c>
      <c r="O579" s="30">
        <f t="shared" ref="O579:Z588" ca="1" si="173">RAND()*sumweights</f>
        <v>11.956886716899842</v>
      </c>
      <c r="P579" s="30">
        <f t="shared" ca="1" si="173"/>
        <v>28.049739322449479</v>
      </c>
      <c r="Q579" s="30">
        <f t="shared" ca="1" si="173"/>
        <v>24.615787302664735</v>
      </c>
      <c r="R579" s="30">
        <f t="shared" ca="1" si="173"/>
        <v>13.280486577768823</v>
      </c>
      <c r="S579" s="30">
        <f t="shared" ca="1" si="173"/>
        <v>10.528589916522682</v>
      </c>
      <c r="T579" s="30">
        <f t="shared" ca="1" si="173"/>
        <v>22.410484476732336</v>
      </c>
      <c r="U579" s="30">
        <f t="shared" ca="1" si="173"/>
        <v>4.2677548962789391</v>
      </c>
      <c r="V579" s="30">
        <f t="shared" ca="1" si="173"/>
        <v>14.076501164082757</v>
      </c>
      <c r="W579" s="30">
        <f t="shared" ca="1" si="173"/>
        <v>15.372029104384533</v>
      </c>
      <c r="X579" s="30">
        <f t="shared" ca="1" si="173"/>
        <v>4.2060519163373105</v>
      </c>
      <c r="Y579" s="30">
        <f t="shared" ca="1" si="173"/>
        <v>20.471559549011992</v>
      </c>
      <c r="Z579" s="30">
        <f t="shared" ca="1" si="173"/>
        <v>20.72474104292235</v>
      </c>
      <c r="AA579" s="26">
        <v>571</v>
      </c>
      <c r="AB579" s="31">
        <f t="shared" ca="1" si="167"/>
        <v>15</v>
      </c>
      <c r="AC579" s="31">
        <f t="shared" ca="1" si="156"/>
        <v>61</v>
      </c>
      <c r="AD579" s="31">
        <f t="shared" ca="1" si="157"/>
        <v>45</v>
      </c>
      <c r="AE579" s="31">
        <f t="shared" ca="1" si="158"/>
        <v>17</v>
      </c>
      <c r="AF579" s="31">
        <f t="shared" ca="1" si="159"/>
        <v>13</v>
      </c>
      <c r="AG579" s="31">
        <f t="shared" ca="1" si="160"/>
        <v>37</v>
      </c>
      <c r="AH579" s="31">
        <f t="shared" ca="1" si="161"/>
        <v>5</v>
      </c>
      <c r="AI579" s="31">
        <f t="shared" ca="1" si="162"/>
        <v>19</v>
      </c>
      <c r="AJ579" s="31">
        <f t="shared" ca="1" si="163"/>
        <v>21</v>
      </c>
      <c r="AK579" s="31">
        <f t="shared" ca="1" si="164"/>
        <v>5</v>
      </c>
      <c r="AL579" s="31">
        <f t="shared" ca="1" si="165"/>
        <v>32</v>
      </c>
      <c r="AM579" s="31">
        <f t="shared" ca="1" si="166"/>
        <v>32</v>
      </c>
    </row>
    <row r="580" spans="14:39">
      <c r="N580" s="26">
        <v>572</v>
      </c>
      <c r="O580" s="30">
        <f t="shared" ca="1" si="173"/>
        <v>26.484449613358564</v>
      </c>
      <c r="P580" s="30">
        <f t="shared" ca="1" si="173"/>
        <v>4.5525822075803415</v>
      </c>
      <c r="Q580" s="30">
        <f t="shared" ca="1" si="173"/>
        <v>31.003614043431217</v>
      </c>
      <c r="R580" s="30">
        <f t="shared" ca="1" si="173"/>
        <v>7.9829998649481579</v>
      </c>
      <c r="S580" s="30">
        <f t="shared" ca="1" si="173"/>
        <v>29.451117359101197</v>
      </c>
      <c r="T580" s="30">
        <f t="shared" ca="1" si="173"/>
        <v>10.780741579437475</v>
      </c>
      <c r="U580" s="30">
        <f t="shared" ca="1" si="173"/>
        <v>27.364335845837367</v>
      </c>
      <c r="V580" s="30">
        <f t="shared" ca="1" si="173"/>
        <v>27.794280106354567</v>
      </c>
      <c r="W580" s="30">
        <f t="shared" ca="1" si="173"/>
        <v>29.662811413418765</v>
      </c>
      <c r="X580" s="30">
        <f t="shared" ca="1" si="173"/>
        <v>32.973392320037505</v>
      </c>
      <c r="Y580" s="30">
        <f t="shared" ca="1" si="173"/>
        <v>24.523758288845141</v>
      </c>
      <c r="Z580" s="30">
        <f t="shared" ca="1" si="173"/>
        <v>22.097336363770889</v>
      </c>
      <c r="AA580" s="26">
        <v>572</v>
      </c>
      <c r="AB580" s="31">
        <f t="shared" ca="1" si="167"/>
        <v>52</v>
      </c>
      <c r="AC580" s="31">
        <f t="shared" ca="1" si="156"/>
        <v>5</v>
      </c>
      <c r="AD580" s="31">
        <f t="shared" ca="1" si="157"/>
        <v>88</v>
      </c>
      <c r="AE580" s="31">
        <f t="shared" ca="1" si="158"/>
        <v>9</v>
      </c>
      <c r="AF580" s="31">
        <f t="shared" ca="1" si="159"/>
        <v>71</v>
      </c>
      <c r="AG580" s="31">
        <f t="shared" ca="1" si="160"/>
        <v>13</v>
      </c>
      <c r="AH580" s="31">
        <f t="shared" ca="1" si="161"/>
        <v>57</v>
      </c>
      <c r="AI580" s="31">
        <f t="shared" ca="1" si="162"/>
        <v>59</v>
      </c>
      <c r="AJ580" s="31">
        <f t="shared" ca="1" si="163"/>
        <v>73</v>
      </c>
      <c r="AK580" s="31">
        <f t="shared" ca="1" si="164"/>
        <v>149</v>
      </c>
      <c r="AL580" s="31">
        <f t="shared" ca="1" si="165"/>
        <v>44</v>
      </c>
      <c r="AM580" s="31">
        <f t="shared" ca="1" si="166"/>
        <v>36</v>
      </c>
    </row>
    <row r="581" spans="14:39">
      <c r="N581" s="26">
        <v>573</v>
      </c>
      <c r="O581" s="30">
        <f t="shared" ca="1" si="173"/>
        <v>3.6903460383569535</v>
      </c>
      <c r="P581" s="30">
        <f t="shared" ca="1" si="173"/>
        <v>9.7297953253974594</v>
      </c>
      <c r="Q581" s="30">
        <f t="shared" ca="1" si="173"/>
        <v>0.89662623917564899</v>
      </c>
      <c r="R581" s="30">
        <f t="shared" ca="1" si="173"/>
        <v>31.630783913535286</v>
      </c>
      <c r="S581" s="30">
        <f t="shared" ca="1" si="173"/>
        <v>31.352268556630303</v>
      </c>
      <c r="T581" s="30">
        <f t="shared" ca="1" si="173"/>
        <v>21.875453936055639</v>
      </c>
      <c r="U581" s="30">
        <f t="shared" ca="1" si="173"/>
        <v>4.6969356149871473</v>
      </c>
      <c r="V581" s="30">
        <f t="shared" ca="1" si="173"/>
        <v>23.738374243210444</v>
      </c>
      <c r="W581" s="30">
        <f t="shared" ca="1" si="173"/>
        <v>25.69243820569455</v>
      </c>
      <c r="X581" s="30">
        <f t="shared" ca="1" si="173"/>
        <v>6.5014421370707334</v>
      </c>
      <c r="Y581" s="30">
        <f t="shared" ca="1" si="173"/>
        <v>12.391992655942456</v>
      </c>
      <c r="Z581" s="30">
        <f t="shared" ca="1" si="173"/>
        <v>22.429447682132917</v>
      </c>
      <c r="AA581" s="26">
        <v>573</v>
      </c>
      <c r="AB581" s="31">
        <f t="shared" ca="1" si="167"/>
        <v>4</v>
      </c>
      <c r="AC581" s="31">
        <f t="shared" ca="1" si="156"/>
        <v>12</v>
      </c>
      <c r="AD581" s="31">
        <f t="shared" ca="1" si="157"/>
        <v>1</v>
      </c>
      <c r="AE581" s="31">
        <f t="shared" ca="1" si="158"/>
        <v>98</v>
      </c>
      <c r="AF581" s="31">
        <f t="shared" ca="1" si="159"/>
        <v>93</v>
      </c>
      <c r="AG581" s="31">
        <f t="shared" ca="1" si="160"/>
        <v>36</v>
      </c>
      <c r="AH581" s="31">
        <f t="shared" ca="1" si="161"/>
        <v>5</v>
      </c>
      <c r="AI581" s="31">
        <f t="shared" ca="1" si="162"/>
        <v>41</v>
      </c>
      <c r="AJ581" s="31">
        <f t="shared" ca="1" si="163"/>
        <v>49</v>
      </c>
      <c r="AK581" s="31">
        <f t="shared" ca="1" si="164"/>
        <v>8</v>
      </c>
      <c r="AL581" s="31">
        <f t="shared" ca="1" si="165"/>
        <v>16</v>
      </c>
      <c r="AM581" s="31">
        <f t="shared" ca="1" si="166"/>
        <v>37</v>
      </c>
    </row>
    <row r="582" spans="14:39">
      <c r="N582" s="26">
        <v>574</v>
      </c>
      <c r="O582" s="30">
        <f t="shared" ca="1" si="173"/>
        <v>13.47896705388659</v>
      </c>
      <c r="P582" s="30">
        <f t="shared" ca="1" si="173"/>
        <v>10.411135272975864</v>
      </c>
      <c r="Q582" s="30">
        <f t="shared" ca="1" si="173"/>
        <v>17.987638876571161</v>
      </c>
      <c r="R582" s="30">
        <f t="shared" ca="1" si="173"/>
        <v>10.3592400230762</v>
      </c>
      <c r="S582" s="30">
        <f t="shared" ca="1" si="173"/>
        <v>32.474288462698624</v>
      </c>
      <c r="T582" s="30">
        <f t="shared" ca="1" si="173"/>
        <v>28.10300916276999</v>
      </c>
      <c r="U582" s="30">
        <f t="shared" ca="1" si="173"/>
        <v>10.009815633025848</v>
      </c>
      <c r="V582" s="30">
        <f t="shared" ca="1" si="173"/>
        <v>12.373565316633838</v>
      </c>
      <c r="W582" s="30">
        <f t="shared" ca="1" si="173"/>
        <v>12.504230829865405</v>
      </c>
      <c r="X582" s="30">
        <f t="shared" ca="1" si="173"/>
        <v>5.2130159514109575</v>
      </c>
      <c r="Y582" s="30">
        <f t="shared" ca="1" si="173"/>
        <v>14.304604609258954</v>
      </c>
      <c r="Z582" s="30">
        <f t="shared" ca="1" si="173"/>
        <v>1.6324149415367621</v>
      </c>
      <c r="AA582" s="26">
        <v>574</v>
      </c>
      <c r="AB582" s="31">
        <f t="shared" ca="1" si="167"/>
        <v>18</v>
      </c>
      <c r="AC582" s="31">
        <f t="shared" ca="1" si="156"/>
        <v>13</v>
      </c>
      <c r="AD582" s="31">
        <f t="shared" ca="1" si="157"/>
        <v>26</v>
      </c>
      <c r="AE582" s="31">
        <f t="shared" ca="1" si="158"/>
        <v>13</v>
      </c>
      <c r="AF582" s="31">
        <f t="shared" ca="1" si="159"/>
        <v>121</v>
      </c>
      <c r="AG582" s="31">
        <f t="shared" ca="1" si="160"/>
        <v>61</v>
      </c>
      <c r="AH582" s="31">
        <f t="shared" ca="1" si="161"/>
        <v>12</v>
      </c>
      <c r="AI582" s="31">
        <f t="shared" ca="1" si="162"/>
        <v>16</v>
      </c>
      <c r="AJ582" s="31">
        <f t="shared" ca="1" si="163"/>
        <v>16</v>
      </c>
      <c r="AK582" s="31">
        <f t="shared" ca="1" si="164"/>
        <v>6</v>
      </c>
      <c r="AL582" s="31">
        <f t="shared" ca="1" si="165"/>
        <v>19</v>
      </c>
      <c r="AM582" s="31">
        <f t="shared" ca="1" si="166"/>
        <v>2</v>
      </c>
    </row>
    <row r="583" spans="14:39">
      <c r="N583" s="26">
        <v>575</v>
      </c>
      <c r="O583" s="30">
        <f t="shared" ca="1" si="173"/>
        <v>16.146840369430709</v>
      </c>
      <c r="P583" s="30">
        <f t="shared" ca="1" si="173"/>
        <v>31.660622412226797</v>
      </c>
      <c r="Q583" s="30">
        <f t="shared" ca="1" si="173"/>
        <v>31.62799225489367</v>
      </c>
      <c r="R583" s="30">
        <f t="shared" ca="1" si="173"/>
        <v>32.821750459899285</v>
      </c>
      <c r="S583" s="30">
        <f t="shared" ca="1" si="173"/>
        <v>15.871787252645518</v>
      </c>
      <c r="T583" s="30">
        <f t="shared" ca="1" si="173"/>
        <v>4.7085339405017981E-2</v>
      </c>
      <c r="U583" s="30">
        <f t="shared" ca="1" si="173"/>
        <v>22.545657345183105</v>
      </c>
      <c r="V583" s="30">
        <f t="shared" ca="1" si="173"/>
        <v>23.54551474335647</v>
      </c>
      <c r="W583" s="30">
        <f t="shared" ca="1" si="173"/>
        <v>30.657802194763359</v>
      </c>
      <c r="X583" s="30">
        <f t="shared" ca="1" si="173"/>
        <v>28.869726561042846</v>
      </c>
      <c r="Y583" s="30">
        <f t="shared" ca="1" si="173"/>
        <v>10.071404545094051</v>
      </c>
      <c r="Z583" s="30">
        <f t="shared" ca="1" si="173"/>
        <v>13.212425341123421</v>
      </c>
      <c r="AA583" s="26">
        <v>575</v>
      </c>
      <c r="AB583" s="31">
        <f t="shared" ca="1" si="167"/>
        <v>22</v>
      </c>
      <c r="AC583" s="31">
        <f t="shared" ca="1" si="156"/>
        <v>99</v>
      </c>
      <c r="AD583" s="31">
        <f t="shared" ca="1" si="157"/>
        <v>98</v>
      </c>
      <c r="AE583" s="31">
        <f t="shared" ca="1" si="158"/>
        <v>138</v>
      </c>
      <c r="AF583" s="31">
        <f t="shared" ca="1" si="159"/>
        <v>22</v>
      </c>
      <c r="AG583" s="31">
        <f t="shared" ca="1" si="160"/>
        <v>1</v>
      </c>
      <c r="AH583" s="31">
        <f t="shared" ca="1" si="161"/>
        <v>38</v>
      </c>
      <c r="AI583" s="31">
        <f t="shared" ca="1" si="162"/>
        <v>41</v>
      </c>
      <c r="AJ583" s="31">
        <f t="shared" ca="1" si="163"/>
        <v>83</v>
      </c>
      <c r="AK583" s="31">
        <f t="shared" ca="1" si="164"/>
        <v>67</v>
      </c>
      <c r="AL583" s="31">
        <f t="shared" ca="1" si="165"/>
        <v>12</v>
      </c>
      <c r="AM583" s="31">
        <f t="shared" ca="1" si="166"/>
        <v>17</v>
      </c>
    </row>
    <row r="584" spans="14:39">
      <c r="N584" s="26">
        <v>576</v>
      </c>
      <c r="O584" s="30">
        <f t="shared" ca="1" si="173"/>
        <v>10.165634796152212</v>
      </c>
      <c r="P584" s="30">
        <f t="shared" ca="1" si="173"/>
        <v>16.233479960426521</v>
      </c>
      <c r="Q584" s="30">
        <f t="shared" ca="1" si="173"/>
        <v>0.68161455282704386</v>
      </c>
      <c r="R584" s="30">
        <f t="shared" ca="1" si="173"/>
        <v>3.5989179511513449</v>
      </c>
      <c r="S584" s="30">
        <f t="shared" ca="1" si="173"/>
        <v>14.495471507908439</v>
      </c>
      <c r="T584" s="30">
        <f t="shared" ca="1" si="173"/>
        <v>6.4825992945224273</v>
      </c>
      <c r="U584" s="30">
        <f t="shared" ca="1" si="173"/>
        <v>4.4957266363286603</v>
      </c>
      <c r="V584" s="30">
        <f t="shared" ca="1" si="173"/>
        <v>8.1660604102379235</v>
      </c>
      <c r="W584" s="30">
        <f t="shared" ca="1" si="173"/>
        <v>21.617213587207978</v>
      </c>
      <c r="X584" s="30">
        <f t="shared" ca="1" si="173"/>
        <v>28.536583821171448</v>
      </c>
      <c r="Y584" s="30">
        <f t="shared" ca="1" si="173"/>
        <v>7.2629957045444407</v>
      </c>
      <c r="Z584" s="30">
        <f t="shared" ca="1" si="173"/>
        <v>32.621666389241071</v>
      </c>
      <c r="AA584" s="26">
        <v>576</v>
      </c>
      <c r="AB584" s="31">
        <f t="shared" ca="1" si="167"/>
        <v>12</v>
      </c>
      <c r="AC584" s="31">
        <f t="shared" ca="1" si="156"/>
        <v>22</v>
      </c>
      <c r="AD584" s="31">
        <f t="shared" ca="1" si="157"/>
        <v>1</v>
      </c>
      <c r="AE584" s="31">
        <f t="shared" ca="1" si="158"/>
        <v>4</v>
      </c>
      <c r="AF584" s="31">
        <f t="shared" ca="1" si="159"/>
        <v>19</v>
      </c>
      <c r="AG584" s="31">
        <f t="shared" ca="1" si="160"/>
        <v>8</v>
      </c>
      <c r="AH584" s="31">
        <f t="shared" ca="1" si="161"/>
        <v>5</v>
      </c>
      <c r="AI584" s="31">
        <f t="shared" ca="1" si="162"/>
        <v>10</v>
      </c>
      <c r="AJ584" s="31">
        <f t="shared" ca="1" si="163"/>
        <v>35</v>
      </c>
      <c r="AK584" s="31">
        <f t="shared" ca="1" si="164"/>
        <v>64</v>
      </c>
      <c r="AL584" s="31">
        <f t="shared" ca="1" si="165"/>
        <v>9</v>
      </c>
      <c r="AM584" s="31">
        <f t="shared" ca="1" si="166"/>
        <v>127</v>
      </c>
    </row>
    <row r="585" spans="14:39">
      <c r="N585" s="26">
        <v>577</v>
      </c>
      <c r="O585" s="30">
        <f t="shared" ca="1" si="173"/>
        <v>12.286393150875178</v>
      </c>
      <c r="P585" s="30">
        <f t="shared" ca="1" si="173"/>
        <v>1.0123811497391013</v>
      </c>
      <c r="Q585" s="30">
        <f t="shared" ca="1" si="173"/>
        <v>28.777072301253916</v>
      </c>
      <c r="R585" s="30">
        <f t="shared" ca="1" si="173"/>
        <v>1.1242725388861226</v>
      </c>
      <c r="S585" s="30">
        <f t="shared" ca="1" si="173"/>
        <v>3.7859548915241534</v>
      </c>
      <c r="T585" s="30">
        <f t="shared" ca="1" si="173"/>
        <v>17.716515785749088</v>
      </c>
      <c r="U585" s="30">
        <f t="shared" ca="1" si="173"/>
        <v>21.786805747293833</v>
      </c>
      <c r="V585" s="30">
        <f t="shared" ca="1" si="173"/>
        <v>15.313593918994684</v>
      </c>
      <c r="W585" s="30">
        <f t="shared" ca="1" si="173"/>
        <v>23.970219071904346</v>
      </c>
      <c r="X585" s="30">
        <f t="shared" ca="1" si="173"/>
        <v>30.626294272261806</v>
      </c>
      <c r="Y585" s="30">
        <f t="shared" ca="1" si="173"/>
        <v>25.281942783865048</v>
      </c>
      <c r="Z585" s="30">
        <f t="shared" ca="1" si="173"/>
        <v>5.3695528139260942</v>
      </c>
      <c r="AA585" s="26">
        <v>577</v>
      </c>
      <c r="AB585" s="31">
        <f t="shared" ca="1" si="167"/>
        <v>16</v>
      </c>
      <c r="AC585" s="31">
        <f t="shared" ref="AC585:AC648" ca="1" si="174">MATCH(P585,cum_wt,1)</f>
        <v>2</v>
      </c>
      <c r="AD585" s="31">
        <f t="shared" ref="AD585:AD648" ca="1" si="175">MATCH(Q585,cum_wt,1)</f>
        <v>66</v>
      </c>
      <c r="AE585" s="31">
        <f t="shared" ref="AE585:AE648" ca="1" si="176">MATCH(R585,cum_wt,1)</f>
        <v>2</v>
      </c>
      <c r="AF585" s="31">
        <f t="shared" ref="AF585:AF648" ca="1" si="177">MATCH(S585,cum_wt,1)</f>
        <v>4</v>
      </c>
      <c r="AG585" s="31">
        <f t="shared" ref="AG585:AG648" ca="1" si="178">MATCH(T585,cum_wt,1)</f>
        <v>25</v>
      </c>
      <c r="AH585" s="31">
        <f t="shared" ref="AH585:AH648" ca="1" si="179">MATCH(U585,cum_wt,1)</f>
        <v>35</v>
      </c>
      <c r="AI585" s="31">
        <f t="shared" ref="AI585:AI648" ca="1" si="180">MATCH(V585,cum_wt,1)</f>
        <v>21</v>
      </c>
      <c r="AJ585" s="31">
        <f t="shared" ref="AJ585:AJ648" ca="1" si="181">MATCH(W585,cum_wt,1)</f>
        <v>42</v>
      </c>
      <c r="AK585" s="31">
        <f t="shared" ref="AK585:AK648" ca="1" si="182">MATCH(X585,cum_wt,1)</f>
        <v>83</v>
      </c>
      <c r="AL585" s="31">
        <f t="shared" ref="AL585:AL648" ca="1" si="183">MATCH(Y585,cum_wt,1)</f>
        <v>47</v>
      </c>
      <c r="AM585" s="31">
        <f t="shared" ref="AM585:AM648" ca="1" si="184">MATCH(Z585,cum_wt,1)</f>
        <v>6</v>
      </c>
    </row>
    <row r="586" spans="14:39">
      <c r="N586" s="26">
        <v>578</v>
      </c>
      <c r="O586" s="30">
        <f t="shared" ca="1" si="173"/>
        <v>0.12309742139023569</v>
      </c>
      <c r="P586" s="30">
        <f t="shared" ca="1" si="173"/>
        <v>25.662575786477269</v>
      </c>
      <c r="Q586" s="30">
        <f t="shared" ca="1" si="173"/>
        <v>17.184417325401693</v>
      </c>
      <c r="R586" s="30">
        <f t="shared" ca="1" si="173"/>
        <v>6.4601905635295873</v>
      </c>
      <c r="S586" s="30">
        <f t="shared" ca="1" si="173"/>
        <v>32.754400584442465</v>
      </c>
      <c r="T586" s="30">
        <f t="shared" ca="1" si="173"/>
        <v>24.542360155544571</v>
      </c>
      <c r="U586" s="30">
        <f t="shared" ca="1" si="173"/>
        <v>3.6082367150547054</v>
      </c>
      <c r="V586" s="30">
        <f t="shared" ca="1" si="173"/>
        <v>16.15340872232418</v>
      </c>
      <c r="W586" s="30">
        <f t="shared" ca="1" si="173"/>
        <v>27.875221223243102</v>
      </c>
      <c r="X586" s="30">
        <f t="shared" ca="1" si="173"/>
        <v>19.471608491284517</v>
      </c>
      <c r="Y586" s="30">
        <f t="shared" ca="1" si="173"/>
        <v>18.556496884567402</v>
      </c>
      <c r="Z586" s="30">
        <f t="shared" ca="1" si="173"/>
        <v>31.416511332905028</v>
      </c>
      <c r="AA586" s="26">
        <v>578</v>
      </c>
      <c r="AB586" s="31">
        <f t="shared" ref="AB586:AB649" ca="1" si="185">MATCH(O586,cum_wt,1)</f>
        <v>1</v>
      </c>
      <c r="AC586" s="31">
        <f t="shared" ca="1" si="174"/>
        <v>49</v>
      </c>
      <c r="AD586" s="31">
        <f t="shared" ca="1" si="175"/>
        <v>24</v>
      </c>
      <c r="AE586" s="31">
        <f t="shared" ca="1" si="176"/>
        <v>8</v>
      </c>
      <c r="AF586" s="31">
        <f t="shared" ca="1" si="177"/>
        <v>134</v>
      </c>
      <c r="AG586" s="31">
        <f t="shared" ca="1" si="178"/>
        <v>44</v>
      </c>
      <c r="AH586" s="31">
        <f t="shared" ca="1" si="179"/>
        <v>4</v>
      </c>
      <c r="AI586" s="31">
        <f t="shared" ca="1" si="180"/>
        <v>22</v>
      </c>
      <c r="AJ586" s="31">
        <f t="shared" ca="1" si="181"/>
        <v>60</v>
      </c>
      <c r="AK586" s="31">
        <f t="shared" ca="1" si="182"/>
        <v>29</v>
      </c>
      <c r="AL586" s="31">
        <f t="shared" ca="1" si="183"/>
        <v>27</v>
      </c>
      <c r="AM586" s="31">
        <f t="shared" ca="1" si="184"/>
        <v>94</v>
      </c>
    </row>
    <row r="587" spans="14:39">
      <c r="N587" s="26">
        <v>579</v>
      </c>
      <c r="O587" s="30">
        <f t="shared" ca="1" si="173"/>
        <v>17.470639968247177</v>
      </c>
      <c r="P587" s="30">
        <f t="shared" ca="1" si="173"/>
        <v>25.730943730165681</v>
      </c>
      <c r="Q587" s="30">
        <f t="shared" ca="1" si="173"/>
        <v>0.40643449670722931</v>
      </c>
      <c r="R587" s="30">
        <f t="shared" ca="1" si="173"/>
        <v>33.062484473769658</v>
      </c>
      <c r="S587" s="30">
        <f t="shared" ca="1" si="173"/>
        <v>18.488876125338713</v>
      </c>
      <c r="T587" s="30">
        <f t="shared" ca="1" si="173"/>
        <v>11.742217412737409</v>
      </c>
      <c r="U587" s="30">
        <f t="shared" ca="1" si="173"/>
        <v>12.661097256083037</v>
      </c>
      <c r="V587" s="30">
        <f t="shared" ca="1" si="173"/>
        <v>21.760533943013648</v>
      </c>
      <c r="W587" s="30">
        <f t="shared" ca="1" si="173"/>
        <v>6.826970746641849</v>
      </c>
      <c r="X587" s="30">
        <f t="shared" ca="1" si="173"/>
        <v>28.507713433130498</v>
      </c>
      <c r="Y587" s="30">
        <f t="shared" ca="1" si="173"/>
        <v>12.691779990136649</v>
      </c>
      <c r="Z587" s="30">
        <f t="shared" ca="1" si="173"/>
        <v>21.943894153865838</v>
      </c>
      <c r="AA587" s="26">
        <v>579</v>
      </c>
      <c r="AB587" s="31">
        <f t="shared" ca="1" si="185"/>
        <v>25</v>
      </c>
      <c r="AC587" s="31">
        <f t="shared" ca="1" si="174"/>
        <v>49</v>
      </c>
      <c r="AD587" s="31">
        <f t="shared" ca="1" si="175"/>
        <v>1</v>
      </c>
      <c r="AE587" s="31">
        <f t="shared" ca="1" si="176"/>
        <v>159</v>
      </c>
      <c r="AF587" s="31">
        <f t="shared" ca="1" si="177"/>
        <v>27</v>
      </c>
      <c r="AG587" s="31">
        <f t="shared" ca="1" si="178"/>
        <v>15</v>
      </c>
      <c r="AH587" s="31">
        <f t="shared" ca="1" si="179"/>
        <v>16</v>
      </c>
      <c r="AI587" s="31">
        <f t="shared" ca="1" si="180"/>
        <v>35</v>
      </c>
      <c r="AJ587" s="31">
        <f t="shared" ca="1" si="181"/>
        <v>8</v>
      </c>
      <c r="AK587" s="31">
        <f t="shared" ca="1" si="182"/>
        <v>64</v>
      </c>
      <c r="AL587" s="31">
        <f t="shared" ca="1" si="183"/>
        <v>16</v>
      </c>
      <c r="AM587" s="31">
        <f t="shared" ca="1" si="184"/>
        <v>36</v>
      </c>
    </row>
    <row r="588" spans="14:39">
      <c r="N588" s="26">
        <v>580</v>
      </c>
      <c r="O588" s="30">
        <f t="shared" ca="1" si="173"/>
        <v>16.535120171717832</v>
      </c>
      <c r="P588" s="30">
        <f t="shared" ca="1" si="173"/>
        <v>10.40995888850885</v>
      </c>
      <c r="Q588" s="30">
        <f t="shared" ca="1" si="173"/>
        <v>4.5831383670359394</v>
      </c>
      <c r="R588" s="30">
        <f t="shared" ca="1" si="173"/>
        <v>30.601568338316333</v>
      </c>
      <c r="S588" s="30">
        <f t="shared" ca="1" si="173"/>
        <v>23.437888721622421</v>
      </c>
      <c r="T588" s="30">
        <f t="shared" ca="1" si="173"/>
        <v>33.190599472985006</v>
      </c>
      <c r="U588" s="30">
        <f t="shared" ca="1" si="173"/>
        <v>6.6255637262912979</v>
      </c>
      <c r="V588" s="30">
        <f t="shared" ca="1" si="173"/>
        <v>10.569808120002167</v>
      </c>
      <c r="W588" s="30">
        <f t="shared" ca="1" si="173"/>
        <v>3.7526866172859035</v>
      </c>
      <c r="X588" s="30">
        <f t="shared" ca="1" si="173"/>
        <v>19.572639829004682</v>
      </c>
      <c r="Y588" s="30">
        <f t="shared" ca="1" si="173"/>
        <v>28.642249931596041</v>
      </c>
      <c r="Z588" s="30">
        <f t="shared" ca="1" si="173"/>
        <v>31.462202345006833</v>
      </c>
      <c r="AA588" s="26">
        <v>580</v>
      </c>
      <c r="AB588" s="31">
        <f t="shared" ca="1" si="185"/>
        <v>23</v>
      </c>
      <c r="AC588" s="31">
        <f t="shared" ca="1" si="174"/>
        <v>13</v>
      </c>
      <c r="AD588" s="31">
        <f t="shared" ca="1" si="175"/>
        <v>5</v>
      </c>
      <c r="AE588" s="31">
        <f t="shared" ca="1" si="176"/>
        <v>83</v>
      </c>
      <c r="AF588" s="31">
        <f t="shared" ca="1" si="177"/>
        <v>40</v>
      </c>
      <c r="AG588" s="31">
        <f t="shared" ca="1" si="178"/>
        <v>180</v>
      </c>
      <c r="AH588" s="31">
        <f t="shared" ca="1" si="179"/>
        <v>8</v>
      </c>
      <c r="AI588" s="31">
        <f t="shared" ca="1" si="180"/>
        <v>13</v>
      </c>
      <c r="AJ588" s="31">
        <f t="shared" ca="1" si="181"/>
        <v>4</v>
      </c>
      <c r="AK588" s="31">
        <f t="shared" ca="1" si="182"/>
        <v>30</v>
      </c>
      <c r="AL588" s="31">
        <f t="shared" ca="1" si="183"/>
        <v>65</v>
      </c>
      <c r="AM588" s="31">
        <f t="shared" ca="1" si="184"/>
        <v>95</v>
      </c>
    </row>
    <row r="589" spans="14:39">
      <c r="N589" s="26">
        <v>581</v>
      </c>
      <c r="O589" s="30">
        <f t="shared" ref="O589:Z598" ca="1" si="186">RAND()*sumweights</f>
        <v>0.66927030044202374</v>
      </c>
      <c r="P589" s="30">
        <f t="shared" ca="1" si="186"/>
        <v>20.739060736643371</v>
      </c>
      <c r="Q589" s="30">
        <f t="shared" ca="1" si="186"/>
        <v>27.49356362453749</v>
      </c>
      <c r="R589" s="30">
        <f t="shared" ca="1" si="186"/>
        <v>7.8516638733855775</v>
      </c>
      <c r="S589" s="30">
        <f t="shared" ca="1" si="186"/>
        <v>24.93028152850173</v>
      </c>
      <c r="T589" s="30">
        <f t="shared" ca="1" si="186"/>
        <v>0.44179294547385728</v>
      </c>
      <c r="U589" s="30">
        <f t="shared" ca="1" si="186"/>
        <v>29.788089463068225</v>
      </c>
      <c r="V589" s="30">
        <f t="shared" ca="1" si="186"/>
        <v>3.2906753519047673</v>
      </c>
      <c r="W589" s="30">
        <f t="shared" ca="1" si="186"/>
        <v>31.601278387261743</v>
      </c>
      <c r="X589" s="30">
        <f t="shared" ca="1" si="186"/>
        <v>18.942182694148023</v>
      </c>
      <c r="Y589" s="30">
        <f t="shared" ca="1" si="186"/>
        <v>6.9198715899079639</v>
      </c>
      <c r="Z589" s="30">
        <f t="shared" ca="1" si="186"/>
        <v>10.822829227912679</v>
      </c>
      <c r="AA589" s="26">
        <v>581</v>
      </c>
      <c r="AB589" s="31">
        <f t="shared" ca="1" si="185"/>
        <v>1</v>
      </c>
      <c r="AC589" s="31">
        <f t="shared" ca="1" si="174"/>
        <v>32</v>
      </c>
      <c r="AD589" s="31">
        <f t="shared" ca="1" si="175"/>
        <v>58</v>
      </c>
      <c r="AE589" s="31">
        <f t="shared" ca="1" si="176"/>
        <v>9</v>
      </c>
      <c r="AF589" s="31">
        <f t="shared" ca="1" si="177"/>
        <v>46</v>
      </c>
      <c r="AG589" s="31">
        <f t="shared" ca="1" si="178"/>
        <v>1</v>
      </c>
      <c r="AH589" s="31">
        <f t="shared" ca="1" si="179"/>
        <v>74</v>
      </c>
      <c r="AI589" s="31">
        <f t="shared" ca="1" si="180"/>
        <v>4</v>
      </c>
      <c r="AJ589" s="31">
        <f t="shared" ca="1" si="181"/>
        <v>98</v>
      </c>
      <c r="AK589" s="31">
        <f t="shared" ca="1" si="182"/>
        <v>28</v>
      </c>
      <c r="AL589" s="31">
        <f t="shared" ca="1" si="183"/>
        <v>8</v>
      </c>
      <c r="AM589" s="31">
        <f t="shared" ca="1" si="184"/>
        <v>13</v>
      </c>
    </row>
    <row r="590" spans="14:39">
      <c r="N590" s="26">
        <v>582</v>
      </c>
      <c r="O590" s="30">
        <f t="shared" ca="1" si="186"/>
        <v>25.469175349800338</v>
      </c>
      <c r="P590" s="30">
        <f t="shared" ca="1" si="186"/>
        <v>32.351639180751192</v>
      </c>
      <c r="Q590" s="30">
        <f t="shared" ca="1" si="186"/>
        <v>32.00543796293195</v>
      </c>
      <c r="R590" s="30">
        <f t="shared" ca="1" si="186"/>
        <v>17.519106044384266</v>
      </c>
      <c r="S590" s="30">
        <f t="shared" ca="1" si="186"/>
        <v>16.040547137753709</v>
      </c>
      <c r="T590" s="30">
        <f t="shared" ca="1" si="186"/>
        <v>4.2327788105048993</v>
      </c>
      <c r="U590" s="30">
        <f t="shared" ca="1" si="186"/>
        <v>15.624528950024192</v>
      </c>
      <c r="V590" s="30">
        <f t="shared" ca="1" si="186"/>
        <v>25.04476311162723</v>
      </c>
      <c r="W590" s="30">
        <f t="shared" ca="1" si="186"/>
        <v>23.192144672959667</v>
      </c>
      <c r="X590" s="30">
        <f t="shared" ca="1" si="186"/>
        <v>8.4317227666570158</v>
      </c>
      <c r="Y590" s="30">
        <f t="shared" ca="1" si="186"/>
        <v>5.3596426489917164</v>
      </c>
      <c r="Z590" s="30">
        <f t="shared" ca="1" si="186"/>
        <v>4.4054013614972183</v>
      </c>
      <c r="AA590" s="26">
        <v>582</v>
      </c>
      <c r="AB590" s="31">
        <f t="shared" ca="1" si="185"/>
        <v>48</v>
      </c>
      <c r="AC590" s="31">
        <f t="shared" ca="1" si="174"/>
        <v>116</v>
      </c>
      <c r="AD590" s="31">
        <f t="shared" ca="1" si="175"/>
        <v>106</v>
      </c>
      <c r="AE590" s="31">
        <f t="shared" ca="1" si="176"/>
        <v>25</v>
      </c>
      <c r="AF590" s="31">
        <f t="shared" ca="1" si="177"/>
        <v>22</v>
      </c>
      <c r="AG590" s="31">
        <f t="shared" ca="1" si="178"/>
        <v>5</v>
      </c>
      <c r="AH590" s="31">
        <f t="shared" ca="1" si="179"/>
        <v>21</v>
      </c>
      <c r="AI590" s="31">
        <f t="shared" ca="1" si="180"/>
        <v>46</v>
      </c>
      <c r="AJ590" s="31">
        <f t="shared" ca="1" si="181"/>
        <v>40</v>
      </c>
      <c r="AK590" s="31">
        <f t="shared" ca="1" si="182"/>
        <v>10</v>
      </c>
      <c r="AL590" s="31">
        <f t="shared" ca="1" si="183"/>
        <v>6</v>
      </c>
      <c r="AM590" s="31">
        <f t="shared" ca="1" si="184"/>
        <v>5</v>
      </c>
    </row>
    <row r="591" spans="14:39">
      <c r="N591" s="26">
        <v>583</v>
      </c>
      <c r="O591" s="30">
        <f t="shared" ca="1" si="186"/>
        <v>17.962040061917314</v>
      </c>
      <c r="P591" s="30">
        <f t="shared" ca="1" si="186"/>
        <v>18.178271620922754</v>
      </c>
      <c r="Q591" s="30">
        <f t="shared" ca="1" si="186"/>
        <v>0.49426068652359051</v>
      </c>
      <c r="R591" s="30">
        <f t="shared" ca="1" si="186"/>
        <v>20.800899994904487</v>
      </c>
      <c r="S591" s="30">
        <f t="shared" ca="1" si="186"/>
        <v>8.4856702185316024</v>
      </c>
      <c r="T591" s="30">
        <f t="shared" ca="1" si="186"/>
        <v>22.595297437480706</v>
      </c>
      <c r="U591" s="30">
        <f t="shared" ca="1" si="186"/>
        <v>8.491039512097613</v>
      </c>
      <c r="V591" s="30">
        <f t="shared" ca="1" si="186"/>
        <v>15.207692752003368</v>
      </c>
      <c r="W591" s="30">
        <f t="shared" ca="1" si="186"/>
        <v>26.785008226424537</v>
      </c>
      <c r="X591" s="30">
        <f t="shared" ca="1" si="186"/>
        <v>23.988356988722249</v>
      </c>
      <c r="Y591" s="30">
        <f t="shared" ca="1" si="186"/>
        <v>13.697918717801722</v>
      </c>
      <c r="Z591" s="30">
        <f t="shared" ca="1" si="186"/>
        <v>23.163383367022014</v>
      </c>
      <c r="AA591" s="26">
        <v>583</v>
      </c>
      <c r="AB591" s="31">
        <f t="shared" ca="1" si="185"/>
        <v>26</v>
      </c>
      <c r="AC591" s="31">
        <f t="shared" ca="1" si="174"/>
        <v>26</v>
      </c>
      <c r="AD591" s="31">
        <f t="shared" ca="1" si="175"/>
        <v>1</v>
      </c>
      <c r="AE591" s="31">
        <f t="shared" ca="1" si="176"/>
        <v>33</v>
      </c>
      <c r="AF591" s="31">
        <f t="shared" ca="1" si="177"/>
        <v>10</v>
      </c>
      <c r="AG591" s="31">
        <f t="shared" ca="1" si="178"/>
        <v>38</v>
      </c>
      <c r="AH591" s="31">
        <f t="shared" ca="1" si="179"/>
        <v>10</v>
      </c>
      <c r="AI591" s="31">
        <f t="shared" ca="1" si="180"/>
        <v>21</v>
      </c>
      <c r="AJ591" s="31">
        <f t="shared" ca="1" si="181"/>
        <v>54</v>
      </c>
      <c r="AK591" s="31">
        <f t="shared" ca="1" si="182"/>
        <v>42</v>
      </c>
      <c r="AL591" s="31">
        <f t="shared" ca="1" si="183"/>
        <v>18</v>
      </c>
      <c r="AM591" s="31">
        <f t="shared" ca="1" si="184"/>
        <v>39</v>
      </c>
    </row>
    <row r="592" spans="14:39">
      <c r="N592" s="26">
        <v>584</v>
      </c>
      <c r="O592" s="30">
        <f t="shared" ca="1" si="186"/>
        <v>22.207339786510026</v>
      </c>
      <c r="P592" s="30">
        <f t="shared" ca="1" si="186"/>
        <v>32.176853524415066</v>
      </c>
      <c r="Q592" s="30">
        <f t="shared" ca="1" si="186"/>
        <v>17.623252420097131</v>
      </c>
      <c r="R592" s="30">
        <f t="shared" ca="1" si="186"/>
        <v>20.207867544313981</v>
      </c>
      <c r="S592" s="30">
        <f t="shared" ca="1" si="186"/>
        <v>11.430106802951283</v>
      </c>
      <c r="T592" s="30">
        <f t="shared" ca="1" si="186"/>
        <v>18.219819359626797</v>
      </c>
      <c r="U592" s="30">
        <f t="shared" ca="1" si="186"/>
        <v>4.0327248703029861</v>
      </c>
      <c r="V592" s="30">
        <f t="shared" ca="1" si="186"/>
        <v>31.538139044220166</v>
      </c>
      <c r="W592" s="30">
        <f t="shared" ca="1" si="186"/>
        <v>26.957332006903204</v>
      </c>
      <c r="X592" s="30">
        <f t="shared" ca="1" si="186"/>
        <v>2.4337023395856359</v>
      </c>
      <c r="Y592" s="30">
        <f t="shared" ca="1" si="186"/>
        <v>31.09149288492144</v>
      </c>
      <c r="Z592" s="30">
        <f t="shared" ca="1" si="186"/>
        <v>26.534102051143527</v>
      </c>
      <c r="AA592" s="26">
        <v>584</v>
      </c>
      <c r="AB592" s="31">
        <f t="shared" ca="1" si="185"/>
        <v>37</v>
      </c>
      <c r="AC592" s="31">
        <f t="shared" ca="1" si="174"/>
        <v>111</v>
      </c>
      <c r="AD592" s="31">
        <f t="shared" ca="1" si="175"/>
        <v>25</v>
      </c>
      <c r="AE592" s="31">
        <f t="shared" ca="1" si="176"/>
        <v>31</v>
      </c>
      <c r="AF592" s="31">
        <f t="shared" ca="1" si="177"/>
        <v>14</v>
      </c>
      <c r="AG592" s="31">
        <f t="shared" ca="1" si="178"/>
        <v>26</v>
      </c>
      <c r="AH592" s="31">
        <f t="shared" ca="1" si="179"/>
        <v>5</v>
      </c>
      <c r="AI592" s="31">
        <f t="shared" ca="1" si="180"/>
        <v>96</v>
      </c>
      <c r="AJ592" s="31">
        <f t="shared" ca="1" si="181"/>
        <v>55</v>
      </c>
      <c r="AK592" s="31">
        <f t="shared" ca="1" si="182"/>
        <v>3</v>
      </c>
      <c r="AL592" s="31">
        <f t="shared" ca="1" si="183"/>
        <v>89</v>
      </c>
      <c r="AM592" s="31">
        <f t="shared" ca="1" si="184"/>
        <v>53</v>
      </c>
    </row>
    <row r="593" spans="14:39">
      <c r="N593" s="26">
        <v>585</v>
      </c>
      <c r="O593" s="30">
        <f t="shared" ca="1" si="186"/>
        <v>30.697836527778811</v>
      </c>
      <c r="P593" s="30">
        <f t="shared" ca="1" si="186"/>
        <v>10.573153068243929</v>
      </c>
      <c r="Q593" s="30">
        <f t="shared" ca="1" si="186"/>
        <v>2.5894550835032097</v>
      </c>
      <c r="R593" s="30">
        <f t="shared" ca="1" si="186"/>
        <v>5.0822277168590153</v>
      </c>
      <c r="S593" s="30">
        <f t="shared" ca="1" si="186"/>
        <v>5.6270769947059263</v>
      </c>
      <c r="T593" s="30">
        <f t="shared" ca="1" si="186"/>
        <v>20.524861975417338</v>
      </c>
      <c r="U593" s="30">
        <f t="shared" ca="1" si="186"/>
        <v>24.358733153566192</v>
      </c>
      <c r="V593" s="30">
        <f t="shared" ca="1" si="186"/>
        <v>15.157565981294429</v>
      </c>
      <c r="W593" s="30">
        <f t="shared" ca="1" si="186"/>
        <v>32.231068227396719</v>
      </c>
      <c r="X593" s="30">
        <f t="shared" ca="1" si="186"/>
        <v>9.7864541159674054</v>
      </c>
      <c r="Y593" s="30">
        <f t="shared" ca="1" si="186"/>
        <v>10.515226777690676</v>
      </c>
      <c r="Z593" s="30">
        <f t="shared" ca="1" si="186"/>
        <v>7.1496813011190001</v>
      </c>
      <c r="AA593" s="26">
        <v>585</v>
      </c>
      <c r="AB593" s="31">
        <f t="shared" ca="1" si="185"/>
        <v>84</v>
      </c>
      <c r="AC593" s="31">
        <f t="shared" ca="1" si="174"/>
        <v>13</v>
      </c>
      <c r="AD593" s="31">
        <f t="shared" ca="1" si="175"/>
        <v>3</v>
      </c>
      <c r="AE593" s="31">
        <f t="shared" ca="1" si="176"/>
        <v>6</v>
      </c>
      <c r="AF593" s="31">
        <f t="shared" ca="1" si="177"/>
        <v>7</v>
      </c>
      <c r="AG593" s="31">
        <f t="shared" ca="1" si="178"/>
        <v>32</v>
      </c>
      <c r="AH593" s="31">
        <f t="shared" ca="1" si="179"/>
        <v>44</v>
      </c>
      <c r="AI593" s="31">
        <f t="shared" ca="1" si="180"/>
        <v>20</v>
      </c>
      <c r="AJ593" s="31">
        <f t="shared" ca="1" si="181"/>
        <v>112</v>
      </c>
      <c r="AK593" s="31">
        <f t="shared" ca="1" si="182"/>
        <v>12</v>
      </c>
      <c r="AL593" s="31">
        <f t="shared" ca="1" si="183"/>
        <v>13</v>
      </c>
      <c r="AM593" s="31">
        <f t="shared" ca="1" si="184"/>
        <v>8</v>
      </c>
    </row>
    <row r="594" spans="14:39">
      <c r="N594" s="26">
        <v>586</v>
      </c>
      <c r="O594" s="30">
        <f t="shared" ca="1" si="186"/>
        <v>9.0158490310953088</v>
      </c>
      <c r="P594" s="30">
        <f t="shared" ca="1" si="186"/>
        <v>6.9020750817948668</v>
      </c>
      <c r="Q594" s="30">
        <f t="shared" ca="1" si="186"/>
        <v>2.0992681411746896</v>
      </c>
      <c r="R594" s="30">
        <f t="shared" ca="1" si="186"/>
        <v>21.356949283700242</v>
      </c>
      <c r="S594" s="30">
        <f t="shared" ca="1" si="186"/>
        <v>7.2894571538919166</v>
      </c>
      <c r="T594" s="30">
        <f t="shared" ca="1" si="186"/>
        <v>10.331925829706551</v>
      </c>
      <c r="U594" s="30">
        <f t="shared" ca="1" si="186"/>
        <v>33.136377505085065</v>
      </c>
      <c r="V594" s="30">
        <f t="shared" ca="1" si="186"/>
        <v>10.631875691926162</v>
      </c>
      <c r="W594" s="30">
        <f t="shared" ca="1" si="186"/>
        <v>8.26874608879805</v>
      </c>
      <c r="X594" s="30">
        <f t="shared" ca="1" si="186"/>
        <v>30.163243151029455</v>
      </c>
      <c r="Y594" s="30">
        <f t="shared" ca="1" si="186"/>
        <v>32.55573553374348</v>
      </c>
      <c r="Z594" s="30">
        <f t="shared" ca="1" si="186"/>
        <v>8.9312159599614613</v>
      </c>
      <c r="AA594" s="26">
        <v>586</v>
      </c>
      <c r="AB594" s="31">
        <f t="shared" ca="1" si="185"/>
        <v>11</v>
      </c>
      <c r="AC594" s="31">
        <f t="shared" ca="1" si="174"/>
        <v>8</v>
      </c>
      <c r="AD594" s="31">
        <f t="shared" ca="1" si="175"/>
        <v>3</v>
      </c>
      <c r="AE594" s="31">
        <f t="shared" ca="1" si="176"/>
        <v>34</v>
      </c>
      <c r="AF594" s="31">
        <f t="shared" ca="1" si="177"/>
        <v>9</v>
      </c>
      <c r="AG594" s="31">
        <f t="shared" ca="1" si="178"/>
        <v>13</v>
      </c>
      <c r="AH594" s="31">
        <f t="shared" ca="1" si="179"/>
        <v>169</v>
      </c>
      <c r="AI594" s="31">
        <f t="shared" ca="1" si="180"/>
        <v>13</v>
      </c>
      <c r="AJ594" s="31">
        <f t="shared" ca="1" si="181"/>
        <v>10</v>
      </c>
      <c r="AK594" s="31">
        <f t="shared" ca="1" si="182"/>
        <v>78</v>
      </c>
      <c r="AL594" s="31">
        <f t="shared" ca="1" si="183"/>
        <v>124</v>
      </c>
      <c r="AM594" s="31">
        <f t="shared" ca="1" si="184"/>
        <v>11</v>
      </c>
    </row>
    <row r="595" spans="14:39">
      <c r="N595" s="26">
        <v>587</v>
      </c>
      <c r="O595" s="30">
        <f t="shared" ca="1" si="186"/>
        <v>22.495419529627313</v>
      </c>
      <c r="P595" s="30">
        <f t="shared" ca="1" si="186"/>
        <v>11.125117037667433</v>
      </c>
      <c r="Q595" s="30">
        <f t="shared" ca="1" si="186"/>
        <v>14.463913351960494</v>
      </c>
      <c r="R595" s="30">
        <f t="shared" ca="1" si="186"/>
        <v>6.4157222562262097</v>
      </c>
      <c r="S595" s="30">
        <f t="shared" ca="1" si="186"/>
        <v>0.11729480729084649</v>
      </c>
      <c r="T595" s="30">
        <f t="shared" ca="1" si="186"/>
        <v>19.181762932022352</v>
      </c>
      <c r="U595" s="30">
        <f t="shared" ca="1" si="186"/>
        <v>13.926234925823715</v>
      </c>
      <c r="V595" s="30">
        <f t="shared" ca="1" si="186"/>
        <v>16.403114877724853</v>
      </c>
      <c r="W595" s="30">
        <f t="shared" ca="1" si="186"/>
        <v>24.735304855851908</v>
      </c>
      <c r="X595" s="30">
        <f t="shared" ca="1" si="186"/>
        <v>23.060442150511712</v>
      </c>
      <c r="Y595" s="30">
        <f t="shared" ca="1" si="186"/>
        <v>28.511660536588604</v>
      </c>
      <c r="Z595" s="30">
        <f t="shared" ca="1" si="186"/>
        <v>14.794176692948149</v>
      </c>
      <c r="AA595" s="26">
        <v>587</v>
      </c>
      <c r="AB595" s="31">
        <f t="shared" ca="1" si="185"/>
        <v>37</v>
      </c>
      <c r="AC595" s="31">
        <f t="shared" ca="1" si="174"/>
        <v>14</v>
      </c>
      <c r="AD595" s="31">
        <f t="shared" ca="1" si="175"/>
        <v>19</v>
      </c>
      <c r="AE595" s="31">
        <f t="shared" ca="1" si="176"/>
        <v>8</v>
      </c>
      <c r="AF595" s="31">
        <f t="shared" ca="1" si="177"/>
        <v>1</v>
      </c>
      <c r="AG595" s="31">
        <f t="shared" ca="1" si="178"/>
        <v>29</v>
      </c>
      <c r="AH595" s="31">
        <f t="shared" ca="1" si="179"/>
        <v>18</v>
      </c>
      <c r="AI595" s="31">
        <f t="shared" ca="1" si="180"/>
        <v>23</v>
      </c>
      <c r="AJ595" s="31">
        <f t="shared" ca="1" si="181"/>
        <v>45</v>
      </c>
      <c r="AK595" s="31">
        <f t="shared" ca="1" si="182"/>
        <v>39</v>
      </c>
      <c r="AL595" s="31">
        <f t="shared" ca="1" si="183"/>
        <v>64</v>
      </c>
      <c r="AM595" s="31">
        <f t="shared" ca="1" si="184"/>
        <v>20</v>
      </c>
    </row>
    <row r="596" spans="14:39">
      <c r="N596" s="26">
        <v>588</v>
      </c>
      <c r="O596" s="30">
        <f t="shared" ca="1" si="186"/>
        <v>24.052329831938788</v>
      </c>
      <c r="P596" s="30">
        <f t="shared" ca="1" si="186"/>
        <v>1.2829580457718277</v>
      </c>
      <c r="Q596" s="30">
        <f t="shared" ca="1" si="186"/>
        <v>1.1890815327270314</v>
      </c>
      <c r="R596" s="30">
        <f t="shared" ca="1" si="186"/>
        <v>14.365327166570092</v>
      </c>
      <c r="S596" s="30">
        <f t="shared" ca="1" si="186"/>
        <v>23.661421492465657</v>
      </c>
      <c r="T596" s="30">
        <f t="shared" ca="1" si="186"/>
        <v>3.9551038756372461</v>
      </c>
      <c r="U596" s="30">
        <f t="shared" ca="1" si="186"/>
        <v>26.307658092030263</v>
      </c>
      <c r="V596" s="30">
        <f t="shared" ca="1" si="186"/>
        <v>16.987785302254427</v>
      </c>
      <c r="W596" s="30">
        <f t="shared" ca="1" si="186"/>
        <v>13.010248806553431</v>
      </c>
      <c r="X596" s="30">
        <f t="shared" ca="1" si="186"/>
        <v>30.49248415983147</v>
      </c>
      <c r="Y596" s="30">
        <f t="shared" ca="1" si="186"/>
        <v>8.8630375932114784</v>
      </c>
      <c r="Z596" s="30">
        <f t="shared" ca="1" si="186"/>
        <v>12.277131408449957</v>
      </c>
      <c r="AA596" s="26">
        <v>588</v>
      </c>
      <c r="AB596" s="31">
        <f t="shared" ca="1" si="185"/>
        <v>42</v>
      </c>
      <c r="AC596" s="31">
        <f t="shared" ca="1" si="174"/>
        <v>2</v>
      </c>
      <c r="AD596" s="31">
        <f t="shared" ca="1" si="175"/>
        <v>2</v>
      </c>
      <c r="AE596" s="31">
        <f t="shared" ca="1" si="176"/>
        <v>19</v>
      </c>
      <c r="AF596" s="31">
        <f t="shared" ca="1" si="177"/>
        <v>41</v>
      </c>
      <c r="AG596" s="31">
        <f t="shared" ca="1" si="178"/>
        <v>5</v>
      </c>
      <c r="AH596" s="31">
        <f t="shared" ca="1" si="179"/>
        <v>52</v>
      </c>
      <c r="AI596" s="31">
        <f t="shared" ca="1" si="180"/>
        <v>24</v>
      </c>
      <c r="AJ596" s="31">
        <f t="shared" ca="1" si="181"/>
        <v>17</v>
      </c>
      <c r="AK596" s="31">
        <f t="shared" ca="1" si="182"/>
        <v>81</v>
      </c>
      <c r="AL596" s="31">
        <f t="shared" ca="1" si="183"/>
        <v>11</v>
      </c>
      <c r="AM596" s="31">
        <f t="shared" ca="1" si="184"/>
        <v>16</v>
      </c>
    </row>
    <row r="597" spans="14:39">
      <c r="N597" s="26">
        <v>589</v>
      </c>
      <c r="O597" s="30">
        <f t="shared" ca="1" si="186"/>
        <v>18.111154715202247</v>
      </c>
      <c r="P597" s="30">
        <f t="shared" ca="1" si="186"/>
        <v>24.454104893796387</v>
      </c>
      <c r="Q597" s="30">
        <f t="shared" ca="1" si="186"/>
        <v>25.947988562496512</v>
      </c>
      <c r="R597" s="30">
        <f t="shared" ca="1" si="186"/>
        <v>4.4251993536946168</v>
      </c>
      <c r="S597" s="30">
        <f t="shared" ca="1" si="186"/>
        <v>31.041745508289875</v>
      </c>
      <c r="T597" s="30">
        <f t="shared" ca="1" si="186"/>
        <v>9.6189577905126757</v>
      </c>
      <c r="U597" s="30">
        <f t="shared" ca="1" si="186"/>
        <v>16.764600378104291</v>
      </c>
      <c r="V597" s="30">
        <f t="shared" ca="1" si="186"/>
        <v>26.358255619472999</v>
      </c>
      <c r="W597" s="30">
        <f t="shared" ca="1" si="186"/>
        <v>24.797281803054151</v>
      </c>
      <c r="X597" s="30">
        <f t="shared" ca="1" si="186"/>
        <v>22.980204044340503</v>
      </c>
      <c r="Y597" s="30">
        <f t="shared" ca="1" si="186"/>
        <v>28.520356821846342</v>
      </c>
      <c r="Z597" s="30">
        <f t="shared" ca="1" si="186"/>
        <v>18.63343916840676</v>
      </c>
      <c r="AA597" s="26">
        <v>589</v>
      </c>
      <c r="AB597" s="31">
        <f t="shared" ca="1" si="185"/>
        <v>26</v>
      </c>
      <c r="AC597" s="31">
        <f t="shared" ca="1" si="174"/>
        <v>44</v>
      </c>
      <c r="AD597" s="31">
        <f t="shared" ca="1" si="175"/>
        <v>50</v>
      </c>
      <c r="AE597" s="31">
        <f t="shared" ca="1" si="176"/>
        <v>5</v>
      </c>
      <c r="AF597" s="31">
        <f t="shared" ca="1" si="177"/>
        <v>88</v>
      </c>
      <c r="AG597" s="31">
        <f t="shared" ca="1" si="178"/>
        <v>12</v>
      </c>
      <c r="AH597" s="31">
        <f t="shared" ca="1" si="179"/>
        <v>23</v>
      </c>
      <c r="AI597" s="31">
        <f t="shared" ca="1" si="180"/>
        <v>52</v>
      </c>
      <c r="AJ597" s="31">
        <f t="shared" ca="1" si="181"/>
        <v>45</v>
      </c>
      <c r="AK597" s="31">
        <f t="shared" ca="1" si="182"/>
        <v>39</v>
      </c>
      <c r="AL597" s="31">
        <f t="shared" ca="1" si="183"/>
        <v>64</v>
      </c>
      <c r="AM597" s="31">
        <f t="shared" ca="1" si="184"/>
        <v>27</v>
      </c>
    </row>
    <row r="598" spans="14:39">
      <c r="N598" s="26">
        <v>590</v>
      </c>
      <c r="O598" s="30">
        <f t="shared" ca="1" si="186"/>
        <v>0.54189917768604212</v>
      </c>
      <c r="P598" s="30">
        <f t="shared" ca="1" si="186"/>
        <v>26.65423329123405</v>
      </c>
      <c r="Q598" s="30">
        <f t="shared" ca="1" si="186"/>
        <v>28.248812902784714</v>
      </c>
      <c r="R598" s="30">
        <f t="shared" ca="1" si="186"/>
        <v>19.52539974239663</v>
      </c>
      <c r="S598" s="30">
        <f t="shared" ca="1" si="186"/>
        <v>9.2721662317636095</v>
      </c>
      <c r="T598" s="30">
        <f t="shared" ca="1" si="186"/>
        <v>13.544575435682942</v>
      </c>
      <c r="U598" s="30">
        <f t="shared" ca="1" si="186"/>
        <v>30.059436806925891</v>
      </c>
      <c r="V598" s="30">
        <f t="shared" ca="1" si="186"/>
        <v>4.9419858447525531</v>
      </c>
      <c r="W598" s="30">
        <f t="shared" ca="1" si="186"/>
        <v>24.175513246011761</v>
      </c>
      <c r="X598" s="30">
        <f t="shared" ca="1" si="186"/>
        <v>32.076224941028165</v>
      </c>
      <c r="Y598" s="30">
        <f t="shared" ca="1" si="186"/>
        <v>20.871293924030795</v>
      </c>
      <c r="Z598" s="30">
        <f t="shared" ca="1" si="186"/>
        <v>32.800586886450887</v>
      </c>
      <c r="AA598" s="26">
        <v>590</v>
      </c>
      <c r="AB598" s="31">
        <f t="shared" ca="1" si="185"/>
        <v>1</v>
      </c>
      <c r="AC598" s="31">
        <f t="shared" ca="1" si="174"/>
        <v>53</v>
      </c>
      <c r="AD598" s="31">
        <f t="shared" ca="1" si="175"/>
        <v>62</v>
      </c>
      <c r="AE598" s="31">
        <f t="shared" ca="1" si="176"/>
        <v>29</v>
      </c>
      <c r="AF598" s="31">
        <f t="shared" ca="1" si="177"/>
        <v>11</v>
      </c>
      <c r="AG598" s="31">
        <f t="shared" ca="1" si="178"/>
        <v>18</v>
      </c>
      <c r="AH598" s="31">
        <f t="shared" ca="1" si="179"/>
        <v>77</v>
      </c>
      <c r="AI598" s="31">
        <f t="shared" ca="1" si="180"/>
        <v>6</v>
      </c>
      <c r="AJ598" s="31">
        <f t="shared" ca="1" si="181"/>
        <v>43</v>
      </c>
      <c r="AK598" s="31">
        <f t="shared" ca="1" si="182"/>
        <v>108</v>
      </c>
      <c r="AL598" s="31">
        <f t="shared" ca="1" si="183"/>
        <v>33</v>
      </c>
      <c r="AM598" s="31">
        <f t="shared" ca="1" si="184"/>
        <v>136</v>
      </c>
    </row>
    <row r="599" spans="14:39">
      <c r="N599" s="26">
        <v>591</v>
      </c>
      <c r="O599" s="30">
        <f t="shared" ref="O599:Z608" ca="1" si="187">RAND()*sumweights</f>
        <v>0.20543014829290282</v>
      </c>
      <c r="P599" s="30">
        <f t="shared" ca="1" si="187"/>
        <v>3.5448890383056773</v>
      </c>
      <c r="Q599" s="30">
        <f t="shared" ca="1" si="187"/>
        <v>32.820975827834047</v>
      </c>
      <c r="R599" s="30">
        <f t="shared" ca="1" si="187"/>
        <v>12.292044097095319</v>
      </c>
      <c r="S599" s="30">
        <f t="shared" ca="1" si="187"/>
        <v>9.3551257174370317</v>
      </c>
      <c r="T599" s="30">
        <f t="shared" ca="1" si="187"/>
        <v>3.1100571342445043</v>
      </c>
      <c r="U599" s="30">
        <f t="shared" ca="1" si="187"/>
        <v>27.383837431223352</v>
      </c>
      <c r="V599" s="30">
        <f t="shared" ca="1" si="187"/>
        <v>22.449704931717907</v>
      </c>
      <c r="W599" s="30">
        <f t="shared" ca="1" si="187"/>
        <v>13.535813588563716</v>
      </c>
      <c r="X599" s="30">
        <f t="shared" ca="1" si="187"/>
        <v>17.220775182197535</v>
      </c>
      <c r="Y599" s="30">
        <f t="shared" ca="1" si="187"/>
        <v>31.805918340591141</v>
      </c>
      <c r="Z599" s="30">
        <f t="shared" ca="1" si="187"/>
        <v>28.381434551426292</v>
      </c>
      <c r="AA599" s="26">
        <v>591</v>
      </c>
      <c r="AB599" s="31">
        <f t="shared" ca="1" si="185"/>
        <v>1</v>
      </c>
      <c r="AC599" s="31">
        <f t="shared" ca="1" si="174"/>
        <v>4</v>
      </c>
      <c r="AD599" s="31">
        <f t="shared" ca="1" si="175"/>
        <v>138</v>
      </c>
      <c r="AE599" s="31">
        <f t="shared" ca="1" si="176"/>
        <v>16</v>
      </c>
      <c r="AF599" s="31">
        <f t="shared" ca="1" si="177"/>
        <v>11</v>
      </c>
      <c r="AG599" s="31">
        <f t="shared" ca="1" si="178"/>
        <v>4</v>
      </c>
      <c r="AH599" s="31">
        <f t="shared" ca="1" si="179"/>
        <v>57</v>
      </c>
      <c r="AI599" s="31">
        <f t="shared" ca="1" si="180"/>
        <v>37</v>
      </c>
      <c r="AJ599" s="31">
        <f t="shared" ca="1" si="181"/>
        <v>18</v>
      </c>
      <c r="AK599" s="31">
        <f t="shared" ca="1" si="182"/>
        <v>24</v>
      </c>
      <c r="AL599" s="31">
        <f t="shared" ca="1" si="183"/>
        <v>102</v>
      </c>
      <c r="AM599" s="31">
        <f t="shared" ca="1" si="184"/>
        <v>63</v>
      </c>
    </row>
    <row r="600" spans="14:39">
      <c r="N600" s="26">
        <v>592</v>
      </c>
      <c r="O600" s="30">
        <f t="shared" ca="1" si="187"/>
        <v>27.63278184309608</v>
      </c>
      <c r="P600" s="30">
        <f t="shared" ca="1" si="187"/>
        <v>5.6158856631237155</v>
      </c>
      <c r="Q600" s="30">
        <f t="shared" ca="1" si="187"/>
        <v>23.340558675274828</v>
      </c>
      <c r="R600" s="30">
        <f t="shared" ca="1" si="187"/>
        <v>25.529867693725883</v>
      </c>
      <c r="S600" s="30">
        <f t="shared" ca="1" si="187"/>
        <v>13.879549868664361</v>
      </c>
      <c r="T600" s="30">
        <f t="shared" ca="1" si="187"/>
        <v>16.738657035412277</v>
      </c>
      <c r="U600" s="30">
        <f t="shared" ca="1" si="187"/>
        <v>8.511175852231478</v>
      </c>
      <c r="V600" s="30">
        <f t="shared" ca="1" si="187"/>
        <v>14.750241572610738</v>
      </c>
      <c r="W600" s="30">
        <f t="shared" ca="1" si="187"/>
        <v>22.743175903294318</v>
      </c>
      <c r="X600" s="30">
        <f t="shared" ca="1" si="187"/>
        <v>20.767947742591545</v>
      </c>
      <c r="Y600" s="30">
        <f t="shared" ca="1" si="187"/>
        <v>9.3377983017898583</v>
      </c>
      <c r="Z600" s="30">
        <f t="shared" ca="1" si="187"/>
        <v>5.1418320814134129</v>
      </c>
      <c r="AA600" s="26">
        <v>592</v>
      </c>
      <c r="AB600" s="31">
        <f t="shared" ca="1" si="185"/>
        <v>58</v>
      </c>
      <c r="AC600" s="31">
        <f t="shared" ca="1" si="174"/>
        <v>7</v>
      </c>
      <c r="AD600" s="31">
        <f t="shared" ca="1" si="175"/>
        <v>40</v>
      </c>
      <c r="AE600" s="31">
        <f t="shared" ca="1" si="176"/>
        <v>48</v>
      </c>
      <c r="AF600" s="31">
        <f t="shared" ca="1" si="177"/>
        <v>18</v>
      </c>
      <c r="AG600" s="31">
        <f t="shared" ca="1" si="178"/>
        <v>23</v>
      </c>
      <c r="AH600" s="31">
        <f t="shared" ca="1" si="179"/>
        <v>10</v>
      </c>
      <c r="AI600" s="31">
        <f t="shared" ca="1" si="180"/>
        <v>20</v>
      </c>
      <c r="AJ600" s="31">
        <f t="shared" ca="1" si="181"/>
        <v>38</v>
      </c>
      <c r="AK600" s="31">
        <f t="shared" ca="1" si="182"/>
        <v>33</v>
      </c>
      <c r="AL600" s="31">
        <f t="shared" ca="1" si="183"/>
        <v>11</v>
      </c>
      <c r="AM600" s="31">
        <f t="shared" ca="1" si="184"/>
        <v>6</v>
      </c>
    </row>
    <row r="601" spans="14:39">
      <c r="N601" s="26">
        <v>593</v>
      </c>
      <c r="O601" s="30">
        <f t="shared" ca="1" si="187"/>
        <v>31.344696916773614</v>
      </c>
      <c r="P601" s="30">
        <f t="shared" ca="1" si="187"/>
        <v>19.109425585056442</v>
      </c>
      <c r="Q601" s="30">
        <f t="shared" ca="1" si="187"/>
        <v>7.1002421763160433</v>
      </c>
      <c r="R601" s="30">
        <f t="shared" ca="1" si="187"/>
        <v>7.5622204423404717</v>
      </c>
      <c r="S601" s="30">
        <f t="shared" ca="1" si="187"/>
        <v>0.53383689486465125</v>
      </c>
      <c r="T601" s="30">
        <f t="shared" ca="1" si="187"/>
        <v>25.815005699060958</v>
      </c>
      <c r="U601" s="30">
        <f t="shared" ca="1" si="187"/>
        <v>21.514849554786867</v>
      </c>
      <c r="V601" s="30">
        <f t="shared" ca="1" si="187"/>
        <v>1.4544857505790987</v>
      </c>
      <c r="W601" s="30">
        <f t="shared" ca="1" si="187"/>
        <v>3.8913916200833096</v>
      </c>
      <c r="X601" s="30">
        <f t="shared" ca="1" si="187"/>
        <v>20.894964945270093</v>
      </c>
      <c r="Y601" s="30">
        <f t="shared" ca="1" si="187"/>
        <v>24.019457932596566</v>
      </c>
      <c r="Z601" s="30">
        <f t="shared" ca="1" si="187"/>
        <v>7.6241808630906878</v>
      </c>
      <c r="AA601" s="26">
        <v>593</v>
      </c>
      <c r="AB601" s="31">
        <f t="shared" ca="1" si="185"/>
        <v>93</v>
      </c>
      <c r="AC601" s="31">
        <f t="shared" ca="1" si="174"/>
        <v>28</v>
      </c>
      <c r="AD601" s="31">
        <f t="shared" ca="1" si="175"/>
        <v>8</v>
      </c>
      <c r="AE601" s="31">
        <f t="shared" ca="1" si="176"/>
        <v>9</v>
      </c>
      <c r="AF601" s="31">
        <f t="shared" ca="1" si="177"/>
        <v>1</v>
      </c>
      <c r="AG601" s="31">
        <f t="shared" ca="1" si="178"/>
        <v>49</v>
      </c>
      <c r="AH601" s="31">
        <f t="shared" ca="1" si="179"/>
        <v>35</v>
      </c>
      <c r="AI601" s="31">
        <f t="shared" ca="1" si="180"/>
        <v>2</v>
      </c>
      <c r="AJ601" s="31">
        <f t="shared" ca="1" si="181"/>
        <v>5</v>
      </c>
      <c r="AK601" s="31">
        <f t="shared" ca="1" si="182"/>
        <v>33</v>
      </c>
      <c r="AL601" s="31">
        <f t="shared" ca="1" si="183"/>
        <v>42</v>
      </c>
      <c r="AM601" s="31">
        <f t="shared" ca="1" si="184"/>
        <v>9</v>
      </c>
    </row>
    <row r="602" spans="14:39">
      <c r="N602" s="26">
        <v>594</v>
      </c>
      <c r="O602" s="30">
        <f t="shared" ca="1" si="187"/>
        <v>2.7324582746914738</v>
      </c>
      <c r="P602" s="30">
        <f t="shared" ca="1" si="187"/>
        <v>0.30969046320473681</v>
      </c>
      <c r="Q602" s="30">
        <f t="shared" ca="1" si="187"/>
        <v>27.631149289269249</v>
      </c>
      <c r="R602" s="30">
        <f t="shared" ca="1" si="187"/>
        <v>30.640407776767379</v>
      </c>
      <c r="S602" s="30">
        <f t="shared" ca="1" si="187"/>
        <v>21.045967666673064</v>
      </c>
      <c r="T602" s="30">
        <f t="shared" ca="1" si="187"/>
        <v>32.01373998536117</v>
      </c>
      <c r="U602" s="30">
        <f t="shared" ca="1" si="187"/>
        <v>0.39878344754729567</v>
      </c>
      <c r="V602" s="30">
        <f t="shared" ca="1" si="187"/>
        <v>2.4642203539714393</v>
      </c>
      <c r="W602" s="30">
        <f t="shared" ca="1" si="187"/>
        <v>15.329077810385449</v>
      </c>
      <c r="X602" s="30">
        <f t="shared" ca="1" si="187"/>
        <v>33.25300622073469</v>
      </c>
      <c r="Y602" s="30">
        <f t="shared" ca="1" si="187"/>
        <v>1.7393076368346911</v>
      </c>
      <c r="Z602" s="30">
        <f t="shared" ca="1" si="187"/>
        <v>22.538905944835612</v>
      </c>
      <c r="AA602" s="26">
        <v>594</v>
      </c>
      <c r="AB602" s="31">
        <f t="shared" ca="1" si="185"/>
        <v>3</v>
      </c>
      <c r="AC602" s="31">
        <f t="shared" ca="1" si="174"/>
        <v>1</v>
      </c>
      <c r="AD602" s="31">
        <f t="shared" ca="1" si="175"/>
        <v>58</v>
      </c>
      <c r="AE602" s="31">
        <f t="shared" ca="1" si="176"/>
        <v>83</v>
      </c>
      <c r="AF602" s="31">
        <f t="shared" ca="1" si="177"/>
        <v>33</v>
      </c>
      <c r="AG602" s="31">
        <f t="shared" ca="1" si="178"/>
        <v>107</v>
      </c>
      <c r="AH602" s="31">
        <f t="shared" ca="1" si="179"/>
        <v>1</v>
      </c>
      <c r="AI602" s="31">
        <f t="shared" ca="1" si="180"/>
        <v>3</v>
      </c>
      <c r="AJ602" s="31">
        <f t="shared" ca="1" si="181"/>
        <v>21</v>
      </c>
      <c r="AK602" s="31">
        <f t="shared" ca="1" si="182"/>
        <v>198</v>
      </c>
      <c r="AL602" s="31">
        <f t="shared" ca="1" si="183"/>
        <v>2</v>
      </c>
      <c r="AM602" s="31">
        <f t="shared" ca="1" si="184"/>
        <v>38</v>
      </c>
    </row>
    <row r="603" spans="14:39">
      <c r="N603" s="26">
        <v>595</v>
      </c>
      <c r="O603" s="30">
        <f t="shared" ca="1" si="187"/>
        <v>9.1256575476220263</v>
      </c>
      <c r="P603" s="30">
        <f t="shared" ca="1" si="187"/>
        <v>31.941430069085182</v>
      </c>
      <c r="Q603" s="30">
        <f t="shared" ca="1" si="187"/>
        <v>12.826709691541742</v>
      </c>
      <c r="R603" s="30">
        <f t="shared" ca="1" si="187"/>
        <v>26.731771477991952</v>
      </c>
      <c r="S603" s="30">
        <f t="shared" ca="1" si="187"/>
        <v>1.4107913396148011</v>
      </c>
      <c r="T603" s="30">
        <f t="shared" ca="1" si="187"/>
        <v>3.7905915507862025</v>
      </c>
      <c r="U603" s="30">
        <f t="shared" ca="1" si="187"/>
        <v>9.1367517457573761</v>
      </c>
      <c r="V603" s="30">
        <f t="shared" ca="1" si="187"/>
        <v>2.3279160519638435</v>
      </c>
      <c r="W603" s="30">
        <f t="shared" ca="1" si="187"/>
        <v>10.274867889361543</v>
      </c>
      <c r="X603" s="30">
        <f t="shared" ca="1" si="187"/>
        <v>9.9765579212801612</v>
      </c>
      <c r="Y603" s="30">
        <f t="shared" ca="1" si="187"/>
        <v>11.384968550764077</v>
      </c>
      <c r="Z603" s="30">
        <f t="shared" ca="1" si="187"/>
        <v>2.2442598093714241</v>
      </c>
      <c r="AA603" s="26">
        <v>595</v>
      </c>
      <c r="AB603" s="31">
        <f t="shared" ca="1" si="185"/>
        <v>11</v>
      </c>
      <c r="AC603" s="31">
        <f t="shared" ca="1" si="174"/>
        <v>105</v>
      </c>
      <c r="AD603" s="31">
        <f t="shared" ca="1" si="175"/>
        <v>16</v>
      </c>
      <c r="AE603" s="31">
        <f t="shared" ca="1" si="176"/>
        <v>54</v>
      </c>
      <c r="AF603" s="31">
        <f t="shared" ca="1" si="177"/>
        <v>2</v>
      </c>
      <c r="AG603" s="31">
        <f t="shared" ca="1" si="178"/>
        <v>4</v>
      </c>
      <c r="AH603" s="31">
        <f t="shared" ca="1" si="179"/>
        <v>11</v>
      </c>
      <c r="AI603" s="31">
        <f t="shared" ca="1" si="180"/>
        <v>3</v>
      </c>
      <c r="AJ603" s="31">
        <f t="shared" ca="1" si="181"/>
        <v>13</v>
      </c>
      <c r="AK603" s="31">
        <f t="shared" ca="1" si="182"/>
        <v>12</v>
      </c>
      <c r="AL603" s="31">
        <f t="shared" ca="1" si="183"/>
        <v>14</v>
      </c>
      <c r="AM603" s="31">
        <f t="shared" ca="1" si="184"/>
        <v>3</v>
      </c>
    </row>
    <row r="604" spans="14:39">
      <c r="N604" s="26">
        <v>596</v>
      </c>
      <c r="O604" s="30">
        <f t="shared" ca="1" si="187"/>
        <v>22.255469519497669</v>
      </c>
      <c r="P604" s="30">
        <f t="shared" ca="1" si="187"/>
        <v>14.944259587148094</v>
      </c>
      <c r="Q604" s="30">
        <f t="shared" ca="1" si="187"/>
        <v>14.080375783777388</v>
      </c>
      <c r="R604" s="30">
        <f t="shared" ca="1" si="187"/>
        <v>31.216152824631276</v>
      </c>
      <c r="S604" s="30">
        <f t="shared" ca="1" si="187"/>
        <v>22.439735476317608</v>
      </c>
      <c r="T604" s="30">
        <f t="shared" ca="1" si="187"/>
        <v>21.332401928206778</v>
      </c>
      <c r="U604" s="30">
        <f t="shared" ca="1" si="187"/>
        <v>28.606441064779013</v>
      </c>
      <c r="V604" s="30">
        <f t="shared" ca="1" si="187"/>
        <v>25.148430019845502</v>
      </c>
      <c r="W604" s="30">
        <f t="shared" ca="1" si="187"/>
        <v>6.8535461907806585</v>
      </c>
      <c r="X604" s="30">
        <f t="shared" ca="1" si="187"/>
        <v>16.935613586852977</v>
      </c>
      <c r="Y604" s="30">
        <f t="shared" ca="1" si="187"/>
        <v>9.43781193894716</v>
      </c>
      <c r="Z604" s="30">
        <f t="shared" ca="1" si="187"/>
        <v>18.314766283930911</v>
      </c>
      <c r="AA604" s="26">
        <v>596</v>
      </c>
      <c r="AB604" s="31">
        <f t="shared" ca="1" si="185"/>
        <v>37</v>
      </c>
      <c r="AC604" s="31">
        <f t="shared" ca="1" si="174"/>
        <v>20</v>
      </c>
      <c r="AD604" s="31">
        <f t="shared" ca="1" si="175"/>
        <v>19</v>
      </c>
      <c r="AE604" s="31">
        <f t="shared" ca="1" si="176"/>
        <v>91</v>
      </c>
      <c r="AF604" s="31">
        <f t="shared" ca="1" si="177"/>
        <v>37</v>
      </c>
      <c r="AG604" s="31">
        <f t="shared" ca="1" si="178"/>
        <v>34</v>
      </c>
      <c r="AH604" s="31">
        <f t="shared" ca="1" si="179"/>
        <v>65</v>
      </c>
      <c r="AI604" s="31">
        <f t="shared" ca="1" si="180"/>
        <v>47</v>
      </c>
      <c r="AJ604" s="31">
        <f t="shared" ca="1" si="181"/>
        <v>8</v>
      </c>
      <c r="AK604" s="31">
        <f t="shared" ca="1" si="182"/>
        <v>24</v>
      </c>
      <c r="AL604" s="31">
        <f t="shared" ca="1" si="183"/>
        <v>11</v>
      </c>
      <c r="AM604" s="31">
        <f t="shared" ca="1" si="184"/>
        <v>27</v>
      </c>
    </row>
    <row r="605" spans="14:39">
      <c r="N605" s="26">
        <v>597</v>
      </c>
      <c r="O605" s="30">
        <f t="shared" ca="1" si="187"/>
        <v>15.20288713567807</v>
      </c>
      <c r="P605" s="30">
        <f t="shared" ca="1" si="187"/>
        <v>30.873545336732985</v>
      </c>
      <c r="Q605" s="30">
        <f t="shared" ca="1" si="187"/>
        <v>21.620312073033848</v>
      </c>
      <c r="R605" s="30">
        <f t="shared" ca="1" si="187"/>
        <v>32.929886872463811</v>
      </c>
      <c r="S605" s="30">
        <f t="shared" ca="1" si="187"/>
        <v>20.111108209439514</v>
      </c>
      <c r="T605" s="30">
        <f t="shared" ca="1" si="187"/>
        <v>15.442432929235096</v>
      </c>
      <c r="U605" s="30">
        <f t="shared" ca="1" si="187"/>
        <v>7.6478075722924554</v>
      </c>
      <c r="V605" s="30">
        <f t="shared" ca="1" si="187"/>
        <v>23.273033713133099</v>
      </c>
      <c r="W605" s="30">
        <f t="shared" ca="1" si="187"/>
        <v>18.204417055044907</v>
      </c>
      <c r="X605" s="30">
        <f t="shared" ca="1" si="187"/>
        <v>32.43578822031315</v>
      </c>
      <c r="Y605" s="30">
        <f t="shared" ca="1" si="187"/>
        <v>14.795809911841777</v>
      </c>
      <c r="Z605" s="30">
        <f t="shared" ca="1" si="187"/>
        <v>26.213029559527712</v>
      </c>
      <c r="AA605" s="26">
        <v>597</v>
      </c>
      <c r="AB605" s="31">
        <f t="shared" ca="1" si="185"/>
        <v>20</v>
      </c>
      <c r="AC605" s="31">
        <f t="shared" ca="1" si="174"/>
        <v>86</v>
      </c>
      <c r="AD605" s="31">
        <f t="shared" ca="1" si="175"/>
        <v>35</v>
      </c>
      <c r="AE605" s="31">
        <f t="shared" ca="1" si="176"/>
        <v>145</v>
      </c>
      <c r="AF605" s="31">
        <f t="shared" ca="1" si="177"/>
        <v>31</v>
      </c>
      <c r="AG605" s="31">
        <f t="shared" ca="1" si="178"/>
        <v>21</v>
      </c>
      <c r="AH605" s="31">
        <f t="shared" ca="1" si="179"/>
        <v>9</v>
      </c>
      <c r="AI605" s="31">
        <f t="shared" ca="1" si="180"/>
        <v>40</v>
      </c>
      <c r="AJ605" s="31">
        <f t="shared" ca="1" si="181"/>
        <v>26</v>
      </c>
      <c r="AK605" s="31">
        <f t="shared" ca="1" si="182"/>
        <v>119</v>
      </c>
      <c r="AL605" s="31">
        <f t="shared" ca="1" si="183"/>
        <v>20</v>
      </c>
      <c r="AM605" s="31">
        <f t="shared" ca="1" si="184"/>
        <v>51</v>
      </c>
    </row>
    <row r="606" spans="14:39">
      <c r="N606" s="26">
        <v>598</v>
      </c>
      <c r="O606" s="30">
        <f t="shared" ca="1" si="187"/>
        <v>20.996199024600223</v>
      </c>
      <c r="P606" s="30">
        <f t="shared" ca="1" si="187"/>
        <v>4.2775086981404247</v>
      </c>
      <c r="Q606" s="30">
        <f t="shared" ca="1" si="187"/>
        <v>29.112071198527058</v>
      </c>
      <c r="R606" s="30">
        <f t="shared" ca="1" si="187"/>
        <v>13.058728476176064</v>
      </c>
      <c r="S606" s="30">
        <f t="shared" ca="1" si="187"/>
        <v>19.880410311084475</v>
      </c>
      <c r="T606" s="30">
        <f t="shared" ca="1" si="187"/>
        <v>12.805841938767534</v>
      </c>
      <c r="U606" s="30">
        <f t="shared" ca="1" si="187"/>
        <v>13.495416756237741</v>
      </c>
      <c r="V606" s="30">
        <f t="shared" ca="1" si="187"/>
        <v>10.238221263949338</v>
      </c>
      <c r="W606" s="30">
        <f t="shared" ca="1" si="187"/>
        <v>24.949169462314234</v>
      </c>
      <c r="X606" s="30">
        <f t="shared" ca="1" si="187"/>
        <v>28.906703085333749</v>
      </c>
      <c r="Y606" s="30">
        <f t="shared" ca="1" si="187"/>
        <v>25.714387346862853</v>
      </c>
      <c r="Z606" s="30">
        <f t="shared" ca="1" si="187"/>
        <v>15.508605557814501</v>
      </c>
      <c r="AA606" s="26">
        <v>598</v>
      </c>
      <c r="AB606" s="31">
        <f t="shared" ca="1" si="185"/>
        <v>33</v>
      </c>
      <c r="AC606" s="31">
        <f t="shared" ca="1" si="174"/>
        <v>5</v>
      </c>
      <c r="AD606" s="31">
        <f t="shared" ca="1" si="175"/>
        <v>68</v>
      </c>
      <c r="AE606" s="31">
        <f t="shared" ca="1" si="176"/>
        <v>17</v>
      </c>
      <c r="AF606" s="31">
        <f t="shared" ca="1" si="177"/>
        <v>30</v>
      </c>
      <c r="AG606" s="31">
        <f t="shared" ca="1" si="178"/>
        <v>16</v>
      </c>
      <c r="AH606" s="31">
        <f t="shared" ca="1" si="179"/>
        <v>18</v>
      </c>
      <c r="AI606" s="31">
        <f t="shared" ca="1" si="180"/>
        <v>13</v>
      </c>
      <c r="AJ606" s="31">
        <f t="shared" ca="1" si="181"/>
        <v>46</v>
      </c>
      <c r="AK606" s="31">
        <f t="shared" ca="1" si="182"/>
        <v>67</v>
      </c>
      <c r="AL606" s="31">
        <f t="shared" ca="1" si="183"/>
        <v>49</v>
      </c>
      <c r="AM606" s="31">
        <f t="shared" ca="1" si="184"/>
        <v>21</v>
      </c>
    </row>
    <row r="607" spans="14:39">
      <c r="N607" s="26">
        <v>599</v>
      </c>
      <c r="O607" s="30">
        <f t="shared" ca="1" si="187"/>
        <v>29.113606083304088</v>
      </c>
      <c r="P607" s="30">
        <f t="shared" ca="1" si="187"/>
        <v>1.8156945919818019</v>
      </c>
      <c r="Q607" s="30">
        <f t="shared" ca="1" si="187"/>
        <v>20.421819975152978</v>
      </c>
      <c r="R607" s="30">
        <f t="shared" ca="1" si="187"/>
        <v>15.116766489578096</v>
      </c>
      <c r="S607" s="30">
        <f t="shared" ca="1" si="187"/>
        <v>25.361091292170475</v>
      </c>
      <c r="T607" s="30">
        <f t="shared" ca="1" si="187"/>
        <v>17.057333754554747</v>
      </c>
      <c r="U607" s="30">
        <f t="shared" ca="1" si="187"/>
        <v>18.685817167285595</v>
      </c>
      <c r="V607" s="30">
        <f t="shared" ca="1" si="187"/>
        <v>30.011457183731988</v>
      </c>
      <c r="W607" s="30">
        <f t="shared" ca="1" si="187"/>
        <v>0.94619197462449978</v>
      </c>
      <c r="X607" s="30">
        <f t="shared" ca="1" si="187"/>
        <v>12.880410830377889</v>
      </c>
      <c r="Y607" s="30">
        <f t="shared" ca="1" si="187"/>
        <v>18.767421275093149</v>
      </c>
      <c r="Z607" s="30">
        <f t="shared" ca="1" si="187"/>
        <v>16.543366488488573</v>
      </c>
      <c r="AA607" s="26">
        <v>599</v>
      </c>
      <c r="AB607" s="31">
        <f t="shared" ca="1" si="185"/>
        <v>68</v>
      </c>
      <c r="AC607" s="31">
        <f t="shared" ca="1" si="174"/>
        <v>2</v>
      </c>
      <c r="AD607" s="31">
        <f t="shared" ca="1" si="175"/>
        <v>32</v>
      </c>
      <c r="AE607" s="31">
        <f t="shared" ca="1" si="176"/>
        <v>20</v>
      </c>
      <c r="AF607" s="31">
        <f t="shared" ca="1" si="177"/>
        <v>47</v>
      </c>
      <c r="AG607" s="31">
        <f t="shared" ca="1" si="178"/>
        <v>24</v>
      </c>
      <c r="AH607" s="31">
        <f t="shared" ca="1" si="179"/>
        <v>27</v>
      </c>
      <c r="AI607" s="31">
        <f t="shared" ca="1" si="180"/>
        <v>76</v>
      </c>
      <c r="AJ607" s="31">
        <f t="shared" ca="1" si="181"/>
        <v>1</v>
      </c>
      <c r="AK607" s="31">
        <f t="shared" ca="1" si="182"/>
        <v>17</v>
      </c>
      <c r="AL607" s="31">
        <f t="shared" ca="1" si="183"/>
        <v>28</v>
      </c>
      <c r="AM607" s="31">
        <f t="shared" ca="1" si="184"/>
        <v>23</v>
      </c>
    </row>
    <row r="608" spans="14:39">
      <c r="N608" s="26">
        <v>600</v>
      </c>
      <c r="O608" s="30">
        <f t="shared" ca="1" si="187"/>
        <v>0.39691092454392785</v>
      </c>
      <c r="P608" s="30">
        <f t="shared" ca="1" si="187"/>
        <v>5.4998075898867285</v>
      </c>
      <c r="Q608" s="30">
        <f t="shared" ca="1" si="187"/>
        <v>3.0406185051868189</v>
      </c>
      <c r="R608" s="30">
        <f t="shared" ca="1" si="187"/>
        <v>31.940061074996365</v>
      </c>
      <c r="S608" s="30">
        <f t="shared" ca="1" si="187"/>
        <v>29.633750893807065</v>
      </c>
      <c r="T608" s="30">
        <f t="shared" ca="1" si="187"/>
        <v>26.743161770204324</v>
      </c>
      <c r="U608" s="30">
        <f t="shared" ca="1" si="187"/>
        <v>23.087196656206572</v>
      </c>
      <c r="V608" s="30">
        <f t="shared" ca="1" si="187"/>
        <v>31.963667380524836</v>
      </c>
      <c r="W608" s="30">
        <f t="shared" ca="1" si="187"/>
        <v>6.3378102554343432</v>
      </c>
      <c r="X608" s="30">
        <f t="shared" ca="1" si="187"/>
        <v>25.570971865792856</v>
      </c>
      <c r="Y608" s="30">
        <f t="shared" ca="1" si="187"/>
        <v>11.577625654465233</v>
      </c>
      <c r="Z608" s="30">
        <f t="shared" ca="1" si="187"/>
        <v>17.385669294766132</v>
      </c>
      <c r="AA608" s="26">
        <v>600</v>
      </c>
      <c r="AB608" s="31">
        <f t="shared" ca="1" si="185"/>
        <v>1</v>
      </c>
      <c r="AC608" s="31">
        <f t="shared" ca="1" si="174"/>
        <v>6</v>
      </c>
      <c r="AD608" s="31">
        <f t="shared" ca="1" si="175"/>
        <v>4</v>
      </c>
      <c r="AE608" s="31">
        <f t="shared" ca="1" si="176"/>
        <v>105</v>
      </c>
      <c r="AF608" s="31">
        <f t="shared" ca="1" si="177"/>
        <v>73</v>
      </c>
      <c r="AG608" s="31">
        <f t="shared" ca="1" si="178"/>
        <v>54</v>
      </c>
      <c r="AH608" s="31">
        <f t="shared" ca="1" si="179"/>
        <v>39</v>
      </c>
      <c r="AI608" s="31">
        <f t="shared" ca="1" si="180"/>
        <v>105</v>
      </c>
      <c r="AJ608" s="31">
        <f t="shared" ca="1" si="181"/>
        <v>7</v>
      </c>
      <c r="AK608" s="31">
        <f t="shared" ca="1" si="182"/>
        <v>48</v>
      </c>
      <c r="AL608" s="31">
        <f t="shared" ca="1" si="183"/>
        <v>15</v>
      </c>
      <c r="AM608" s="31">
        <f t="shared" ca="1" si="184"/>
        <v>25</v>
      </c>
    </row>
    <row r="609" spans="14:39">
      <c r="N609" s="26">
        <v>601</v>
      </c>
      <c r="O609" s="30">
        <f t="shared" ref="O609:Z618" ca="1" si="188">RAND()*sumweights</f>
        <v>27.56601802152856</v>
      </c>
      <c r="P609" s="30">
        <f t="shared" ca="1" si="188"/>
        <v>9.1057070549342125</v>
      </c>
      <c r="Q609" s="30">
        <f t="shared" ca="1" si="188"/>
        <v>23.316345850742191</v>
      </c>
      <c r="R609" s="30">
        <f t="shared" ca="1" si="188"/>
        <v>14.244414373441222</v>
      </c>
      <c r="S609" s="30">
        <f t="shared" ca="1" si="188"/>
        <v>20.717364745790906</v>
      </c>
      <c r="T609" s="30">
        <f t="shared" ca="1" si="188"/>
        <v>7.784218098153004</v>
      </c>
      <c r="U609" s="30">
        <f t="shared" ca="1" si="188"/>
        <v>16.578655262341819</v>
      </c>
      <c r="V609" s="30">
        <f t="shared" ca="1" si="188"/>
        <v>0.15065878317396172</v>
      </c>
      <c r="W609" s="30">
        <f t="shared" ca="1" si="188"/>
        <v>11.553579135058058</v>
      </c>
      <c r="X609" s="30">
        <f t="shared" ca="1" si="188"/>
        <v>5.8400007023576377</v>
      </c>
      <c r="Y609" s="30">
        <f t="shared" ca="1" si="188"/>
        <v>11.256419135862918</v>
      </c>
      <c r="Z609" s="30">
        <f t="shared" ca="1" si="188"/>
        <v>30.958760846822017</v>
      </c>
      <c r="AA609" s="26">
        <v>601</v>
      </c>
      <c r="AB609" s="31">
        <f t="shared" ca="1" si="185"/>
        <v>58</v>
      </c>
      <c r="AC609" s="31">
        <f t="shared" ca="1" si="174"/>
        <v>11</v>
      </c>
      <c r="AD609" s="31">
        <f t="shared" ca="1" si="175"/>
        <v>40</v>
      </c>
      <c r="AE609" s="31">
        <f t="shared" ca="1" si="176"/>
        <v>19</v>
      </c>
      <c r="AF609" s="31">
        <f t="shared" ca="1" si="177"/>
        <v>32</v>
      </c>
      <c r="AG609" s="31">
        <f t="shared" ca="1" si="178"/>
        <v>9</v>
      </c>
      <c r="AH609" s="31">
        <f t="shared" ca="1" si="179"/>
        <v>23</v>
      </c>
      <c r="AI609" s="31">
        <f t="shared" ca="1" si="180"/>
        <v>1</v>
      </c>
      <c r="AJ609" s="31">
        <f t="shared" ca="1" si="181"/>
        <v>14</v>
      </c>
      <c r="AK609" s="31">
        <f t="shared" ca="1" si="182"/>
        <v>7</v>
      </c>
      <c r="AL609" s="31">
        <f t="shared" ca="1" si="183"/>
        <v>14</v>
      </c>
      <c r="AM609" s="31">
        <f t="shared" ca="1" si="184"/>
        <v>87</v>
      </c>
    </row>
    <row r="610" spans="14:39">
      <c r="N610" s="26">
        <v>602</v>
      </c>
      <c r="O610" s="30">
        <f t="shared" ca="1" si="188"/>
        <v>28.376705971165524</v>
      </c>
      <c r="P610" s="30">
        <f t="shared" ca="1" si="188"/>
        <v>32.218393281462284</v>
      </c>
      <c r="Q610" s="30">
        <f t="shared" ca="1" si="188"/>
        <v>27.450888589840321</v>
      </c>
      <c r="R610" s="30">
        <f t="shared" ca="1" si="188"/>
        <v>10.699227637575763</v>
      </c>
      <c r="S610" s="30">
        <f t="shared" ca="1" si="188"/>
        <v>25.478303659681728</v>
      </c>
      <c r="T610" s="30">
        <f t="shared" ca="1" si="188"/>
        <v>33.09018359875256</v>
      </c>
      <c r="U610" s="30">
        <f t="shared" ca="1" si="188"/>
        <v>20.134322348835227</v>
      </c>
      <c r="V610" s="30">
        <f t="shared" ca="1" si="188"/>
        <v>31.875464798432866</v>
      </c>
      <c r="W610" s="30">
        <f t="shared" ca="1" si="188"/>
        <v>15.424781542500231</v>
      </c>
      <c r="X610" s="30">
        <f t="shared" ca="1" si="188"/>
        <v>0.27328567888262872</v>
      </c>
      <c r="Y610" s="30">
        <f t="shared" ca="1" si="188"/>
        <v>18.464735965410068</v>
      </c>
      <c r="Z610" s="30">
        <f t="shared" ca="1" si="188"/>
        <v>26.164227713127783</v>
      </c>
      <c r="AA610" s="26">
        <v>602</v>
      </c>
      <c r="AB610" s="31">
        <f t="shared" ca="1" si="185"/>
        <v>63</v>
      </c>
      <c r="AC610" s="31">
        <f t="shared" ca="1" si="174"/>
        <v>112</v>
      </c>
      <c r="AD610" s="31">
        <f t="shared" ca="1" si="175"/>
        <v>57</v>
      </c>
      <c r="AE610" s="31">
        <f t="shared" ca="1" si="176"/>
        <v>13</v>
      </c>
      <c r="AF610" s="31">
        <f t="shared" ca="1" si="177"/>
        <v>48</v>
      </c>
      <c r="AG610" s="31">
        <f t="shared" ca="1" si="178"/>
        <v>162</v>
      </c>
      <c r="AH610" s="31">
        <f t="shared" ca="1" si="179"/>
        <v>31</v>
      </c>
      <c r="AI610" s="31">
        <f t="shared" ca="1" si="180"/>
        <v>103</v>
      </c>
      <c r="AJ610" s="31">
        <f t="shared" ca="1" si="181"/>
        <v>21</v>
      </c>
      <c r="AK610" s="31">
        <f t="shared" ca="1" si="182"/>
        <v>1</v>
      </c>
      <c r="AL610" s="31">
        <f t="shared" ca="1" si="183"/>
        <v>27</v>
      </c>
      <c r="AM610" s="31">
        <f t="shared" ca="1" si="184"/>
        <v>51</v>
      </c>
    </row>
    <row r="611" spans="14:39">
      <c r="N611" s="26">
        <v>603</v>
      </c>
      <c r="O611" s="30">
        <f t="shared" ca="1" si="188"/>
        <v>19.873600561857618</v>
      </c>
      <c r="P611" s="30">
        <f t="shared" ca="1" si="188"/>
        <v>19.940592027966279</v>
      </c>
      <c r="Q611" s="30">
        <f t="shared" ca="1" si="188"/>
        <v>15.77518999520205</v>
      </c>
      <c r="R611" s="30">
        <f t="shared" ca="1" si="188"/>
        <v>8.9568744577501924</v>
      </c>
      <c r="S611" s="30">
        <f t="shared" ca="1" si="188"/>
        <v>13.043595830236391</v>
      </c>
      <c r="T611" s="30">
        <f t="shared" ca="1" si="188"/>
        <v>8.607793371411244</v>
      </c>
      <c r="U611" s="30">
        <f t="shared" ca="1" si="188"/>
        <v>13.228215088326161</v>
      </c>
      <c r="V611" s="30">
        <f t="shared" ca="1" si="188"/>
        <v>27.32318163284938</v>
      </c>
      <c r="W611" s="30">
        <f t="shared" ca="1" si="188"/>
        <v>32.672550413330683</v>
      </c>
      <c r="X611" s="30">
        <f t="shared" ca="1" si="188"/>
        <v>26.45886979892353</v>
      </c>
      <c r="Y611" s="30">
        <f t="shared" ca="1" si="188"/>
        <v>22.22743646696351</v>
      </c>
      <c r="Z611" s="30">
        <f t="shared" ca="1" si="188"/>
        <v>31.622501385821792</v>
      </c>
      <c r="AA611" s="26">
        <v>603</v>
      </c>
      <c r="AB611" s="31">
        <f t="shared" ca="1" si="185"/>
        <v>30</v>
      </c>
      <c r="AC611" s="31">
        <f t="shared" ca="1" si="174"/>
        <v>30</v>
      </c>
      <c r="AD611" s="31">
        <f t="shared" ca="1" si="175"/>
        <v>22</v>
      </c>
      <c r="AE611" s="31">
        <f t="shared" ca="1" si="176"/>
        <v>11</v>
      </c>
      <c r="AF611" s="31">
        <f t="shared" ca="1" si="177"/>
        <v>17</v>
      </c>
      <c r="AG611" s="31">
        <f t="shared" ca="1" si="178"/>
        <v>10</v>
      </c>
      <c r="AH611" s="31">
        <f t="shared" ca="1" si="179"/>
        <v>17</v>
      </c>
      <c r="AI611" s="31">
        <f t="shared" ca="1" si="180"/>
        <v>57</v>
      </c>
      <c r="AJ611" s="31">
        <f t="shared" ca="1" si="181"/>
        <v>129</v>
      </c>
      <c r="AK611" s="31">
        <f t="shared" ca="1" si="182"/>
        <v>52</v>
      </c>
      <c r="AL611" s="31">
        <f t="shared" ca="1" si="183"/>
        <v>37</v>
      </c>
      <c r="AM611" s="31">
        <f t="shared" ca="1" si="184"/>
        <v>98</v>
      </c>
    </row>
    <row r="612" spans="14:39">
      <c r="N612" s="26">
        <v>604</v>
      </c>
      <c r="O612" s="30">
        <f t="shared" ca="1" si="188"/>
        <v>17.748251697461217</v>
      </c>
      <c r="P612" s="30">
        <f t="shared" ca="1" si="188"/>
        <v>24.906557352947875</v>
      </c>
      <c r="Q612" s="30">
        <f t="shared" ca="1" si="188"/>
        <v>19.886961678249182</v>
      </c>
      <c r="R612" s="30">
        <f t="shared" ca="1" si="188"/>
        <v>5.5244505518023344</v>
      </c>
      <c r="S612" s="30">
        <f t="shared" ca="1" si="188"/>
        <v>4.0858888957938584</v>
      </c>
      <c r="T612" s="30">
        <f t="shared" ca="1" si="188"/>
        <v>5.8165939982201467</v>
      </c>
      <c r="U612" s="30">
        <f t="shared" ca="1" si="188"/>
        <v>30.579959485958014</v>
      </c>
      <c r="V612" s="30">
        <f t="shared" ca="1" si="188"/>
        <v>28.054464548440826</v>
      </c>
      <c r="W612" s="30">
        <f t="shared" ca="1" si="188"/>
        <v>32.298920607169698</v>
      </c>
      <c r="X612" s="30">
        <f t="shared" ca="1" si="188"/>
        <v>14.470618061690798</v>
      </c>
      <c r="Y612" s="30">
        <f t="shared" ca="1" si="188"/>
        <v>1.8881633054133444</v>
      </c>
      <c r="Z612" s="30">
        <f t="shared" ca="1" si="188"/>
        <v>7.0822309181152514</v>
      </c>
      <c r="AA612" s="26">
        <v>604</v>
      </c>
      <c r="AB612" s="31">
        <f t="shared" ca="1" si="185"/>
        <v>25</v>
      </c>
      <c r="AC612" s="31">
        <f t="shared" ca="1" si="174"/>
        <v>46</v>
      </c>
      <c r="AD612" s="31">
        <f t="shared" ca="1" si="175"/>
        <v>30</v>
      </c>
      <c r="AE612" s="31">
        <f t="shared" ca="1" si="176"/>
        <v>6</v>
      </c>
      <c r="AF612" s="31">
        <f t="shared" ca="1" si="177"/>
        <v>5</v>
      </c>
      <c r="AG612" s="31">
        <f t="shared" ca="1" si="178"/>
        <v>7</v>
      </c>
      <c r="AH612" s="31">
        <f t="shared" ca="1" si="179"/>
        <v>82</v>
      </c>
      <c r="AI612" s="31">
        <f t="shared" ca="1" si="180"/>
        <v>61</v>
      </c>
      <c r="AJ612" s="31">
        <f t="shared" ca="1" si="181"/>
        <v>115</v>
      </c>
      <c r="AK612" s="31">
        <f t="shared" ca="1" si="182"/>
        <v>19</v>
      </c>
      <c r="AL612" s="31">
        <f t="shared" ca="1" si="183"/>
        <v>2</v>
      </c>
      <c r="AM612" s="31">
        <f t="shared" ca="1" si="184"/>
        <v>8</v>
      </c>
    </row>
    <row r="613" spans="14:39">
      <c r="N613" s="26">
        <v>605</v>
      </c>
      <c r="O613" s="30">
        <f t="shared" ca="1" si="188"/>
        <v>22.542993807444738</v>
      </c>
      <c r="P613" s="30">
        <f t="shared" ca="1" si="188"/>
        <v>5.3543299479015518</v>
      </c>
      <c r="Q613" s="30">
        <f t="shared" ca="1" si="188"/>
        <v>8.9651704531992902</v>
      </c>
      <c r="R613" s="30">
        <f t="shared" ca="1" si="188"/>
        <v>29.154428876788039</v>
      </c>
      <c r="S613" s="30">
        <f t="shared" ca="1" si="188"/>
        <v>20.225670929751388</v>
      </c>
      <c r="T613" s="30">
        <f t="shared" ca="1" si="188"/>
        <v>30.61832264737852</v>
      </c>
      <c r="U613" s="30">
        <f t="shared" ca="1" si="188"/>
        <v>28.633561062466342</v>
      </c>
      <c r="V613" s="30">
        <f t="shared" ca="1" si="188"/>
        <v>14.951775939912501</v>
      </c>
      <c r="W613" s="30">
        <f t="shared" ca="1" si="188"/>
        <v>28.444142724550051</v>
      </c>
      <c r="X613" s="30">
        <f t="shared" ca="1" si="188"/>
        <v>5.2308114621999406</v>
      </c>
      <c r="Y613" s="30">
        <f t="shared" ca="1" si="188"/>
        <v>11.404590262792153</v>
      </c>
      <c r="Z613" s="30">
        <f t="shared" ca="1" si="188"/>
        <v>6.0126482889611914</v>
      </c>
      <c r="AA613" s="26">
        <v>605</v>
      </c>
      <c r="AB613" s="31">
        <f t="shared" ca="1" si="185"/>
        <v>38</v>
      </c>
      <c r="AC613" s="31">
        <f t="shared" ca="1" si="174"/>
        <v>6</v>
      </c>
      <c r="AD613" s="31">
        <f t="shared" ca="1" si="175"/>
        <v>11</v>
      </c>
      <c r="AE613" s="31">
        <f t="shared" ca="1" si="176"/>
        <v>69</v>
      </c>
      <c r="AF613" s="31">
        <f t="shared" ca="1" si="177"/>
        <v>31</v>
      </c>
      <c r="AG613" s="31">
        <f t="shared" ca="1" si="178"/>
        <v>83</v>
      </c>
      <c r="AH613" s="31">
        <f t="shared" ca="1" si="179"/>
        <v>65</v>
      </c>
      <c r="AI613" s="31">
        <f t="shared" ca="1" si="180"/>
        <v>20</v>
      </c>
      <c r="AJ613" s="31">
        <f t="shared" ca="1" si="181"/>
        <v>64</v>
      </c>
      <c r="AK613" s="31">
        <f t="shared" ca="1" si="182"/>
        <v>6</v>
      </c>
      <c r="AL613" s="31">
        <f t="shared" ca="1" si="183"/>
        <v>14</v>
      </c>
      <c r="AM613" s="31">
        <f t="shared" ca="1" si="184"/>
        <v>7</v>
      </c>
    </row>
    <row r="614" spans="14:39">
      <c r="N614" s="26">
        <v>606</v>
      </c>
      <c r="O614" s="30">
        <f t="shared" ca="1" si="188"/>
        <v>21.541660327767445</v>
      </c>
      <c r="P614" s="30">
        <f t="shared" ca="1" si="188"/>
        <v>4.264297275500752</v>
      </c>
      <c r="Q614" s="30">
        <f t="shared" ca="1" si="188"/>
        <v>32.789741206115842</v>
      </c>
      <c r="R614" s="30">
        <f t="shared" ca="1" si="188"/>
        <v>23.478190966510002</v>
      </c>
      <c r="S614" s="30">
        <f t="shared" ca="1" si="188"/>
        <v>1.7700923142388831</v>
      </c>
      <c r="T614" s="30">
        <f t="shared" ca="1" si="188"/>
        <v>7.6407168397831731</v>
      </c>
      <c r="U614" s="30">
        <f t="shared" ca="1" si="188"/>
        <v>7.0581537935512557</v>
      </c>
      <c r="V614" s="30">
        <f t="shared" ca="1" si="188"/>
        <v>17.031913527764463</v>
      </c>
      <c r="W614" s="30">
        <f t="shared" ca="1" si="188"/>
        <v>11.461543302905596</v>
      </c>
      <c r="X614" s="30">
        <f t="shared" ca="1" si="188"/>
        <v>6.0494042065773792</v>
      </c>
      <c r="Y614" s="30">
        <f t="shared" ca="1" si="188"/>
        <v>16.896963437264084</v>
      </c>
      <c r="Z614" s="30">
        <f t="shared" ca="1" si="188"/>
        <v>21.808838454545374</v>
      </c>
      <c r="AA614" s="26">
        <v>606</v>
      </c>
      <c r="AB614" s="31">
        <f t="shared" ca="1" si="185"/>
        <v>35</v>
      </c>
      <c r="AC614" s="31">
        <f t="shared" ca="1" si="174"/>
        <v>5</v>
      </c>
      <c r="AD614" s="31">
        <f t="shared" ca="1" si="175"/>
        <v>136</v>
      </c>
      <c r="AE614" s="31">
        <f t="shared" ca="1" si="176"/>
        <v>41</v>
      </c>
      <c r="AF614" s="31">
        <f t="shared" ca="1" si="177"/>
        <v>2</v>
      </c>
      <c r="AG614" s="31">
        <f t="shared" ca="1" si="178"/>
        <v>9</v>
      </c>
      <c r="AH614" s="31">
        <f t="shared" ca="1" si="179"/>
        <v>8</v>
      </c>
      <c r="AI614" s="31">
        <f t="shared" ca="1" si="180"/>
        <v>24</v>
      </c>
      <c r="AJ614" s="31">
        <f t="shared" ca="1" si="181"/>
        <v>14</v>
      </c>
      <c r="AK614" s="31">
        <f t="shared" ca="1" si="182"/>
        <v>7</v>
      </c>
      <c r="AL614" s="31">
        <f t="shared" ca="1" si="183"/>
        <v>24</v>
      </c>
      <c r="AM614" s="31">
        <f t="shared" ca="1" si="184"/>
        <v>35</v>
      </c>
    </row>
    <row r="615" spans="14:39">
      <c r="N615" s="26">
        <v>607</v>
      </c>
      <c r="O615" s="30">
        <f t="shared" ca="1" si="188"/>
        <v>32.479874886498841</v>
      </c>
      <c r="P615" s="30">
        <f t="shared" ca="1" si="188"/>
        <v>24.665365861063712</v>
      </c>
      <c r="Q615" s="30">
        <f t="shared" ca="1" si="188"/>
        <v>26.143051887597018</v>
      </c>
      <c r="R615" s="30">
        <f t="shared" ca="1" si="188"/>
        <v>0.49197841156294514</v>
      </c>
      <c r="S615" s="30">
        <f t="shared" ca="1" si="188"/>
        <v>14.885485817331562</v>
      </c>
      <c r="T615" s="30">
        <f t="shared" ca="1" si="188"/>
        <v>10.827101087359321</v>
      </c>
      <c r="U615" s="30">
        <f t="shared" ca="1" si="188"/>
        <v>25.065201804593553</v>
      </c>
      <c r="V615" s="30">
        <f t="shared" ca="1" si="188"/>
        <v>3.5849130838490493</v>
      </c>
      <c r="W615" s="30">
        <f t="shared" ca="1" si="188"/>
        <v>14.332919992378097</v>
      </c>
      <c r="X615" s="30">
        <f t="shared" ca="1" si="188"/>
        <v>12.822117493742264</v>
      </c>
      <c r="Y615" s="30">
        <f t="shared" ca="1" si="188"/>
        <v>19.314862951122983</v>
      </c>
      <c r="Z615" s="30">
        <f t="shared" ca="1" si="188"/>
        <v>1.0821249444211138</v>
      </c>
      <c r="AA615" s="26">
        <v>607</v>
      </c>
      <c r="AB615" s="31">
        <f t="shared" ca="1" si="185"/>
        <v>121</v>
      </c>
      <c r="AC615" s="31">
        <f t="shared" ca="1" si="174"/>
        <v>45</v>
      </c>
      <c r="AD615" s="31">
        <f t="shared" ca="1" si="175"/>
        <v>51</v>
      </c>
      <c r="AE615" s="31">
        <f t="shared" ca="1" si="176"/>
        <v>1</v>
      </c>
      <c r="AF615" s="31">
        <f t="shared" ca="1" si="177"/>
        <v>20</v>
      </c>
      <c r="AG615" s="31">
        <f t="shared" ca="1" si="178"/>
        <v>13</v>
      </c>
      <c r="AH615" s="31">
        <f t="shared" ca="1" si="179"/>
        <v>46</v>
      </c>
      <c r="AI615" s="31">
        <f t="shared" ca="1" si="180"/>
        <v>4</v>
      </c>
      <c r="AJ615" s="31">
        <f t="shared" ca="1" si="181"/>
        <v>19</v>
      </c>
      <c r="AK615" s="31">
        <f t="shared" ca="1" si="182"/>
        <v>16</v>
      </c>
      <c r="AL615" s="31">
        <f t="shared" ca="1" si="183"/>
        <v>29</v>
      </c>
      <c r="AM615" s="31">
        <f t="shared" ca="1" si="184"/>
        <v>2</v>
      </c>
    </row>
    <row r="616" spans="14:39">
      <c r="N616" s="26">
        <v>608</v>
      </c>
      <c r="O616" s="30">
        <f t="shared" ca="1" si="188"/>
        <v>9.808653803593824</v>
      </c>
      <c r="P616" s="30">
        <f t="shared" ca="1" si="188"/>
        <v>7.9092015926211703</v>
      </c>
      <c r="Q616" s="30">
        <f t="shared" ca="1" si="188"/>
        <v>1.9046082044004422</v>
      </c>
      <c r="R616" s="30">
        <f t="shared" ca="1" si="188"/>
        <v>10.422078606248666</v>
      </c>
      <c r="S616" s="30">
        <f t="shared" ca="1" si="188"/>
        <v>19.60225979085288</v>
      </c>
      <c r="T616" s="30">
        <f t="shared" ca="1" si="188"/>
        <v>11.337923791523231</v>
      </c>
      <c r="U616" s="30">
        <f t="shared" ca="1" si="188"/>
        <v>7.2769963817660033</v>
      </c>
      <c r="V616" s="30">
        <f t="shared" ca="1" si="188"/>
        <v>3.1817178957673122</v>
      </c>
      <c r="W616" s="30">
        <f t="shared" ca="1" si="188"/>
        <v>24.07807418118254</v>
      </c>
      <c r="X616" s="30">
        <f t="shared" ca="1" si="188"/>
        <v>13.089715225793448</v>
      </c>
      <c r="Y616" s="30">
        <f t="shared" ca="1" si="188"/>
        <v>2.289778562637848</v>
      </c>
      <c r="Z616" s="30">
        <f t="shared" ca="1" si="188"/>
        <v>0.50098568903375551</v>
      </c>
      <c r="AA616" s="26">
        <v>608</v>
      </c>
      <c r="AB616" s="31">
        <f t="shared" ca="1" si="185"/>
        <v>12</v>
      </c>
      <c r="AC616" s="31">
        <f t="shared" ca="1" si="174"/>
        <v>9</v>
      </c>
      <c r="AD616" s="31">
        <f t="shared" ca="1" si="175"/>
        <v>2</v>
      </c>
      <c r="AE616" s="31">
        <f t="shared" ca="1" si="176"/>
        <v>13</v>
      </c>
      <c r="AF616" s="31">
        <f t="shared" ca="1" si="177"/>
        <v>30</v>
      </c>
      <c r="AG616" s="31">
        <f t="shared" ca="1" si="178"/>
        <v>14</v>
      </c>
      <c r="AH616" s="31">
        <f t="shared" ca="1" si="179"/>
        <v>9</v>
      </c>
      <c r="AI616" s="31">
        <f t="shared" ca="1" si="180"/>
        <v>4</v>
      </c>
      <c r="AJ616" s="31">
        <f t="shared" ca="1" si="181"/>
        <v>43</v>
      </c>
      <c r="AK616" s="31">
        <f t="shared" ca="1" si="182"/>
        <v>17</v>
      </c>
      <c r="AL616" s="31">
        <f t="shared" ca="1" si="183"/>
        <v>3</v>
      </c>
      <c r="AM616" s="31">
        <f t="shared" ca="1" si="184"/>
        <v>1</v>
      </c>
    </row>
    <row r="617" spans="14:39">
      <c r="N617" s="26">
        <v>609</v>
      </c>
      <c r="O617" s="30">
        <f t="shared" ca="1" si="188"/>
        <v>22.728319629673024</v>
      </c>
      <c r="P617" s="30">
        <f t="shared" ca="1" si="188"/>
        <v>14.367869433317876</v>
      </c>
      <c r="Q617" s="30">
        <f t="shared" ca="1" si="188"/>
        <v>19.198632866803816</v>
      </c>
      <c r="R617" s="30">
        <f t="shared" ca="1" si="188"/>
        <v>30.748499195333487</v>
      </c>
      <c r="S617" s="30">
        <f t="shared" ca="1" si="188"/>
        <v>28.727645470901631</v>
      </c>
      <c r="T617" s="30">
        <f t="shared" ca="1" si="188"/>
        <v>23.371737277126051</v>
      </c>
      <c r="U617" s="30">
        <f t="shared" ca="1" si="188"/>
        <v>13.256318705010981</v>
      </c>
      <c r="V617" s="30">
        <f t="shared" ca="1" si="188"/>
        <v>19.16378843526229</v>
      </c>
      <c r="W617" s="30">
        <f t="shared" ca="1" si="188"/>
        <v>31.797054890987166</v>
      </c>
      <c r="X617" s="30">
        <f t="shared" ca="1" si="188"/>
        <v>27.399656875034669</v>
      </c>
      <c r="Y617" s="30">
        <f t="shared" ca="1" si="188"/>
        <v>25.566941368773264</v>
      </c>
      <c r="Z617" s="30">
        <f t="shared" ca="1" si="188"/>
        <v>32.496594906912513</v>
      </c>
      <c r="AA617" s="26">
        <v>609</v>
      </c>
      <c r="AB617" s="31">
        <f t="shared" ca="1" si="185"/>
        <v>38</v>
      </c>
      <c r="AC617" s="31">
        <f t="shared" ca="1" si="174"/>
        <v>19</v>
      </c>
      <c r="AD617" s="31">
        <f t="shared" ca="1" si="175"/>
        <v>29</v>
      </c>
      <c r="AE617" s="31">
        <f t="shared" ca="1" si="176"/>
        <v>84</v>
      </c>
      <c r="AF617" s="31">
        <f t="shared" ca="1" si="177"/>
        <v>65</v>
      </c>
      <c r="AG617" s="31">
        <f t="shared" ca="1" si="178"/>
        <v>40</v>
      </c>
      <c r="AH617" s="31">
        <f t="shared" ca="1" si="179"/>
        <v>17</v>
      </c>
      <c r="AI617" s="31">
        <f t="shared" ca="1" si="180"/>
        <v>29</v>
      </c>
      <c r="AJ617" s="31">
        <f t="shared" ca="1" si="181"/>
        <v>102</v>
      </c>
      <c r="AK617" s="31">
        <f t="shared" ca="1" si="182"/>
        <v>57</v>
      </c>
      <c r="AL617" s="31">
        <f t="shared" ca="1" si="183"/>
        <v>48</v>
      </c>
      <c r="AM617" s="31">
        <f t="shared" ca="1" si="184"/>
        <v>121</v>
      </c>
    </row>
    <row r="618" spans="14:39">
      <c r="N618" s="26">
        <v>610</v>
      </c>
      <c r="O618" s="30">
        <f t="shared" ca="1" si="188"/>
        <v>23.237758943635065</v>
      </c>
      <c r="P618" s="30">
        <f t="shared" ca="1" si="188"/>
        <v>30.824716044141368</v>
      </c>
      <c r="Q618" s="30">
        <f t="shared" ca="1" si="188"/>
        <v>18.134545679770998</v>
      </c>
      <c r="R618" s="30">
        <f t="shared" ca="1" si="188"/>
        <v>19.619713210321219</v>
      </c>
      <c r="S618" s="30">
        <f t="shared" ca="1" si="188"/>
        <v>31.738849165336742</v>
      </c>
      <c r="T618" s="30">
        <f t="shared" ca="1" si="188"/>
        <v>11.597433162876575</v>
      </c>
      <c r="U618" s="30">
        <f t="shared" ca="1" si="188"/>
        <v>22.506346097340174</v>
      </c>
      <c r="V618" s="30">
        <f t="shared" ca="1" si="188"/>
        <v>1.7326613398082235E-2</v>
      </c>
      <c r="W618" s="30">
        <f t="shared" ca="1" si="188"/>
        <v>23.673707171797872</v>
      </c>
      <c r="X618" s="30">
        <f t="shared" ca="1" si="188"/>
        <v>18.155100358142381</v>
      </c>
      <c r="Y618" s="30">
        <f t="shared" ca="1" si="188"/>
        <v>18.058312745446326</v>
      </c>
      <c r="Z618" s="30">
        <f t="shared" ca="1" si="188"/>
        <v>11.353872507515021</v>
      </c>
      <c r="AA618" s="26">
        <v>610</v>
      </c>
      <c r="AB618" s="31">
        <f t="shared" ca="1" si="185"/>
        <v>40</v>
      </c>
      <c r="AC618" s="31">
        <f t="shared" ca="1" si="174"/>
        <v>85</v>
      </c>
      <c r="AD618" s="31">
        <f t="shared" ca="1" si="175"/>
        <v>26</v>
      </c>
      <c r="AE618" s="31">
        <f t="shared" ca="1" si="176"/>
        <v>30</v>
      </c>
      <c r="AF618" s="31">
        <f t="shared" ca="1" si="177"/>
        <v>100</v>
      </c>
      <c r="AG618" s="31">
        <f t="shared" ca="1" si="178"/>
        <v>15</v>
      </c>
      <c r="AH618" s="31">
        <f t="shared" ca="1" si="179"/>
        <v>37</v>
      </c>
      <c r="AI618" s="31">
        <f t="shared" ca="1" si="180"/>
        <v>1</v>
      </c>
      <c r="AJ618" s="31">
        <f t="shared" ca="1" si="181"/>
        <v>41</v>
      </c>
      <c r="AK618" s="31">
        <f t="shared" ca="1" si="182"/>
        <v>26</v>
      </c>
      <c r="AL618" s="31">
        <f t="shared" ca="1" si="183"/>
        <v>26</v>
      </c>
      <c r="AM618" s="31">
        <f t="shared" ca="1" si="184"/>
        <v>14</v>
      </c>
    </row>
    <row r="619" spans="14:39">
      <c r="N619" s="26">
        <v>611</v>
      </c>
      <c r="O619" s="30">
        <f t="shared" ref="O619:Z628" ca="1" si="189">RAND()*sumweights</f>
        <v>1.2015736042585807</v>
      </c>
      <c r="P619" s="30">
        <f t="shared" ca="1" si="189"/>
        <v>27.38841169572952</v>
      </c>
      <c r="Q619" s="30">
        <f t="shared" ca="1" si="189"/>
        <v>3.9442169772537565</v>
      </c>
      <c r="R619" s="30">
        <f t="shared" ca="1" si="189"/>
        <v>17.333777278188688</v>
      </c>
      <c r="S619" s="30">
        <f t="shared" ca="1" si="189"/>
        <v>26.09764788694719</v>
      </c>
      <c r="T619" s="30">
        <f t="shared" ca="1" si="189"/>
        <v>10.475456766570529</v>
      </c>
      <c r="U619" s="30">
        <f t="shared" ca="1" si="189"/>
        <v>30.77452285292528</v>
      </c>
      <c r="V619" s="30">
        <f t="shared" ca="1" si="189"/>
        <v>16.164701325005009</v>
      </c>
      <c r="W619" s="30">
        <f t="shared" ca="1" si="189"/>
        <v>22.263892814105137</v>
      </c>
      <c r="X619" s="30">
        <f t="shared" ca="1" si="189"/>
        <v>3.2842975145511546</v>
      </c>
      <c r="Y619" s="30">
        <f t="shared" ca="1" si="189"/>
        <v>11.348079548080563</v>
      </c>
      <c r="Z619" s="30">
        <f t="shared" ca="1" si="189"/>
        <v>10.158994232094535</v>
      </c>
      <c r="AA619" s="26">
        <v>611</v>
      </c>
      <c r="AB619" s="31">
        <f t="shared" ca="1" si="185"/>
        <v>2</v>
      </c>
      <c r="AC619" s="31">
        <f t="shared" ca="1" si="174"/>
        <v>57</v>
      </c>
      <c r="AD619" s="31">
        <f t="shared" ca="1" si="175"/>
        <v>5</v>
      </c>
      <c r="AE619" s="31">
        <f t="shared" ca="1" si="176"/>
        <v>25</v>
      </c>
      <c r="AF619" s="31">
        <f t="shared" ca="1" si="177"/>
        <v>51</v>
      </c>
      <c r="AG619" s="31">
        <f t="shared" ca="1" si="178"/>
        <v>13</v>
      </c>
      <c r="AH619" s="31">
        <f t="shared" ca="1" si="179"/>
        <v>85</v>
      </c>
      <c r="AI619" s="31">
        <f t="shared" ca="1" si="180"/>
        <v>22</v>
      </c>
      <c r="AJ619" s="31">
        <f t="shared" ca="1" si="181"/>
        <v>37</v>
      </c>
      <c r="AK619" s="31">
        <f t="shared" ca="1" si="182"/>
        <v>4</v>
      </c>
      <c r="AL619" s="31">
        <f t="shared" ca="1" si="183"/>
        <v>14</v>
      </c>
      <c r="AM619" s="31">
        <f t="shared" ca="1" si="184"/>
        <v>12</v>
      </c>
    </row>
    <row r="620" spans="14:39">
      <c r="N620" s="26">
        <v>612</v>
      </c>
      <c r="O620" s="30">
        <f t="shared" ca="1" si="189"/>
        <v>24.730889075494041</v>
      </c>
      <c r="P620" s="30">
        <f t="shared" ca="1" si="189"/>
        <v>32.66619842232334</v>
      </c>
      <c r="Q620" s="30">
        <f t="shared" ca="1" si="189"/>
        <v>5.5654150784106431</v>
      </c>
      <c r="R620" s="30">
        <f t="shared" ca="1" si="189"/>
        <v>17.78280790848935</v>
      </c>
      <c r="S620" s="30">
        <f t="shared" ca="1" si="189"/>
        <v>29.586588951683527</v>
      </c>
      <c r="T620" s="30">
        <f t="shared" ca="1" si="189"/>
        <v>31.945856752501832</v>
      </c>
      <c r="U620" s="30">
        <f t="shared" ca="1" si="189"/>
        <v>7.2525739631020896</v>
      </c>
      <c r="V620" s="30">
        <f t="shared" ca="1" si="189"/>
        <v>2.7210892537825622</v>
      </c>
      <c r="W620" s="30">
        <f t="shared" ca="1" si="189"/>
        <v>29.664401118133839</v>
      </c>
      <c r="X620" s="30">
        <f t="shared" ca="1" si="189"/>
        <v>1.6716523035743618</v>
      </c>
      <c r="Y620" s="30">
        <f t="shared" ca="1" si="189"/>
        <v>30.227821332598477</v>
      </c>
      <c r="Z620" s="30">
        <f t="shared" ca="1" si="189"/>
        <v>18.211565321556517</v>
      </c>
      <c r="AA620" s="26">
        <v>612</v>
      </c>
      <c r="AB620" s="31">
        <f t="shared" ca="1" si="185"/>
        <v>45</v>
      </c>
      <c r="AC620" s="31">
        <f t="shared" ca="1" si="174"/>
        <v>129</v>
      </c>
      <c r="AD620" s="31">
        <f t="shared" ca="1" si="175"/>
        <v>6</v>
      </c>
      <c r="AE620" s="31">
        <f t="shared" ca="1" si="176"/>
        <v>26</v>
      </c>
      <c r="AF620" s="31">
        <f t="shared" ca="1" si="177"/>
        <v>72</v>
      </c>
      <c r="AG620" s="31">
        <f t="shared" ca="1" si="178"/>
        <v>105</v>
      </c>
      <c r="AH620" s="31">
        <f t="shared" ca="1" si="179"/>
        <v>9</v>
      </c>
      <c r="AI620" s="31">
        <f t="shared" ca="1" si="180"/>
        <v>3</v>
      </c>
      <c r="AJ620" s="31">
        <f t="shared" ca="1" si="181"/>
        <v>73</v>
      </c>
      <c r="AK620" s="31">
        <f t="shared" ca="1" si="182"/>
        <v>2</v>
      </c>
      <c r="AL620" s="31">
        <f t="shared" ca="1" si="183"/>
        <v>78</v>
      </c>
      <c r="AM620" s="31">
        <f t="shared" ca="1" si="184"/>
        <v>26</v>
      </c>
    </row>
    <row r="621" spans="14:39">
      <c r="N621" s="26">
        <v>613</v>
      </c>
      <c r="O621" s="30">
        <f t="shared" ca="1" si="189"/>
        <v>8.2804131559856682</v>
      </c>
      <c r="P621" s="30">
        <f t="shared" ca="1" si="189"/>
        <v>5.976235069360353</v>
      </c>
      <c r="Q621" s="30">
        <f t="shared" ca="1" si="189"/>
        <v>20.45281808164977</v>
      </c>
      <c r="R621" s="30">
        <f t="shared" ca="1" si="189"/>
        <v>25.020789199729055</v>
      </c>
      <c r="S621" s="30">
        <f t="shared" ca="1" si="189"/>
        <v>14.129975229767656</v>
      </c>
      <c r="T621" s="30">
        <f t="shared" ca="1" si="189"/>
        <v>0.58600607860442577</v>
      </c>
      <c r="U621" s="30">
        <f t="shared" ca="1" si="189"/>
        <v>21.116175441629782</v>
      </c>
      <c r="V621" s="30">
        <f t="shared" ca="1" si="189"/>
        <v>31.158246749120455</v>
      </c>
      <c r="W621" s="30">
        <f t="shared" ca="1" si="189"/>
        <v>29.822933261684998</v>
      </c>
      <c r="X621" s="30">
        <f t="shared" ca="1" si="189"/>
        <v>14.141420544185735</v>
      </c>
      <c r="Y621" s="30">
        <f t="shared" ca="1" si="189"/>
        <v>17.643470351208993</v>
      </c>
      <c r="Z621" s="30">
        <f t="shared" ca="1" si="189"/>
        <v>27.403029750261148</v>
      </c>
      <c r="AA621" s="26">
        <v>613</v>
      </c>
      <c r="AB621" s="31">
        <f t="shared" ca="1" si="185"/>
        <v>10</v>
      </c>
      <c r="AC621" s="31">
        <f t="shared" ca="1" si="174"/>
        <v>7</v>
      </c>
      <c r="AD621" s="31">
        <f t="shared" ca="1" si="175"/>
        <v>32</v>
      </c>
      <c r="AE621" s="31">
        <f t="shared" ca="1" si="176"/>
        <v>46</v>
      </c>
      <c r="AF621" s="31">
        <f t="shared" ca="1" si="177"/>
        <v>19</v>
      </c>
      <c r="AG621" s="31">
        <f t="shared" ca="1" si="178"/>
        <v>1</v>
      </c>
      <c r="AH621" s="31">
        <f t="shared" ca="1" si="179"/>
        <v>33</v>
      </c>
      <c r="AI621" s="31">
        <f t="shared" ca="1" si="180"/>
        <v>90</v>
      </c>
      <c r="AJ621" s="31">
        <f t="shared" ca="1" si="181"/>
        <v>74</v>
      </c>
      <c r="AK621" s="31">
        <f t="shared" ca="1" si="182"/>
        <v>19</v>
      </c>
      <c r="AL621" s="31">
        <f t="shared" ca="1" si="183"/>
        <v>25</v>
      </c>
      <c r="AM621" s="31">
        <f t="shared" ca="1" si="184"/>
        <v>57</v>
      </c>
    </row>
    <row r="622" spans="14:39">
      <c r="N622" s="26">
        <v>614</v>
      </c>
      <c r="O622" s="30">
        <f t="shared" ca="1" si="189"/>
        <v>16.312845758632392</v>
      </c>
      <c r="P622" s="30">
        <f t="shared" ca="1" si="189"/>
        <v>31.350840462932208</v>
      </c>
      <c r="Q622" s="30">
        <f t="shared" ca="1" si="189"/>
        <v>8.3571848735131216</v>
      </c>
      <c r="R622" s="30">
        <f t="shared" ca="1" si="189"/>
        <v>18.245763995138159</v>
      </c>
      <c r="S622" s="30">
        <f t="shared" ca="1" si="189"/>
        <v>28.241914480167448</v>
      </c>
      <c r="T622" s="30">
        <f t="shared" ca="1" si="189"/>
        <v>29.106301283447454</v>
      </c>
      <c r="U622" s="30">
        <f t="shared" ca="1" si="189"/>
        <v>26.529400076888781</v>
      </c>
      <c r="V622" s="30">
        <f t="shared" ca="1" si="189"/>
        <v>9.88344350717386</v>
      </c>
      <c r="W622" s="30">
        <f t="shared" ca="1" si="189"/>
        <v>15.106012379777031</v>
      </c>
      <c r="X622" s="30">
        <f t="shared" ca="1" si="189"/>
        <v>3.4912498222257491</v>
      </c>
      <c r="Y622" s="30">
        <f t="shared" ca="1" si="189"/>
        <v>15.326559129917397</v>
      </c>
      <c r="Z622" s="30">
        <f t="shared" ca="1" si="189"/>
        <v>8.0902755278167007</v>
      </c>
      <c r="AA622" s="26">
        <v>614</v>
      </c>
      <c r="AB622" s="31">
        <f t="shared" ca="1" si="185"/>
        <v>23</v>
      </c>
      <c r="AC622" s="31">
        <f t="shared" ca="1" si="174"/>
        <v>93</v>
      </c>
      <c r="AD622" s="31">
        <f t="shared" ca="1" si="175"/>
        <v>10</v>
      </c>
      <c r="AE622" s="31">
        <f t="shared" ca="1" si="176"/>
        <v>27</v>
      </c>
      <c r="AF622" s="31">
        <f t="shared" ca="1" si="177"/>
        <v>62</v>
      </c>
      <c r="AG622" s="31">
        <f t="shared" ca="1" si="178"/>
        <v>68</v>
      </c>
      <c r="AH622" s="31">
        <f t="shared" ca="1" si="179"/>
        <v>53</v>
      </c>
      <c r="AI622" s="31">
        <f t="shared" ca="1" si="180"/>
        <v>12</v>
      </c>
      <c r="AJ622" s="31">
        <f t="shared" ca="1" si="181"/>
        <v>20</v>
      </c>
      <c r="AK622" s="31">
        <f t="shared" ca="1" si="182"/>
        <v>4</v>
      </c>
      <c r="AL622" s="31">
        <f t="shared" ca="1" si="183"/>
        <v>21</v>
      </c>
      <c r="AM622" s="31">
        <f t="shared" ca="1" si="184"/>
        <v>10</v>
      </c>
    </row>
    <row r="623" spans="14:39">
      <c r="N623" s="26">
        <v>615</v>
      </c>
      <c r="O623" s="30">
        <f t="shared" ca="1" si="189"/>
        <v>14.918168782254096</v>
      </c>
      <c r="P623" s="30">
        <f t="shared" ca="1" si="189"/>
        <v>32.725799707683819</v>
      </c>
      <c r="Q623" s="30">
        <f t="shared" ca="1" si="189"/>
        <v>22.384890528550279</v>
      </c>
      <c r="R623" s="30">
        <f t="shared" ca="1" si="189"/>
        <v>1.2279928698481188</v>
      </c>
      <c r="S623" s="30">
        <f t="shared" ca="1" si="189"/>
        <v>21.728475715544604</v>
      </c>
      <c r="T623" s="30">
        <f t="shared" ca="1" si="189"/>
        <v>8.0107372487787991</v>
      </c>
      <c r="U623" s="30">
        <f t="shared" ca="1" si="189"/>
        <v>30.374598333099026</v>
      </c>
      <c r="V623" s="30">
        <f t="shared" ca="1" si="189"/>
        <v>30.952436297678396</v>
      </c>
      <c r="W623" s="30">
        <f t="shared" ca="1" si="189"/>
        <v>4.4072351963658507</v>
      </c>
      <c r="X623" s="30">
        <f t="shared" ca="1" si="189"/>
        <v>0.64813538478955479</v>
      </c>
      <c r="Y623" s="30">
        <f t="shared" ca="1" si="189"/>
        <v>26.992453818425822</v>
      </c>
      <c r="Z623" s="30">
        <f t="shared" ca="1" si="189"/>
        <v>31.105911570618051</v>
      </c>
      <c r="AA623" s="26">
        <v>615</v>
      </c>
      <c r="AB623" s="31">
        <f t="shared" ca="1" si="185"/>
        <v>20</v>
      </c>
      <c r="AC623" s="31">
        <f t="shared" ca="1" si="174"/>
        <v>132</v>
      </c>
      <c r="AD623" s="31">
        <f t="shared" ca="1" si="175"/>
        <v>37</v>
      </c>
      <c r="AE623" s="31">
        <f t="shared" ca="1" si="176"/>
        <v>2</v>
      </c>
      <c r="AF623" s="31">
        <f t="shared" ca="1" si="177"/>
        <v>35</v>
      </c>
      <c r="AG623" s="31">
        <f t="shared" ca="1" si="178"/>
        <v>10</v>
      </c>
      <c r="AH623" s="31">
        <f t="shared" ca="1" si="179"/>
        <v>80</v>
      </c>
      <c r="AI623" s="31">
        <f t="shared" ca="1" si="180"/>
        <v>87</v>
      </c>
      <c r="AJ623" s="31">
        <f t="shared" ca="1" si="181"/>
        <v>5</v>
      </c>
      <c r="AK623" s="31">
        <f t="shared" ca="1" si="182"/>
        <v>1</v>
      </c>
      <c r="AL623" s="31">
        <f t="shared" ca="1" si="183"/>
        <v>55</v>
      </c>
      <c r="AM623" s="31">
        <f t="shared" ca="1" si="184"/>
        <v>89</v>
      </c>
    </row>
    <row r="624" spans="14:39">
      <c r="N624" s="26">
        <v>616</v>
      </c>
      <c r="O624" s="30">
        <f t="shared" ca="1" si="189"/>
        <v>5.2377475315653825</v>
      </c>
      <c r="P624" s="30">
        <f t="shared" ca="1" si="189"/>
        <v>25.651624788253262</v>
      </c>
      <c r="Q624" s="30">
        <f t="shared" ca="1" si="189"/>
        <v>31.655031218253502</v>
      </c>
      <c r="R624" s="30">
        <f t="shared" ca="1" si="189"/>
        <v>31.836307702088874</v>
      </c>
      <c r="S624" s="30">
        <f t="shared" ca="1" si="189"/>
        <v>17.654544943535729</v>
      </c>
      <c r="T624" s="30">
        <f t="shared" ca="1" si="189"/>
        <v>15.844330073603698</v>
      </c>
      <c r="U624" s="30">
        <f t="shared" ca="1" si="189"/>
        <v>8.8034523571142103</v>
      </c>
      <c r="V624" s="30">
        <f t="shared" ca="1" si="189"/>
        <v>32.660132933578105</v>
      </c>
      <c r="W624" s="30">
        <f t="shared" ca="1" si="189"/>
        <v>19.131690989702598</v>
      </c>
      <c r="X624" s="30">
        <f t="shared" ca="1" si="189"/>
        <v>28.400435353340455</v>
      </c>
      <c r="Y624" s="30">
        <f t="shared" ca="1" si="189"/>
        <v>7.8573227584052354</v>
      </c>
      <c r="Z624" s="30">
        <f t="shared" ca="1" si="189"/>
        <v>10.789444160385932</v>
      </c>
      <c r="AA624" s="26">
        <v>616</v>
      </c>
      <c r="AB624" s="31">
        <f t="shared" ca="1" si="185"/>
        <v>6</v>
      </c>
      <c r="AC624" s="31">
        <f t="shared" ca="1" si="174"/>
        <v>49</v>
      </c>
      <c r="AD624" s="31">
        <f t="shared" ca="1" si="175"/>
        <v>99</v>
      </c>
      <c r="AE624" s="31">
        <f t="shared" ca="1" si="176"/>
        <v>102</v>
      </c>
      <c r="AF624" s="31">
        <f t="shared" ca="1" si="177"/>
        <v>25</v>
      </c>
      <c r="AG624" s="31">
        <f t="shared" ca="1" si="178"/>
        <v>22</v>
      </c>
      <c r="AH624" s="31">
        <f t="shared" ca="1" si="179"/>
        <v>11</v>
      </c>
      <c r="AI624" s="31">
        <f t="shared" ca="1" si="180"/>
        <v>129</v>
      </c>
      <c r="AJ624" s="31">
        <f t="shared" ca="1" si="181"/>
        <v>29</v>
      </c>
      <c r="AK624" s="31">
        <f t="shared" ca="1" si="182"/>
        <v>63</v>
      </c>
      <c r="AL624" s="31">
        <f t="shared" ca="1" si="183"/>
        <v>9</v>
      </c>
      <c r="AM624" s="31">
        <f t="shared" ca="1" si="184"/>
        <v>13</v>
      </c>
    </row>
    <row r="625" spans="14:39">
      <c r="N625" s="26">
        <v>617</v>
      </c>
      <c r="O625" s="30">
        <f t="shared" ca="1" si="189"/>
        <v>3.9982830594562677</v>
      </c>
      <c r="P625" s="30">
        <f t="shared" ca="1" si="189"/>
        <v>9.0863590367493821</v>
      </c>
      <c r="Q625" s="30">
        <f t="shared" ca="1" si="189"/>
        <v>5.4383927614060896</v>
      </c>
      <c r="R625" s="30">
        <f t="shared" ca="1" si="189"/>
        <v>2.5030177514871639</v>
      </c>
      <c r="S625" s="30">
        <f t="shared" ca="1" si="189"/>
        <v>3.0812376576224274</v>
      </c>
      <c r="T625" s="30">
        <f t="shared" ca="1" si="189"/>
        <v>11.242574958325163</v>
      </c>
      <c r="U625" s="30">
        <f t="shared" ca="1" si="189"/>
        <v>8.498403390123034</v>
      </c>
      <c r="V625" s="30">
        <f t="shared" ca="1" si="189"/>
        <v>1.6587755148173318</v>
      </c>
      <c r="W625" s="30">
        <f t="shared" ca="1" si="189"/>
        <v>1.5219663654233448</v>
      </c>
      <c r="X625" s="30">
        <f t="shared" ca="1" si="189"/>
        <v>32.468825431849396</v>
      </c>
      <c r="Y625" s="30">
        <f t="shared" ca="1" si="189"/>
        <v>10.004148514775702</v>
      </c>
      <c r="Z625" s="30">
        <f t="shared" ca="1" si="189"/>
        <v>13.720586779880279</v>
      </c>
      <c r="AA625" s="26">
        <v>617</v>
      </c>
      <c r="AB625" s="31">
        <f t="shared" ca="1" si="185"/>
        <v>5</v>
      </c>
      <c r="AC625" s="31">
        <f t="shared" ca="1" si="174"/>
        <v>11</v>
      </c>
      <c r="AD625" s="31">
        <f t="shared" ca="1" si="175"/>
        <v>6</v>
      </c>
      <c r="AE625" s="31">
        <f t="shared" ca="1" si="176"/>
        <v>3</v>
      </c>
      <c r="AF625" s="31">
        <f t="shared" ca="1" si="177"/>
        <v>4</v>
      </c>
      <c r="AG625" s="31">
        <f t="shared" ca="1" si="178"/>
        <v>14</v>
      </c>
      <c r="AH625" s="31">
        <f t="shared" ca="1" si="179"/>
        <v>10</v>
      </c>
      <c r="AI625" s="31">
        <f t="shared" ca="1" si="180"/>
        <v>2</v>
      </c>
      <c r="AJ625" s="31">
        <f t="shared" ca="1" si="181"/>
        <v>2</v>
      </c>
      <c r="AK625" s="31">
        <f t="shared" ca="1" si="182"/>
        <v>120</v>
      </c>
      <c r="AL625" s="31">
        <f t="shared" ca="1" si="183"/>
        <v>12</v>
      </c>
      <c r="AM625" s="31">
        <f t="shared" ca="1" si="184"/>
        <v>18</v>
      </c>
    </row>
    <row r="626" spans="14:39">
      <c r="N626" s="26">
        <v>618</v>
      </c>
      <c r="O626" s="30">
        <f t="shared" ca="1" si="189"/>
        <v>12.17460567850371</v>
      </c>
      <c r="P626" s="30">
        <f t="shared" ca="1" si="189"/>
        <v>19.769935510865992</v>
      </c>
      <c r="Q626" s="30">
        <f t="shared" ca="1" si="189"/>
        <v>14.884422095310528</v>
      </c>
      <c r="R626" s="30">
        <f t="shared" ca="1" si="189"/>
        <v>11.511966392359078</v>
      </c>
      <c r="S626" s="30">
        <f t="shared" ca="1" si="189"/>
        <v>30.925216744126867</v>
      </c>
      <c r="T626" s="30">
        <f t="shared" ca="1" si="189"/>
        <v>31.153380472724074</v>
      </c>
      <c r="U626" s="30">
        <f t="shared" ca="1" si="189"/>
        <v>20.802905850939833</v>
      </c>
      <c r="V626" s="30">
        <f t="shared" ca="1" si="189"/>
        <v>16.409276887113268</v>
      </c>
      <c r="W626" s="30">
        <f t="shared" ca="1" si="189"/>
        <v>15.290403766271522</v>
      </c>
      <c r="X626" s="30">
        <f t="shared" ca="1" si="189"/>
        <v>5.6842459748302785</v>
      </c>
      <c r="Y626" s="30">
        <f t="shared" ca="1" si="189"/>
        <v>8.3579568569913061</v>
      </c>
      <c r="Z626" s="30">
        <f t="shared" ca="1" si="189"/>
        <v>14.205669670551185</v>
      </c>
      <c r="AA626" s="26">
        <v>618</v>
      </c>
      <c r="AB626" s="31">
        <f t="shared" ca="1" si="185"/>
        <v>15</v>
      </c>
      <c r="AC626" s="31">
        <f t="shared" ca="1" si="174"/>
        <v>30</v>
      </c>
      <c r="AD626" s="31">
        <f t="shared" ca="1" si="175"/>
        <v>20</v>
      </c>
      <c r="AE626" s="31">
        <f t="shared" ca="1" si="176"/>
        <v>14</v>
      </c>
      <c r="AF626" s="31">
        <f t="shared" ca="1" si="177"/>
        <v>87</v>
      </c>
      <c r="AG626" s="31">
        <f t="shared" ca="1" si="178"/>
        <v>90</v>
      </c>
      <c r="AH626" s="31">
        <f t="shared" ca="1" si="179"/>
        <v>33</v>
      </c>
      <c r="AI626" s="31">
        <f t="shared" ca="1" si="180"/>
        <v>23</v>
      </c>
      <c r="AJ626" s="31">
        <f t="shared" ca="1" si="181"/>
        <v>21</v>
      </c>
      <c r="AK626" s="31">
        <f t="shared" ca="1" si="182"/>
        <v>7</v>
      </c>
      <c r="AL626" s="31">
        <f t="shared" ca="1" si="183"/>
        <v>10</v>
      </c>
      <c r="AM626" s="31">
        <f t="shared" ca="1" si="184"/>
        <v>19</v>
      </c>
    </row>
    <row r="627" spans="14:39">
      <c r="N627" s="26">
        <v>619</v>
      </c>
      <c r="O627" s="30">
        <f t="shared" ca="1" si="189"/>
        <v>5.5178296855564088</v>
      </c>
      <c r="P627" s="30">
        <f t="shared" ca="1" si="189"/>
        <v>15.387713900085732</v>
      </c>
      <c r="Q627" s="30">
        <f t="shared" ca="1" si="189"/>
        <v>26.126387133187958</v>
      </c>
      <c r="R627" s="30">
        <f t="shared" ca="1" si="189"/>
        <v>18.932281332438411</v>
      </c>
      <c r="S627" s="30">
        <f t="shared" ca="1" si="189"/>
        <v>1.6494529823719328</v>
      </c>
      <c r="T627" s="30">
        <f t="shared" ca="1" si="189"/>
        <v>8.3430521067642225</v>
      </c>
      <c r="U627" s="30">
        <f t="shared" ca="1" si="189"/>
        <v>29.11829115124781</v>
      </c>
      <c r="V627" s="30">
        <f t="shared" ca="1" si="189"/>
        <v>8.4285012934814514</v>
      </c>
      <c r="W627" s="30">
        <f t="shared" ca="1" si="189"/>
        <v>11.977882268791749</v>
      </c>
      <c r="X627" s="30">
        <f t="shared" ca="1" si="189"/>
        <v>27.96581250480396</v>
      </c>
      <c r="Y627" s="30">
        <f t="shared" ca="1" si="189"/>
        <v>15.635913323630206</v>
      </c>
      <c r="Z627" s="30">
        <f t="shared" ca="1" si="189"/>
        <v>29.052265154688051</v>
      </c>
      <c r="AA627" s="26">
        <v>619</v>
      </c>
      <c r="AB627" s="31">
        <f t="shared" ca="1" si="185"/>
        <v>6</v>
      </c>
      <c r="AC627" s="31">
        <f t="shared" ca="1" si="174"/>
        <v>21</v>
      </c>
      <c r="AD627" s="31">
        <f t="shared" ca="1" si="175"/>
        <v>51</v>
      </c>
      <c r="AE627" s="31">
        <f t="shared" ca="1" si="176"/>
        <v>28</v>
      </c>
      <c r="AF627" s="31">
        <f t="shared" ca="1" si="177"/>
        <v>2</v>
      </c>
      <c r="AG627" s="31">
        <f t="shared" ca="1" si="178"/>
        <v>10</v>
      </c>
      <c r="AH627" s="31">
        <f t="shared" ca="1" si="179"/>
        <v>68</v>
      </c>
      <c r="AI627" s="31">
        <f t="shared" ca="1" si="180"/>
        <v>10</v>
      </c>
      <c r="AJ627" s="31">
        <f t="shared" ca="1" si="181"/>
        <v>15</v>
      </c>
      <c r="AK627" s="31">
        <f t="shared" ca="1" si="182"/>
        <v>60</v>
      </c>
      <c r="AL627" s="31">
        <f t="shared" ca="1" si="183"/>
        <v>21</v>
      </c>
      <c r="AM627" s="31">
        <f t="shared" ca="1" si="184"/>
        <v>68</v>
      </c>
    </row>
    <row r="628" spans="14:39">
      <c r="N628" s="26">
        <v>620</v>
      </c>
      <c r="O628" s="30">
        <f t="shared" ca="1" si="189"/>
        <v>29.350585446119059</v>
      </c>
      <c r="P628" s="30">
        <f t="shared" ca="1" si="189"/>
        <v>25.316043383445489</v>
      </c>
      <c r="Q628" s="30">
        <f t="shared" ca="1" si="189"/>
        <v>31.050766213850526</v>
      </c>
      <c r="R628" s="30">
        <f t="shared" ca="1" si="189"/>
        <v>1.3022465869579867</v>
      </c>
      <c r="S628" s="30">
        <f t="shared" ca="1" si="189"/>
        <v>7.2264950595682933</v>
      </c>
      <c r="T628" s="30">
        <f t="shared" ca="1" si="189"/>
        <v>13.68316841026304</v>
      </c>
      <c r="U628" s="30">
        <f t="shared" ca="1" si="189"/>
        <v>26.700379977561013</v>
      </c>
      <c r="V628" s="30">
        <f t="shared" ca="1" si="189"/>
        <v>24.262502102482024</v>
      </c>
      <c r="W628" s="30">
        <f t="shared" ca="1" si="189"/>
        <v>11.561635564597822</v>
      </c>
      <c r="X628" s="30">
        <f t="shared" ca="1" si="189"/>
        <v>27.732281063979457</v>
      </c>
      <c r="Y628" s="30">
        <f t="shared" ca="1" si="189"/>
        <v>0.25810696160772173</v>
      </c>
      <c r="Z628" s="30">
        <f t="shared" ca="1" si="189"/>
        <v>27.233263002079926</v>
      </c>
      <c r="AA628" s="26">
        <v>620</v>
      </c>
      <c r="AB628" s="31">
        <f t="shared" ca="1" si="185"/>
        <v>70</v>
      </c>
      <c r="AC628" s="31">
        <f t="shared" ca="1" si="174"/>
        <v>47</v>
      </c>
      <c r="AD628" s="31">
        <f t="shared" ca="1" si="175"/>
        <v>89</v>
      </c>
      <c r="AE628" s="31">
        <f t="shared" ca="1" si="176"/>
        <v>2</v>
      </c>
      <c r="AF628" s="31">
        <f t="shared" ca="1" si="177"/>
        <v>9</v>
      </c>
      <c r="AG628" s="31">
        <f t="shared" ca="1" si="178"/>
        <v>18</v>
      </c>
      <c r="AH628" s="31">
        <f t="shared" ca="1" si="179"/>
        <v>54</v>
      </c>
      <c r="AI628" s="31">
        <f t="shared" ca="1" si="180"/>
        <v>43</v>
      </c>
      <c r="AJ628" s="31">
        <f t="shared" ca="1" si="181"/>
        <v>14</v>
      </c>
      <c r="AK628" s="31">
        <f t="shared" ca="1" si="182"/>
        <v>59</v>
      </c>
      <c r="AL628" s="31">
        <f t="shared" ca="1" si="183"/>
        <v>1</v>
      </c>
      <c r="AM628" s="31">
        <f t="shared" ca="1" si="184"/>
        <v>56</v>
      </c>
    </row>
    <row r="629" spans="14:39">
      <c r="N629" s="26">
        <v>621</v>
      </c>
      <c r="O629" s="30">
        <f t="shared" ref="O629:Z638" ca="1" si="190">RAND()*sumweights</f>
        <v>13.016919127438419</v>
      </c>
      <c r="P629" s="30">
        <f t="shared" ca="1" si="190"/>
        <v>11.61706541720495</v>
      </c>
      <c r="Q629" s="30">
        <f t="shared" ca="1" si="190"/>
        <v>1.0559869958461008</v>
      </c>
      <c r="R629" s="30">
        <f t="shared" ca="1" si="190"/>
        <v>0.62249454125479353</v>
      </c>
      <c r="S629" s="30">
        <f t="shared" ca="1" si="190"/>
        <v>16.794346423226003</v>
      </c>
      <c r="T629" s="30">
        <f t="shared" ca="1" si="190"/>
        <v>4.7919453716625275</v>
      </c>
      <c r="U629" s="30">
        <f t="shared" ca="1" si="190"/>
        <v>1.933335772721376</v>
      </c>
      <c r="V629" s="30">
        <f t="shared" ca="1" si="190"/>
        <v>6.9831390080216957</v>
      </c>
      <c r="W629" s="30">
        <f t="shared" ca="1" si="190"/>
        <v>16.620954361975709</v>
      </c>
      <c r="X629" s="30">
        <f t="shared" ca="1" si="190"/>
        <v>8.3856828687198135</v>
      </c>
      <c r="Y629" s="30">
        <f t="shared" ca="1" si="190"/>
        <v>9.9878100215682917</v>
      </c>
      <c r="Z629" s="30">
        <f t="shared" ca="1" si="190"/>
        <v>14.964886337586515</v>
      </c>
      <c r="AA629" s="26">
        <v>621</v>
      </c>
      <c r="AB629" s="31">
        <f t="shared" ca="1" si="185"/>
        <v>17</v>
      </c>
      <c r="AC629" s="31">
        <f t="shared" ca="1" si="174"/>
        <v>15</v>
      </c>
      <c r="AD629" s="31">
        <f t="shared" ca="1" si="175"/>
        <v>2</v>
      </c>
      <c r="AE629" s="31">
        <f t="shared" ca="1" si="176"/>
        <v>1</v>
      </c>
      <c r="AF629" s="31">
        <f t="shared" ca="1" si="177"/>
        <v>24</v>
      </c>
      <c r="AG629" s="31">
        <f t="shared" ca="1" si="178"/>
        <v>6</v>
      </c>
      <c r="AH629" s="31">
        <f t="shared" ca="1" si="179"/>
        <v>2</v>
      </c>
      <c r="AI629" s="31">
        <f t="shared" ca="1" si="180"/>
        <v>8</v>
      </c>
      <c r="AJ629" s="31">
        <f t="shared" ca="1" si="181"/>
        <v>23</v>
      </c>
      <c r="AK629" s="31">
        <f t="shared" ca="1" si="182"/>
        <v>10</v>
      </c>
      <c r="AL629" s="31">
        <f t="shared" ca="1" si="183"/>
        <v>12</v>
      </c>
      <c r="AM629" s="31">
        <f t="shared" ca="1" si="184"/>
        <v>20</v>
      </c>
    </row>
    <row r="630" spans="14:39">
      <c r="N630" s="26">
        <v>622</v>
      </c>
      <c r="O630" s="30">
        <f t="shared" ca="1" si="190"/>
        <v>10.151684457688743</v>
      </c>
      <c r="P630" s="30">
        <f t="shared" ca="1" si="190"/>
        <v>24.399458982153607</v>
      </c>
      <c r="Q630" s="30">
        <f t="shared" ca="1" si="190"/>
        <v>3.6554184049745739</v>
      </c>
      <c r="R630" s="30">
        <f t="shared" ca="1" si="190"/>
        <v>9.0962615773379021</v>
      </c>
      <c r="S630" s="30">
        <f t="shared" ca="1" si="190"/>
        <v>22.372653392887695</v>
      </c>
      <c r="T630" s="30">
        <f t="shared" ca="1" si="190"/>
        <v>28.163232612124734</v>
      </c>
      <c r="U630" s="30">
        <f t="shared" ca="1" si="190"/>
        <v>15.060492244116983</v>
      </c>
      <c r="V630" s="30">
        <f t="shared" ca="1" si="190"/>
        <v>13.16748543351193</v>
      </c>
      <c r="W630" s="30">
        <f t="shared" ca="1" si="190"/>
        <v>15.321146290744847</v>
      </c>
      <c r="X630" s="30">
        <f t="shared" ca="1" si="190"/>
        <v>23.792392557102609</v>
      </c>
      <c r="Y630" s="30">
        <f t="shared" ca="1" si="190"/>
        <v>14.32377373719293</v>
      </c>
      <c r="Z630" s="30">
        <f t="shared" ca="1" si="190"/>
        <v>32.099749434122707</v>
      </c>
      <c r="AA630" s="26">
        <v>622</v>
      </c>
      <c r="AB630" s="31">
        <f t="shared" ca="1" si="185"/>
        <v>12</v>
      </c>
      <c r="AC630" s="31">
        <f t="shared" ca="1" si="174"/>
        <v>44</v>
      </c>
      <c r="AD630" s="31">
        <f t="shared" ca="1" si="175"/>
        <v>4</v>
      </c>
      <c r="AE630" s="31">
        <f t="shared" ca="1" si="176"/>
        <v>11</v>
      </c>
      <c r="AF630" s="31">
        <f t="shared" ca="1" si="177"/>
        <v>37</v>
      </c>
      <c r="AG630" s="31">
        <f t="shared" ca="1" si="178"/>
        <v>62</v>
      </c>
      <c r="AH630" s="31">
        <f t="shared" ca="1" si="179"/>
        <v>20</v>
      </c>
      <c r="AI630" s="31">
        <f t="shared" ca="1" si="180"/>
        <v>17</v>
      </c>
      <c r="AJ630" s="31">
        <f t="shared" ca="1" si="181"/>
        <v>21</v>
      </c>
      <c r="AK630" s="31">
        <f t="shared" ca="1" si="182"/>
        <v>42</v>
      </c>
      <c r="AL630" s="31">
        <f t="shared" ca="1" si="183"/>
        <v>19</v>
      </c>
      <c r="AM630" s="31">
        <f t="shared" ca="1" si="184"/>
        <v>109</v>
      </c>
    </row>
    <row r="631" spans="14:39">
      <c r="N631" s="26">
        <v>623</v>
      </c>
      <c r="O631" s="30">
        <f t="shared" ca="1" si="190"/>
        <v>8.7444369242875197</v>
      </c>
      <c r="P631" s="30">
        <f t="shared" ca="1" si="190"/>
        <v>32.318996995235032</v>
      </c>
      <c r="Q631" s="30">
        <f t="shared" ca="1" si="190"/>
        <v>20.399046641922148</v>
      </c>
      <c r="R631" s="30">
        <f t="shared" ca="1" si="190"/>
        <v>25.651793387717596</v>
      </c>
      <c r="S631" s="30">
        <f t="shared" ca="1" si="190"/>
        <v>22.383993615569054</v>
      </c>
      <c r="T631" s="30">
        <f t="shared" ca="1" si="190"/>
        <v>32.395980536893305</v>
      </c>
      <c r="U631" s="30">
        <f t="shared" ca="1" si="190"/>
        <v>14.642331187758318</v>
      </c>
      <c r="V631" s="30">
        <f t="shared" ca="1" si="190"/>
        <v>14.173304937739349</v>
      </c>
      <c r="W631" s="30">
        <f t="shared" ca="1" si="190"/>
        <v>25.064916055177115</v>
      </c>
      <c r="X631" s="30">
        <f t="shared" ca="1" si="190"/>
        <v>32.025346446177046</v>
      </c>
      <c r="Y631" s="30">
        <f t="shared" ca="1" si="190"/>
        <v>3.9370394801863347</v>
      </c>
      <c r="Z631" s="30">
        <f t="shared" ca="1" si="190"/>
        <v>1.4930158188338709</v>
      </c>
      <c r="AA631" s="26">
        <v>623</v>
      </c>
      <c r="AB631" s="31">
        <f t="shared" ca="1" si="185"/>
        <v>10</v>
      </c>
      <c r="AC631" s="31">
        <f t="shared" ca="1" si="174"/>
        <v>115</v>
      </c>
      <c r="AD631" s="31">
        <f t="shared" ca="1" si="175"/>
        <v>32</v>
      </c>
      <c r="AE631" s="31">
        <f t="shared" ca="1" si="176"/>
        <v>49</v>
      </c>
      <c r="AF631" s="31">
        <f t="shared" ca="1" si="177"/>
        <v>37</v>
      </c>
      <c r="AG631" s="31">
        <f t="shared" ca="1" si="178"/>
        <v>118</v>
      </c>
      <c r="AH631" s="31">
        <f t="shared" ca="1" si="179"/>
        <v>19</v>
      </c>
      <c r="AI631" s="31">
        <f t="shared" ca="1" si="180"/>
        <v>19</v>
      </c>
      <c r="AJ631" s="31">
        <f t="shared" ca="1" si="181"/>
        <v>46</v>
      </c>
      <c r="AK631" s="31">
        <f t="shared" ca="1" si="182"/>
        <v>107</v>
      </c>
      <c r="AL631" s="31">
        <f t="shared" ca="1" si="183"/>
        <v>5</v>
      </c>
      <c r="AM631" s="31">
        <f t="shared" ca="1" si="184"/>
        <v>2</v>
      </c>
    </row>
    <row r="632" spans="14:39">
      <c r="N632" s="26">
        <v>624</v>
      </c>
      <c r="O632" s="30">
        <f t="shared" ca="1" si="190"/>
        <v>5.4524859877229002</v>
      </c>
      <c r="P632" s="30">
        <f t="shared" ca="1" si="190"/>
        <v>14.790373203465032</v>
      </c>
      <c r="Q632" s="30">
        <f t="shared" ca="1" si="190"/>
        <v>2.5268139107705796</v>
      </c>
      <c r="R632" s="30">
        <f t="shared" ca="1" si="190"/>
        <v>8.7029922136555786</v>
      </c>
      <c r="S632" s="30">
        <f t="shared" ca="1" si="190"/>
        <v>21.281303463796693</v>
      </c>
      <c r="T632" s="30">
        <f t="shared" ca="1" si="190"/>
        <v>19.734416800712442</v>
      </c>
      <c r="U632" s="30">
        <f t="shared" ca="1" si="190"/>
        <v>7.2977314899805839</v>
      </c>
      <c r="V632" s="30">
        <f t="shared" ca="1" si="190"/>
        <v>23.051001032824427</v>
      </c>
      <c r="W632" s="30">
        <f t="shared" ca="1" si="190"/>
        <v>1.9011896595841482</v>
      </c>
      <c r="X632" s="30">
        <f t="shared" ca="1" si="190"/>
        <v>13.218021968894709</v>
      </c>
      <c r="Y632" s="30">
        <f t="shared" ca="1" si="190"/>
        <v>22.866067312638251</v>
      </c>
      <c r="Z632" s="30">
        <f t="shared" ca="1" si="190"/>
        <v>5.7139019331873815</v>
      </c>
      <c r="AA632" s="26">
        <v>624</v>
      </c>
      <c r="AB632" s="31">
        <f t="shared" ca="1" si="185"/>
        <v>6</v>
      </c>
      <c r="AC632" s="31">
        <f t="shared" ca="1" si="174"/>
        <v>20</v>
      </c>
      <c r="AD632" s="31">
        <f t="shared" ca="1" si="175"/>
        <v>3</v>
      </c>
      <c r="AE632" s="31">
        <f t="shared" ca="1" si="176"/>
        <v>10</v>
      </c>
      <c r="AF632" s="31">
        <f t="shared" ca="1" si="177"/>
        <v>34</v>
      </c>
      <c r="AG632" s="31">
        <f t="shared" ca="1" si="178"/>
        <v>30</v>
      </c>
      <c r="AH632" s="31">
        <f t="shared" ca="1" si="179"/>
        <v>9</v>
      </c>
      <c r="AI632" s="31">
        <f t="shared" ca="1" si="180"/>
        <v>39</v>
      </c>
      <c r="AJ632" s="31">
        <f t="shared" ca="1" si="181"/>
        <v>2</v>
      </c>
      <c r="AK632" s="31">
        <f t="shared" ca="1" si="182"/>
        <v>17</v>
      </c>
      <c r="AL632" s="31">
        <f t="shared" ca="1" si="183"/>
        <v>39</v>
      </c>
      <c r="AM632" s="31">
        <f t="shared" ca="1" si="184"/>
        <v>7</v>
      </c>
    </row>
    <row r="633" spans="14:39">
      <c r="N633" s="26">
        <v>625</v>
      </c>
      <c r="O633" s="30">
        <f t="shared" ca="1" si="190"/>
        <v>30.64444611870228</v>
      </c>
      <c r="P633" s="30">
        <f t="shared" ca="1" si="190"/>
        <v>12.863010006548942</v>
      </c>
      <c r="Q633" s="30">
        <f t="shared" ca="1" si="190"/>
        <v>31.23888737413403</v>
      </c>
      <c r="R633" s="30">
        <f t="shared" ca="1" si="190"/>
        <v>6.2323738879079569</v>
      </c>
      <c r="S633" s="30">
        <f t="shared" ca="1" si="190"/>
        <v>31.4339035467911</v>
      </c>
      <c r="T633" s="30">
        <f t="shared" ca="1" si="190"/>
        <v>19.40354850661782</v>
      </c>
      <c r="U633" s="30">
        <f t="shared" ca="1" si="190"/>
        <v>4.0462537871280837</v>
      </c>
      <c r="V633" s="30">
        <f t="shared" ca="1" si="190"/>
        <v>23.589375374789167</v>
      </c>
      <c r="W633" s="30">
        <f t="shared" ca="1" si="190"/>
        <v>3.0288209474256678</v>
      </c>
      <c r="X633" s="30">
        <f t="shared" ca="1" si="190"/>
        <v>4.3381485093253893</v>
      </c>
      <c r="Y633" s="30">
        <f t="shared" ca="1" si="190"/>
        <v>0.62585983219955355</v>
      </c>
      <c r="Z633" s="30">
        <f t="shared" ca="1" si="190"/>
        <v>1.8633091181683283</v>
      </c>
      <c r="AA633" s="26">
        <v>625</v>
      </c>
      <c r="AB633" s="31">
        <f t="shared" ca="1" si="185"/>
        <v>83</v>
      </c>
      <c r="AC633" s="31">
        <f t="shared" ca="1" si="174"/>
        <v>17</v>
      </c>
      <c r="AD633" s="31">
        <f t="shared" ca="1" si="175"/>
        <v>91</v>
      </c>
      <c r="AE633" s="31">
        <f t="shared" ca="1" si="176"/>
        <v>7</v>
      </c>
      <c r="AF633" s="31">
        <f t="shared" ca="1" si="177"/>
        <v>95</v>
      </c>
      <c r="AG633" s="31">
        <f t="shared" ca="1" si="178"/>
        <v>29</v>
      </c>
      <c r="AH633" s="31">
        <f t="shared" ca="1" si="179"/>
        <v>5</v>
      </c>
      <c r="AI633" s="31">
        <f t="shared" ca="1" si="180"/>
        <v>41</v>
      </c>
      <c r="AJ633" s="31">
        <f t="shared" ca="1" si="181"/>
        <v>4</v>
      </c>
      <c r="AK633" s="31">
        <f t="shared" ca="1" si="182"/>
        <v>5</v>
      </c>
      <c r="AL633" s="31">
        <f t="shared" ca="1" si="183"/>
        <v>1</v>
      </c>
      <c r="AM633" s="31">
        <f t="shared" ca="1" si="184"/>
        <v>2</v>
      </c>
    </row>
    <row r="634" spans="14:39">
      <c r="N634" s="26">
        <v>626</v>
      </c>
      <c r="O634" s="30">
        <f t="shared" ca="1" si="190"/>
        <v>22.010330604273172</v>
      </c>
      <c r="P634" s="30">
        <f t="shared" ca="1" si="190"/>
        <v>10.068580447737299</v>
      </c>
      <c r="Q634" s="30">
        <f t="shared" ca="1" si="190"/>
        <v>18.749107015844121</v>
      </c>
      <c r="R634" s="30">
        <f t="shared" ca="1" si="190"/>
        <v>33.178443872333503</v>
      </c>
      <c r="S634" s="30">
        <f t="shared" ca="1" si="190"/>
        <v>29.810077515985451</v>
      </c>
      <c r="T634" s="30">
        <f t="shared" ca="1" si="190"/>
        <v>7.7460463115719316</v>
      </c>
      <c r="U634" s="30">
        <f t="shared" ca="1" si="190"/>
        <v>20.93208236048557</v>
      </c>
      <c r="V634" s="30">
        <f t="shared" ca="1" si="190"/>
        <v>25.293790197363208</v>
      </c>
      <c r="W634" s="30">
        <f t="shared" ca="1" si="190"/>
        <v>14.695009686469419</v>
      </c>
      <c r="X634" s="30">
        <f t="shared" ca="1" si="190"/>
        <v>5.7067846880468229</v>
      </c>
      <c r="Y634" s="30">
        <f t="shared" ca="1" si="190"/>
        <v>10.482274257417606</v>
      </c>
      <c r="Z634" s="30">
        <f t="shared" ca="1" si="190"/>
        <v>5.8829392278999384</v>
      </c>
      <c r="AA634" s="26">
        <v>626</v>
      </c>
      <c r="AB634" s="31">
        <f t="shared" ca="1" si="185"/>
        <v>36</v>
      </c>
      <c r="AC634" s="31">
        <f t="shared" ca="1" si="174"/>
        <v>12</v>
      </c>
      <c r="AD634" s="31">
        <f t="shared" ca="1" si="175"/>
        <v>28</v>
      </c>
      <c r="AE634" s="31">
        <f t="shared" ca="1" si="176"/>
        <v>177</v>
      </c>
      <c r="AF634" s="31">
        <f t="shared" ca="1" si="177"/>
        <v>74</v>
      </c>
      <c r="AG634" s="31">
        <f t="shared" ca="1" si="178"/>
        <v>9</v>
      </c>
      <c r="AH634" s="31">
        <f t="shared" ca="1" si="179"/>
        <v>33</v>
      </c>
      <c r="AI634" s="31">
        <f t="shared" ca="1" si="180"/>
        <v>47</v>
      </c>
      <c r="AJ634" s="31">
        <f t="shared" ca="1" si="181"/>
        <v>20</v>
      </c>
      <c r="AK634" s="31">
        <f t="shared" ca="1" si="182"/>
        <v>7</v>
      </c>
      <c r="AL634" s="31">
        <f t="shared" ca="1" si="183"/>
        <v>13</v>
      </c>
      <c r="AM634" s="31">
        <f t="shared" ca="1" si="184"/>
        <v>7</v>
      </c>
    </row>
    <row r="635" spans="14:39">
      <c r="N635" s="26">
        <v>627</v>
      </c>
      <c r="O635" s="30">
        <f t="shared" ca="1" si="190"/>
        <v>17.885793833652155</v>
      </c>
      <c r="P635" s="30">
        <f t="shared" ca="1" si="190"/>
        <v>32.729304568257241</v>
      </c>
      <c r="Q635" s="30">
        <f t="shared" ca="1" si="190"/>
        <v>23.536784021933073</v>
      </c>
      <c r="R635" s="30">
        <f t="shared" ca="1" si="190"/>
        <v>32.253703505608883</v>
      </c>
      <c r="S635" s="30">
        <f t="shared" ca="1" si="190"/>
        <v>26.06647296878074</v>
      </c>
      <c r="T635" s="30">
        <f t="shared" ca="1" si="190"/>
        <v>9.8384799746325378</v>
      </c>
      <c r="U635" s="30">
        <f t="shared" ca="1" si="190"/>
        <v>8.0433381315638499</v>
      </c>
      <c r="V635" s="30">
        <f t="shared" ca="1" si="190"/>
        <v>9.5023020815185539</v>
      </c>
      <c r="W635" s="30">
        <f t="shared" ca="1" si="190"/>
        <v>4.367306554206845</v>
      </c>
      <c r="X635" s="30">
        <f t="shared" ca="1" si="190"/>
        <v>27.376148182516499</v>
      </c>
      <c r="Y635" s="30">
        <f t="shared" ca="1" si="190"/>
        <v>23.812107451309366</v>
      </c>
      <c r="Z635" s="30">
        <f t="shared" ca="1" si="190"/>
        <v>23.841958683413203</v>
      </c>
      <c r="AA635" s="26">
        <v>627</v>
      </c>
      <c r="AB635" s="31">
        <f t="shared" ca="1" si="185"/>
        <v>26</v>
      </c>
      <c r="AC635" s="31">
        <f t="shared" ca="1" si="174"/>
        <v>132</v>
      </c>
      <c r="AD635" s="31">
        <f t="shared" ca="1" si="175"/>
        <v>41</v>
      </c>
      <c r="AE635" s="31">
        <f t="shared" ca="1" si="176"/>
        <v>113</v>
      </c>
      <c r="AF635" s="31">
        <f t="shared" ca="1" si="177"/>
        <v>51</v>
      </c>
      <c r="AG635" s="31">
        <f t="shared" ca="1" si="178"/>
        <v>12</v>
      </c>
      <c r="AH635" s="31">
        <f t="shared" ca="1" si="179"/>
        <v>10</v>
      </c>
      <c r="AI635" s="31">
        <f t="shared" ca="1" si="180"/>
        <v>12</v>
      </c>
      <c r="AJ635" s="31">
        <f t="shared" ca="1" si="181"/>
        <v>5</v>
      </c>
      <c r="AK635" s="31">
        <f t="shared" ca="1" si="182"/>
        <v>57</v>
      </c>
      <c r="AL635" s="31">
        <f t="shared" ca="1" si="183"/>
        <v>42</v>
      </c>
      <c r="AM635" s="31">
        <f t="shared" ca="1" si="184"/>
        <v>42</v>
      </c>
    </row>
    <row r="636" spans="14:39">
      <c r="N636" s="26">
        <v>628</v>
      </c>
      <c r="O636" s="30">
        <f t="shared" ca="1" si="190"/>
        <v>24.854798507891047</v>
      </c>
      <c r="P636" s="30">
        <f t="shared" ca="1" si="190"/>
        <v>29.596153579924479</v>
      </c>
      <c r="Q636" s="30">
        <f t="shared" ca="1" si="190"/>
        <v>14.152318161834135</v>
      </c>
      <c r="R636" s="30">
        <f t="shared" ca="1" si="190"/>
        <v>20.694797714646125</v>
      </c>
      <c r="S636" s="30">
        <f t="shared" ca="1" si="190"/>
        <v>26.316611502301729</v>
      </c>
      <c r="T636" s="30">
        <f t="shared" ca="1" si="190"/>
        <v>29.008940923896745</v>
      </c>
      <c r="U636" s="30">
        <f t="shared" ca="1" si="190"/>
        <v>3.5485748004900333</v>
      </c>
      <c r="V636" s="30">
        <f t="shared" ca="1" si="190"/>
        <v>18.914943642451338</v>
      </c>
      <c r="W636" s="30">
        <f t="shared" ca="1" si="190"/>
        <v>9.762999752309927</v>
      </c>
      <c r="X636" s="30">
        <f t="shared" ca="1" si="190"/>
        <v>13.275072004127509</v>
      </c>
      <c r="Y636" s="30">
        <f t="shared" ca="1" si="190"/>
        <v>6.6323445640659751</v>
      </c>
      <c r="Z636" s="30">
        <f t="shared" ca="1" si="190"/>
        <v>26.609060272542219</v>
      </c>
      <c r="AA636" s="26">
        <v>628</v>
      </c>
      <c r="AB636" s="31">
        <f t="shared" ca="1" si="185"/>
        <v>45</v>
      </c>
      <c r="AC636" s="31">
        <f t="shared" ca="1" si="174"/>
        <v>72</v>
      </c>
      <c r="AD636" s="31">
        <f t="shared" ca="1" si="175"/>
        <v>19</v>
      </c>
      <c r="AE636" s="31">
        <f t="shared" ca="1" si="176"/>
        <v>32</v>
      </c>
      <c r="AF636" s="31">
        <f t="shared" ca="1" si="177"/>
        <v>52</v>
      </c>
      <c r="AG636" s="31">
        <f t="shared" ca="1" si="178"/>
        <v>68</v>
      </c>
      <c r="AH636" s="31">
        <f t="shared" ca="1" si="179"/>
        <v>4</v>
      </c>
      <c r="AI636" s="31">
        <f t="shared" ca="1" si="180"/>
        <v>28</v>
      </c>
      <c r="AJ636" s="31">
        <f t="shared" ca="1" si="181"/>
        <v>12</v>
      </c>
      <c r="AK636" s="31">
        <f t="shared" ca="1" si="182"/>
        <v>17</v>
      </c>
      <c r="AL636" s="31">
        <f t="shared" ca="1" si="183"/>
        <v>8</v>
      </c>
      <c r="AM636" s="31">
        <f t="shared" ca="1" si="184"/>
        <v>53</v>
      </c>
    </row>
    <row r="637" spans="14:39">
      <c r="N637" s="26">
        <v>629</v>
      </c>
      <c r="O637" s="30">
        <f t="shared" ca="1" si="190"/>
        <v>16.480642931889065</v>
      </c>
      <c r="P637" s="30">
        <f t="shared" ca="1" si="190"/>
        <v>21.174198247717314</v>
      </c>
      <c r="Q637" s="30">
        <f t="shared" ca="1" si="190"/>
        <v>29.531328785698864</v>
      </c>
      <c r="R637" s="30">
        <f t="shared" ca="1" si="190"/>
        <v>5.2746122581920787</v>
      </c>
      <c r="S637" s="30">
        <f t="shared" ca="1" si="190"/>
        <v>9.6604034297527832</v>
      </c>
      <c r="T637" s="30">
        <f t="shared" ca="1" si="190"/>
        <v>2.4499463257596998</v>
      </c>
      <c r="U637" s="30">
        <f t="shared" ca="1" si="190"/>
        <v>4.991564936130799</v>
      </c>
      <c r="V637" s="30">
        <f t="shared" ca="1" si="190"/>
        <v>27.047466179882694</v>
      </c>
      <c r="W637" s="30">
        <f t="shared" ca="1" si="190"/>
        <v>18.139130671021196</v>
      </c>
      <c r="X637" s="30">
        <f t="shared" ca="1" si="190"/>
        <v>16.346140831797907</v>
      </c>
      <c r="Y637" s="30">
        <f t="shared" ca="1" si="190"/>
        <v>27.789472509453208</v>
      </c>
      <c r="Z637" s="30">
        <f t="shared" ca="1" si="190"/>
        <v>11.198223282646724</v>
      </c>
      <c r="AA637" s="26">
        <v>629</v>
      </c>
      <c r="AB637" s="31">
        <f t="shared" ca="1" si="185"/>
        <v>23</v>
      </c>
      <c r="AC637" s="31">
        <f t="shared" ca="1" si="174"/>
        <v>34</v>
      </c>
      <c r="AD637" s="31">
        <f t="shared" ca="1" si="175"/>
        <v>72</v>
      </c>
      <c r="AE637" s="31">
        <f t="shared" ca="1" si="176"/>
        <v>6</v>
      </c>
      <c r="AF637" s="31">
        <f t="shared" ca="1" si="177"/>
        <v>12</v>
      </c>
      <c r="AG637" s="31">
        <f t="shared" ca="1" si="178"/>
        <v>3</v>
      </c>
      <c r="AH637" s="31">
        <f t="shared" ca="1" si="179"/>
        <v>6</v>
      </c>
      <c r="AI637" s="31">
        <f t="shared" ca="1" si="180"/>
        <v>55</v>
      </c>
      <c r="AJ637" s="31">
        <f t="shared" ca="1" si="181"/>
        <v>26</v>
      </c>
      <c r="AK637" s="31">
        <f t="shared" ca="1" si="182"/>
        <v>23</v>
      </c>
      <c r="AL637" s="31">
        <f t="shared" ca="1" si="183"/>
        <v>59</v>
      </c>
      <c r="AM637" s="31">
        <f t="shared" ca="1" si="184"/>
        <v>14</v>
      </c>
    </row>
    <row r="638" spans="14:39">
      <c r="N638" s="26">
        <v>630</v>
      </c>
      <c r="O638" s="30">
        <f t="shared" ca="1" si="190"/>
        <v>9.7751911482883465</v>
      </c>
      <c r="P638" s="30">
        <f t="shared" ca="1" si="190"/>
        <v>24.796695973545713</v>
      </c>
      <c r="Q638" s="30">
        <f t="shared" ca="1" si="190"/>
        <v>18.206983963189174</v>
      </c>
      <c r="R638" s="30">
        <f t="shared" ca="1" si="190"/>
        <v>10.278690754611015</v>
      </c>
      <c r="S638" s="30">
        <f t="shared" ca="1" si="190"/>
        <v>15.173811549514619</v>
      </c>
      <c r="T638" s="30">
        <f t="shared" ca="1" si="190"/>
        <v>30.82420152651547</v>
      </c>
      <c r="U638" s="30">
        <f t="shared" ca="1" si="190"/>
        <v>15.190313292781815</v>
      </c>
      <c r="V638" s="30">
        <f t="shared" ca="1" si="190"/>
        <v>18.683049791592339</v>
      </c>
      <c r="W638" s="30">
        <f t="shared" ca="1" si="190"/>
        <v>12.285980969744607</v>
      </c>
      <c r="X638" s="30">
        <f t="shared" ca="1" si="190"/>
        <v>9.9714319461533147</v>
      </c>
      <c r="Y638" s="30">
        <f t="shared" ca="1" si="190"/>
        <v>30.966100457105409</v>
      </c>
      <c r="Z638" s="30">
        <f t="shared" ca="1" si="190"/>
        <v>22.167882747756863</v>
      </c>
      <c r="AA638" s="26">
        <v>630</v>
      </c>
      <c r="AB638" s="31">
        <f t="shared" ca="1" si="185"/>
        <v>12</v>
      </c>
      <c r="AC638" s="31">
        <f t="shared" ca="1" si="174"/>
        <v>45</v>
      </c>
      <c r="AD638" s="31">
        <f t="shared" ca="1" si="175"/>
        <v>26</v>
      </c>
      <c r="AE638" s="31">
        <f t="shared" ca="1" si="176"/>
        <v>13</v>
      </c>
      <c r="AF638" s="31">
        <f t="shared" ca="1" si="177"/>
        <v>20</v>
      </c>
      <c r="AG638" s="31">
        <f t="shared" ca="1" si="178"/>
        <v>85</v>
      </c>
      <c r="AH638" s="31">
        <f t="shared" ca="1" si="179"/>
        <v>20</v>
      </c>
      <c r="AI638" s="31">
        <f t="shared" ca="1" si="180"/>
        <v>27</v>
      </c>
      <c r="AJ638" s="31">
        <f t="shared" ca="1" si="181"/>
        <v>16</v>
      </c>
      <c r="AK638" s="31">
        <f t="shared" ca="1" si="182"/>
        <v>12</v>
      </c>
      <c r="AL638" s="31">
        <f t="shared" ca="1" si="183"/>
        <v>87</v>
      </c>
      <c r="AM638" s="31">
        <f t="shared" ca="1" si="184"/>
        <v>36</v>
      </c>
    </row>
    <row r="639" spans="14:39">
      <c r="N639" s="26">
        <v>631</v>
      </c>
      <c r="O639" s="30">
        <f t="shared" ref="O639:Z648" ca="1" si="191">RAND()*sumweights</f>
        <v>14.018087181391062</v>
      </c>
      <c r="P639" s="30">
        <f t="shared" ca="1" si="191"/>
        <v>2.6294749343998598</v>
      </c>
      <c r="Q639" s="30">
        <f t="shared" ca="1" si="191"/>
        <v>0.42207782888099438</v>
      </c>
      <c r="R639" s="30">
        <f t="shared" ca="1" si="191"/>
        <v>1.5274654609520388</v>
      </c>
      <c r="S639" s="30">
        <f t="shared" ca="1" si="191"/>
        <v>26.403897550189821</v>
      </c>
      <c r="T639" s="30">
        <f t="shared" ca="1" si="191"/>
        <v>18.30977416075638</v>
      </c>
      <c r="U639" s="30">
        <f t="shared" ca="1" si="191"/>
        <v>30.562938465142793</v>
      </c>
      <c r="V639" s="30">
        <f t="shared" ca="1" si="191"/>
        <v>15.390168662452318</v>
      </c>
      <c r="W639" s="30">
        <f t="shared" ca="1" si="191"/>
        <v>2.2399028333431787</v>
      </c>
      <c r="X639" s="30">
        <f t="shared" ca="1" si="191"/>
        <v>32.342345569221486</v>
      </c>
      <c r="Y639" s="30">
        <f t="shared" ca="1" si="191"/>
        <v>25.382409941620679</v>
      </c>
      <c r="Z639" s="30">
        <f t="shared" ca="1" si="191"/>
        <v>25.509504294834311</v>
      </c>
      <c r="AA639" s="26">
        <v>631</v>
      </c>
      <c r="AB639" s="31">
        <f t="shared" ca="1" si="185"/>
        <v>18</v>
      </c>
      <c r="AC639" s="31">
        <f t="shared" ca="1" si="174"/>
        <v>3</v>
      </c>
      <c r="AD639" s="31">
        <f t="shared" ca="1" si="175"/>
        <v>1</v>
      </c>
      <c r="AE639" s="31">
        <f t="shared" ca="1" si="176"/>
        <v>2</v>
      </c>
      <c r="AF639" s="31">
        <f t="shared" ca="1" si="177"/>
        <v>52</v>
      </c>
      <c r="AG639" s="31">
        <f t="shared" ca="1" si="178"/>
        <v>27</v>
      </c>
      <c r="AH639" s="31">
        <f t="shared" ca="1" si="179"/>
        <v>82</v>
      </c>
      <c r="AI639" s="31">
        <f t="shared" ca="1" si="180"/>
        <v>21</v>
      </c>
      <c r="AJ639" s="31">
        <f t="shared" ca="1" si="181"/>
        <v>3</v>
      </c>
      <c r="AK639" s="31">
        <f t="shared" ca="1" si="182"/>
        <v>116</v>
      </c>
      <c r="AL639" s="31">
        <f t="shared" ca="1" si="183"/>
        <v>48</v>
      </c>
      <c r="AM639" s="31">
        <f t="shared" ca="1" si="184"/>
        <v>48</v>
      </c>
    </row>
    <row r="640" spans="14:39">
      <c r="N640" s="26">
        <v>632</v>
      </c>
      <c r="O640" s="30">
        <f t="shared" ca="1" si="191"/>
        <v>23.357696460960639</v>
      </c>
      <c r="P640" s="30">
        <f t="shared" ca="1" si="191"/>
        <v>31.731566663384321</v>
      </c>
      <c r="Q640" s="30">
        <f t="shared" ca="1" si="191"/>
        <v>7.5560240344035732</v>
      </c>
      <c r="R640" s="30">
        <f t="shared" ca="1" si="191"/>
        <v>9.6411323287229465</v>
      </c>
      <c r="S640" s="30">
        <f t="shared" ca="1" si="191"/>
        <v>18.018917597789788</v>
      </c>
      <c r="T640" s="30">
        <f t="shared" ca="1" si="191"/>
        <v>13.471513389875501</v>
      </c>
      <c r="U640" s="30">
        <f t="shared" ca="1" si="191"/>
        <v>18.27468219923604</v>
      </c>
      <c r="V640" s="30">
        <f t="shared" ca="1" si="191"/>
        <v>20.806127751704139</v>
      </c>
      <c r="W640" s="30">
        <f t="shared" ca="1" si="191"/>
        <v>13.655169193856603</v>
      </c>
      <c r="X640" s="30">
        <f t="shared" ca="1" si="191"/>
        <v>17.565145804496268</v>
      </c>
      <c r="Y640" s="30">
        <f t="shared" ca="1" si="191"/>
        <v>26.317983313983159</v>
      </c>
      <c r="Z640" s="30">
        <f t="shared" ca="1" si="191"/>
        <v>15.87958631179184</v>
      </c>
      <c r="AA640" s="26">
        <v>632</v>
      </c>
      <c r="AB640" s="31">
        <f t="shared" ca="1" si="185"/>
        <v>40</v>
      </c>
      <c r="AC640" s="31">
        <f t="shared" ca="1" si="174"/>
        <v>100</v>
      </c>
      <c r="AD640" s="31">
        <f t="shared" ca="1" si="175"/>
        <v>9</v>
      </c>
      <c r="AE640" s="31">
        <f t="shared" ca="1" si="176"/>
        <v>12</v>
      </c>
      <c r="AF640" s="31">
        <f t="shared" ca="1" si="177"/>
        <v>26</v>
      </c>
      <c r="AG640" s="31">
        <f t="shared" ca="1" si="178"/>
        <v>17</v>
      </c>
      <c r="AH640" s="31">
        <f t="shared" ca="1" si="179"/>
        <v>27</v>
      </c>
      <c r="AI640" s="31">
        <f t="shared" ca="1" si="180"/>
        <v>33</v>
      </c>
      <c r="AJ640" s="31">
        <f t="shared" ca="1" si="181"/>
        <v>18</v>
      </c>
      <c r="AK640" s="31">
        <f t="shared" ca="1" si="182"/>
        <v>25</v>
      </c>
      <c r="AL640" s="31">
        <f t="shared" ca="1" si="183"/>
        <v>52</v>
      </c>
      <c r="AM640" s="31">
        <f t="shared" ca="1" si="184"/>
        <v>22</v>
      </c>
    </row>
    <row r="641" spans="14:39">
      <c r="N641" s="26">
        <v>633</v>
      </c>
      <c r="O641" s="30">
        <f t="shared" ca="1" si="191"/>
        <v>17.818703219832038</v>
      </c>
      <c r="P641" s="30">
        <f t="shared" ca="1" si="191"/>
        <v>27.032105109033878</v>
      </c>
      <c r="Q641" s="30">
        <f t="shared" ca="1" si="191"/>
        <v>3.0104763375053887</v>
      </c>
      <c r="R641" s="30">
        <f t="shared" ca="1" si="191"/>
        <v>12.901112075159913</v>
      </c>
      <c r="S641" s="30">
        <f t="shared" ca="1" si="191"/>
        <v>31.543646507533488</v>
      </c>
      <c r="T641" s="30">
        <f t="shared" ca="1" si="191"/>
        <v>12.015483419020677</v>
      </c>
      <c r="U641" s="30">
        <f t="shared" ca="1" si="191"/>
        <v>26.961013669417298</v>
      </c>
      <c r="V641" s="30">
        <f t="shared" ca="1" si="191"/>
        <v>17.375956834984475</v>
      </c>
      <c r="W641" s="30">
        <f t="shared" ca="1" si="191"/>
        <v>5.0376630583644362</v>
      </c>
      <c r="X641" s="30">
        <f t="shared" ca="1" si="191"/>
        <v>16.713877511557271</v>
      </c>
      <c r="Y641" s="30">
        <f t="shared" ca="1" si="191"/>
        <v>32.800837681663268</v>
      </c>
      <c r="Z641" s="30">
        <f t="shared" ca="1" si="191"/>
        <v>27.895475424630202</v>
      </c>
      <c r="AA641" s="26">
        <v>633</v>
      </c>
      <c r="AB641" s="31">
        <f t="shared" ca="1" si="185"/>
        <v>26</v>
      </c>
      <c r="AC641" s="31">
        <f t="shared" ca="1" si="174"/>
        <v>55</v>
      </c>
      <c r="AD641" s="31">
        <f t="shared" ca="1" si="175"/>
        <v>4</v>
      </c>
      <c r="AE641" s="31">
        <f t="shared" ca="1" si="176"/>
        <v>17</v>
      </c>
      <c r="AF641" s="31">
        <f t="shared" ca="1" si="177"/>
        <v>97</v>
      </c>
      <c r="AG641" s="31">
        <f t="shared" ca="1" si="178"/>
        <v>15</v>
      </c>
      <c r="AH641" s="31">
        <f t="shared" ca="1" si="179"/>
        <v>55</v>
      </c>
      <c r="AI641" s="31">
        <f t="shared" ca="1" si="180"/>
        <v>25</v>
      </c>
      <c r="AJ641" s="31">
        <f t="shared" ca="1" si="181"/>
        <v>6</v>
      </c>
      <c r="AK641" s="31">
        <f t="shared" ca="1" si="182"/>
        <v>23</v>
      </c>
      <c r="AL641" s="31">
        <f t="shared" ca="1" si="183"/>
        <v>136</v>
      </c>
      <c r="AM641" s="31">
        <f t="shared" ca="1" si="184"/>
        <v>60</v>
      </c>
    </row>
    <row r="642" spans="14:39">
      <c r="N642" s="26">
        <v>634</v>
      </c>
      <c r="O642" s="30">
        <f t="shared" ca="1" si="191"/>
        <v>20.423728219676921</v>
      </c>
      <c r="P642" s="30">
        <f t="shared" ca="1" si="191"/>
        <v>16.115069950041281</v>
      </c>
      <c r="Q642" s="30">
        <f t="shared" ca="1" si="191"/>
        <v>4.122859565716535</v>
      </c>
      <c r="R642" s="30">
        <f t="shared" ca="1" si="191"/>
        <v>13.899156660276587</v>
      </c>
      <c r="S642" s="30">
        <f t="shared" ca="1" si="191"/>
        <v>29.368481640152943</v>
      </c>
      <c r="T642" s="30">
        <f t="shared" ca="1" si="191"/>
        <v>24.625091882088782</v>
      </c>
      <c r="U642" s="30">
        <f t="shared" ca="1" si="191"/>
        <v>13.198429748376046</v>
      </c>
      <c r="V642" s="30">
        <f t="shared" ca="1" si="191"/>
        <v>17.884216458520033</v>
      </c>
      <c r="W642" s="30">
        <f t="shared" ca="1" si="191"/>
        <v>16.01159351317396</v>
      </c>
      <c r="X642" s="30">
        <f t="shared" ca="1" si="191"/>
        <v>22.879698983582809</v>
      </c>
      <c r="Y642" s="30">
        <f t="shared" ca="1" si="191"/>
        <v>0.85684935609091784</v>
      </c>
      <c r="Z642" s="30">
        <f t="shared" ca="1" si="191"/>
        <v>21.445711947604334</v>
      </c>
      <c r="AA642" s="26">
        <v>634</v>
      </c>
      <c r="AB642" s="31">
        <f t="shared" ca="1" si="185"/>
        <v>32</v>
      </c>
      <c r="AC642" s="31">
        <f t="shared" ca="1" si="174"/>
        <v>22</v>
      </c>
      <c r="AD642" s="31">
        <f t="shared" ca="1" si="175"/>
        <v>5</v>
      </c>
      <c r="AE642" s="31">
        <f t="shared" ca="1" si="176"/>
        <v>18</v>
      </c>
      <c r="AF642" s="31">
        <f t="shared" ca="1" si="177"/>
        <v>70</v>
      </c>
      <c r="AG642" s="31">
        <f t="shared" ca="1" si="178"/>
        <v>45</v>
      </c>
      <c r="AH642" s="31">
        <f t="shared" ca="1" si="179"/>
        <v>17</v>
      </c>
      <c r="AI642" s="31">
        <f t="shared" ca="1" si="180"/>
        <v>26</v>
      </c>
      <c r="AJ642" s="31">
        <f t="shared" ca="1" si="181"/>
        <v>22</v>
      </c>
      <c r="AK642" s="31">
        <f t="shared" ca="1" si="182"/>
        <v>39</v>
      </c>
      <c r="AL642" s="31">
        <f t="shared" ca="1" si="183"/>
        <v>1</v>
      </c>
      <c r="AM642" s="31">
        <f t="shared" ca="1" si="184"/>
        <v>34</v>
      </c>
    </row>
    <row r="643" spans="14:39">
      <c r="N643" s="26">
        <v>635</v>
      </c>
      <c r="O643" s="30">
        <f t="shared" ca="1" si="191"/>
        <v>1.8265149589847474</v>
      </c>
      <c r="P643" s="30">
        <f t="shared" ca="1" si="191"/>
        <v>28.94083619365993</v>
      </c>
      <c r="Q643" s="30">
        <f t="shared" ca="1" si="191"/>
        <v>15.177235029506496</v>
      </c>
      <c r="R643" s="30">
        <f t="shared" ca="1" si="191"/>
        <v>3.7694768900383155</v>
      </c>
      <c r="S643" s="30">
        <f t="shared" ca="1" si="191"/>
        <v>25.902248003893103</v>
      </c>
      <c r="T643" s="30">
        <f t="shared" ca="1" si="191"/>
        <v>28.779737696392989</v>
      </c>
      <c r="U643" s="30">
        <f t="shared" ca="1" si="191"/>
        <v>19.981505088360258</v>
      </c>
      <c r="V643" s="30">
        <f t="shared" ca="1" si="191"/>
        <v>16.544461052849968</v>
      </c>
      <c r="W643" s="30">
        <f t="shared" ca="1" si="191"/>
        <v>0.43385728326885137</v>
      </c>
      <c r="X643" s="30">
        <f t="shared" ca="1" si="191"/>
        <v>10.154175645440899</v>
      </c>
      <c r="Y643" s="30">
        <f t="shared" ca="1" si="191"/>
        <v>14.265872265276636</v>
      </c>
      <c r="Z643" s="30">
        <f t="shared" ca="1" si="191"/>
        <v>28.408687487357838</v>
      </c>
      <c r="AA643" s="26">
        <v>635</v>
      </c>
      <c r="AB643" s="31">
        <f t="shared" ca="1" si="185"/>
        <v>2</v>
      </c>
      <c r="AC643" s="31">
        <f t="shared" ca="1" si="174"/>
        <v>67</v>
      </c>
      <c r="AD643" s="31">
        <f t="shared" ca="1" si="175"/>
        <v>20</v>
      </c>
      <c r="AE643" s="31">
        <f t="shared" ca="1" si="176"/>
        <v>4</v>
      </c>
      <c r="AF643" s="31">
        <f t="shared" ca="1" si="177"/>
        <v>50</v>
      </c>
      <c r="AG643" s="31">
        <f t="shared" ca="1" si="178"/>
        <v>66</v>
      </c>
      <c r="AH643" s="31">
        <f t="shared" ca="1" si="179"/>
        <v>31</v>
      </c>
      <c r="AI643" s="31">
        <f t="shared" ca="1" si="180"/>
        <v>23</v>
      </c>
      <c r="AJ643" s="31">
        <f t="shared" ca="1" si="181"/>
        <v>1</v>
      </c>
      <c r="AK643" s="31">
        <f t="shared" ca="1" si="182"/>
        <v>12</v>
      </c>
      <c r="AL643" s="31">
        <f t="shared" ca="1" si="183"/>
        <v>19</v>
      </c>
      <c r="AM643" s="31">
        <f t="shared" ca="1" si="184"/>
        <v>63</v>
      </c>
    </row>
    <row r="644" spans="14:39">
      <c r="N644" s="26">
        <v>636</v>
      </c>
      <c r="O644" s="30">
        <f t="shared" ca="1" si="191"/>
        <v>12.411895097147509</v>
      </c>
      <c r="P644" s="30">
        <f t="shared" ca="1" si="191"/>
        <v>23.308203695670425</v>
      </c>
      <c r="Q644" s="30">
        <f t="shared" ca="1" si="191"/>
        <v>3.9312411399707301</v>
      </c>
      <c r="R644" s="30">
        <f t="shared" ca="1" si="191"/>
        <v>25.734219430845414</v>
      </c>
      <c r="S644" s="30">
        <f t="shared" ca="1" si="191"/>
        <v>25.648751044323831</v>
      </c>
      <c r="T644" s="30">
        <f t="shared" ca="1" si="191"/>
        <v>22.262879180555128</v>
      </c>
      <c r="U644" s="30">
        <f t="shared" ca="1" si="191"/>
        <v>28.200236622609047</v>
      </c>
      <c r="V644" s="30">
        <f t="shared" ca="1" si="191"/>
        <v>20.424314333808088</v>
      </c>
      <c r="W644" s="30">
        <f t="shared" ca="1" si="191"/>
        <v>2.0682619724338207</v>
      </c>
      <c r="X644" s="30">
        <f t="shared" ca="1" si="191"/>
        <v>16.147949398836758</v>
      </c>
      <c r="Y644" s="30">
        <f t="shared" ca="1" si="191"/>
        <v>10.821123941448109</v>
      </c>
      <c r="Z644" s="30">
        <f t="shared" ca="1" si="191"/>
        <v>1.0768818382309435</v>
      </c>
      <c r="AA644" s="26">
        <v>636</v>
      </c>
      <c r="AB644" s="31">
        <f t="shared" ca="1" si="185"/>
        <v>16</v>
      </c>
      <c r="AC644" s="31">
        <f t="shared" ca="1" si="174"/>
        <v>40</v>
      </c>
      <c r="AD644" s="31">
        <f t="shared" ca="1" si="175"/>
        <v>5</v>
      </c>
      <c r="AE644" s="31">
        <f t="shared" ca="1" si="176"/>
        <v>49</v>
      </c>
      <c r="AF644" s="31">
        <f t="shared" ca="1" si="177"/>
        <v>49</v>
      </c>
      <c r="AG644" s="31">
        <f t="shared" ca="1" si="178"/>
        <v>37</v>
      </c>
      <c r="AH644" s="31">
        <f t="shared" ca="1" si="179"/>
        <v>62</v>
      </c>
      <c r="AI644" s="31">
        <f t="shared" ca="1" si="180"/>
        <v>32</v>
      </c>
      <c r="AJ644" s="31">
        <f t="shared" ca="1" si="181"/>
        <v>3</v>
      </c>
      <c r="AK644" s="31">
        <f t="shared" ca="1" si="182"/>
        <v>22</v>
      </c>
      <c r="AL644" s="31">
        <f t="shared" ca="1" si="183"/>
        <v>13</v>
      </c>
      <c r="AM644" s="31">
        <f t="shared" ca="1" si="184"/>
        <v>2</v>
      </c>
    </row>
    <row r="645" spans="14:39">
      <c r="N645" s="26">
        <v>637</v>
      </c>
      <c r="O645" s="30">
        <f t="shared" ca="1" si="191"/>
        <v>7.2193903253876144</v>
      </c>
      <c r="P645" s="30">
        <f t="shared" ca="1" si="191"/>
        <v>11.775637754965555</v>
      </c>
      <c r="Q645" s="30">
        <f t="shared" ca="1" si="191"/>
        <v>14.931686689967348</v>
      </c>
      <c r="R645" s="30">
        <f t="shared" ca="1" si="191"/>
        <v>12.680461894271952</v>
      </c>
      <c r="S645" s="30">
        <f t="shared" ca="1" si="191"/>
        <v>17.819839132408518</v>
      </c>
      <c r="T645" s="30">
        <f t="shared" ca="1" si="191"/>
        <v>20.119281620788318</v>
      </c>
      <c r="U645" s="30">
        <f t="shared" ca="1" si="191"/>
        <v>18.745881880619706</v>
      </c>
      <c r="V645" s="30">
        <f t="shared" ca="1" si="191"/>
        <v>0.93807855051053091</v>
      </c>
      <c r="W645" s="30">
        <f t="shared" ca="1" si="191"/>
        <v>22.211204822084902</v>
      </c>
      <c r="X645" s="30">
        <f t="shared" ca="1" si="191"/>
        <v>22.139190371428793</v>
      </c>
      <c r="Y645" s="30">
        <f t="shared" ca="1" si="191"/>
        <v>8.6489191437973449</v>
      </c>
      <c r="Z645" s="30">
        <f t="shared" ca="1" si="191"/>
        <v>1.7092324514605508</v>
      </c>
      <c r="AA645" s="26">
        <v>637</v>
      </c>
      <c r="AB645" s="31">
        <f t="shared" ca="1" si="185"/>
        <v>9</v>
      </c>
      <c r="AC645" s="31">
        <f t="shared" ca="1" si="174"/>
        <v>15</v>
      </c>
      <c r="AD645" s="31">
        <f t="shared" ca="1" si="175"/>
        <v>20</v>
      </c>
      <c r="AE645" s="31">
        <f t="shared" ca="1" si="176"/>
        <v>16</v>
      </c>
      <c r="AF645" s="31">
        <f t="shared" ca="1" si="177"/>
        <v>26</v>
      </c>
      <c r="AG645" s="31">
        <f t="shared" ca="1" si="178"/>
        <v>31</v>
      </c>
      <c r="AH645" s="31">
        <f t="shared" ca="1" si="179"/>
        <v>28</v>
      </c>
      <c r="AI645" s="31">
        <f t="shared" ca="1" si="180"/>
        <v>1</v>
      </c>
      <c r="AJ645" s="31">
        <f t="shared" ca="1" si="181"/>
        <v>37</v>
      </c>
      <c r="AK645" s="31">
        <f t="shared" ca="1" si="182"/>
        <v>36</v>
      </c>
      <c r="AL645" s="31">
        <f t="shared" ca="1" si="183"/>
        <v>10</v>
      </c>
      <c r="AM645" s="31">
        <f t="shared" ca="1" si="184"/>
        <v>2</v>
      </c>
    </row>
    <row r="646" spans="14:39">
      <c r="N646" s="26">
        <v>638</v>
      </c>
      <c r="O646" s="30">
        <f t="shared" ca="1" si="191"/>
        <v>30.018862253395312</v>
      </c>
      <c r="P646" s="30">
        <f t="shared" ca="1" si="191"/>
        <v>32.575090752231013</v>
      </c>
      <c r="Q646" s="30">
        <f t="shared" ca="1" si="191"/>
        <v>27.811682007006858</v>
      </c>
      <c r="R646" s="30">
        <f t="shared" ca="1" si="191"/>
        <v>29.564116747364398</v>
      </c>
      <c r="S646" s="30">
        <f t="shared" ca="1" si="191"/>
        <v>0.29327042338719145</v>
      </c>
      <c r="T646" s="30">
        <f t="shared" ca="1" si="191"/>
        <v>8.7314755824279775</v>
      </c>
      <c r="U646" s="30">
        <f t="shared" ca="1" si="191"/>
        <v>24.957374030504742</v>
      </c>
      <c r="V646" s="30">
        <f t="shared" ca="1" si="191"/>
        <v>9.4756505964412128</v>
      </c>
      <c r="W646" s="30">
        <f t="shared" ca="1" si="191"/>
        <v>4.2872153350326219</v>
      </c>
      <c r="X646" s="30">
        <f t="shared" ca="1" si="191"/>
        <v>25.016183040755259</v>
      </c>
      <c r="Y646" s="30">
        <f t="shared" ca="1" si="191"/>
        <v>20.524094386507798</v>
      </c>
      <c r="Z646" s="30">
        <f t="shared" ca="1" si="191"/>
        <v>4.7858299184993154</v>
      </c>
      <c r="AA646" s="26">
        <v>638</v>
      </c>
      <c r="AB646" s="31">
        <f t="shared" ca="1" si="185"/>
        <v>76</v>
      </c>
      <c r="AC646" s="31">
        <f t="shared" ca="1" si="174"/>
        <v>125</v>
      </c>
      <c r="AD646" s="31">
        <f t="shared" ca="1" si="175"/>
        <v>60</v>
      </c>
      <c r="AE646" s="31">
        <f t="shared" ca="1" si="176"/>
        <v>72</v>
      </c>
      <c r="AF646" s="31">
        <f t="shared" ca="1" si="177"/>
        <v>1</v>
      </c>
      <c r="AG646" s="31">
        <f t="shared" ca="1" si="178"/>
        <v>10</v>
      </c>
      <c r="AH646" s="31">
        <f t="shared" ca="1" si="179"/>
        <v>46</v>
      </c>
      <c r="AI646" s="31">
        <f t="shared" ca="1" si="180"/>
        <v>11</v>
      </c>
      <c r="AJ646" s="31">
        <f t="shared" ca="1" si="181"/>
        <v>5</v>
      </c>
      <c r="AK646" s="31">
        <f t="shared" ca="1" si="182"/>
        <v>46</v>
      </c>
      <c r="AL646" s="31">
        <f t="shared" ca="1" si="183"/>
        <v>32</v>
      </c>
      <c r="AM646" s="31">
        <f t="shared" ca="1" si="184"/>
        <v>6</v>
      </c>
    </row>
    <row r="647" spans="14:39">
      <c r="N647" s="26">
        <v>639</v>
      </c>
      <c r="O647" s="30">
        <f t="shared" ca="1" si="191"/>
        <v>22.93635390598514</v>
      </c>
      <c r="P647" s="30">
        <f t="shared" ca="1" si="191"/>
        <v>7.55842304648269</v>
      </c>
      <c r="Q647" s="30">
        <f t="shared" ca="1" si="191"/>
        <v>14.106531198256329</v>
      </c>
      <c r="R647" s="30">
        <f t="shared" ca="1" si="191"/>
        <v>9.2049364482867198</v>
      </c>
      <c r="S647" s="30">
        <f t="shared" ca="1" si="191"/>
        <v>15.918794745876616</v>
      </c>
      <c r="T647" s="30">
        <f t="shared" ca="1" si="191"/>
        <v>27.097244410679028</v>
      </c>
      <c r="U647" s="30">
        <f t="shared" ca="1" si="191"/>
        <v>4.5737571292297741</v>
      </c>
      <c r="V647" s="30">
        <f t="shared" ca="1" si="191"/>
        <v>1.7884340883372021</v>
      </c>
      <c r="W647" s="30">
        <f t="shared" ca="1" si="191"/>
        <v>14.579908926003357</v>
      </c>
      <c r="X647" s="30">
        <f t="shared" ca="1" si="191"/>
        <v>9.8032516391508739</v>
      </c>
      <c r="Y647" s="30">
        <f t="shared" ca="1" si="191"/>
        <v>25.032515632475103</v>
      </c>
      <c r="Z647" s="30">
        <f t="shared" ca="1" si="191"/>
        <v>2.1929781476436281</v>
      </c>
      <c r="AA647" s="26">
        <v>639</v>
      </c>
      <c r="AB647" s="31">
        <f t="shared" ca="1" si="185"/>
        <v>39</v>
      </c>
      <c r="AC647" s="31">
        <f t="shared" ca="1" si="174"/>
        <v>9</v>
      </c>
      <c r="AD647" s="31">
        <f t="shared" ca="1" si="175"/>
        <v>19</v>
      </c>
      <c r="AE647" s="31">
        <f t="shared" ca="1" si="176"/>
        <v>11</v>
      </c>
      <c r="AF647" s="31">
        <f t="shared" ca="1" si="177"/>
        <v>22</v>
      </c>
      <c r="AG647" s="31">
        <f t="shared" ca="1" si="178"/>
        <v>56</v>
      </c>
      <c r="AH647" s="31">
        <f t="shared" ca="1" si="179"/>
        <v>5</v>
      </c>
      <c r="AI647" s="31">
        <f t="shared" ca="1" si="180"/>
        <v>2</v>
      </c>
      <c r="AJ647" s="31">
        <f t="shared" ca="1" si="181"/>
        <v>19</v>
      </c>
      <c r="AK647" s="31">
        <f t="shared" ca="1" si="182"/>
        <v>12</v>
      </c>
      <c r="AL647" s="31">
        <f t="shared" ca="1" si="183"/>
        <v>46</v>
      </c>
      <c r="AM647" s="31">
        <f t="shared" ca="1" si="184"/>
        <v>3</v>
      </c>
    </row>
    <row r="648" spans="14:39">
      <c r="N648" s="26">
        <v>640</v>
      </c>
      <c r="O648" s="30">
        <f t="shared" ca="1" si="191"/>
        <v>30.51674367000297</v>
      </c>
      <c r="P648" s="30">
        <f t="shared" ca="1" si="191"/>
        <v>21.096787346504094</v>
      </c>
      <c r="Q648" s="30">
        <f t="shared" ca="1" si="191"/>
        <v>25.330689577146597</v>
      </c>
      <c r="R648" s="30">
        <f t="shared" ca="1" si="191"/>
        <v>15.607257011137099</v>
      </c>
      <c r="S648" s="30">
        <f t="shared" ca="1" si="191"/>
        <v>23.496532539439443</v>
      </c>
      <c r="T648" s="30">
        <f t="shared" ca="1" si="191"/>
        <v>8.6866784719043615</v>
      </c>
      <c r="U648" s="30">
        <f t="shared" ca="1" si="191"/>
        <v>9.7288370128007458</v>
      </c>
      <c r="V648" s="30">
        <f t="shared" ca="1" si="191"/>
        <v>17.575150731900418</v>
      </c>
      <c r="W648" s="30">
        <f t="shared" ca="1" si="191"/>
        <v>21.104829855002158</v>
      </c>
      <c r="X648" s="30">
        <f t="shared" ca="1" si="191"/>
        <v>9.4035671713668147</v>
      </c>
      <c r="Y648" s="30">
        <f t="shared" ca="1" si="191"/>
        <v>12.957269785789467</v>
      </c>
      <c r="Z648" s="30">
        <f t="shared" ca="1" si="191"/>
        <v>31.185969350281173</v>
      </c>
      <c r="AA648" s="26">
        <v>640</v>
      </c>
      <c r="AB648" s="31">
        <f t="shared" ca="1" si="185"/>
        <v>82</v>
      </c>
      <c r="AC648" s="31">
        <f t="shared" ca="1" si="174"/>
        <v>33</v>
      </c>
      <c r="AD648" s="31">
        <f t="shared" ca="1" si="175"/>
        <v>47</v>
      </c>
      <c r="AE648" s="31">
        <f t="shared" ca="1" si="176"/>
        <v>21</v>
      </c>
      <c r="AF648" s="31">
        <f t="shared" ca="1" si="177"/>
        <v>41</v>
      </c>
      <c r="AG648" s="31">
        <f t="shared" ca="1" si="178"/>
        <v>10</v>
      </c>
      <c r="AH648" s="31">
        <f t="shared" ca="1" si="179"/>
        <v>12</v>
      </c>
      <c r="AI648" s="31">
        <f t="shared" ca="1" si="180"/>
        <v>25</v>
      </c>
      <c r="AJ648" s="31">
        <f t="shared" ca="1" si="181"/>
        <v>33</v>
      </c>
      <c r="AK648" s="31">
        <f t="shared" ca="1" si="182"/>
        <v>11</v>
      </c>
      <c r="AL648" s="31">
        <f t="shared" ca="1" si="183"/>
        <v>17</v>
      </c>
      <c r="AM648" s="31">
        <f t="shared" ca="1" si="184"/>
        <v>91</v>
      </c>
    </row>
    <row r="649" spans="14:39">
      <c r="N649" s="26">
        <v>641</v>
      </c>
      <c r="O649" s="30">
        <f t="shared" ref="O649:Z658" ca="1" si="192">RAND()*sumweights</f>
        <v>15.617140267202139</v>
      </c>
      <c r="P649" s="30">
        <f t="shared" ca="1" si="192"/>
        <v>9.4820623935631776</v>
      </c>
      <c r="Q649" s="30">
        <f t="shared" ca="1" si="192"/>
        <v>14.247841241545014</v>
      </c>
      <c r="R649" s="30">
        <f t="shared" ca="1" si="192"/>
        <v>6.9071098559116368</v>
      </c>
      <c r="S649" s="30">
        <f t="shared" ca="1" si="192"/>
        <v>25.690290159183824</v>
      </c>
      <c r="T649" s="30">
        <f t="shared" ca="1" si="192"/>
        <v>15.484834858185041</v>
      </c>
      <c r="U649" s="30">
        <f t="shared" ca="1" si="192"/>
        <v>25.92316769076583</v>
      </c>
      <c r="V649" s="30">
        <f t="shared" ca="1" si="192"/>
        <v>30.461570020616762</v>
      </c>
      <c r="W649" s="30">
        <f t="shared" ca="1" si="192"/>
        <v>16.346101385298095</v>
      </c>
      <c r="X649" s="30">
        <f t="shared" ca="1" si="192"/>
        <v>6.5688260920683152</v>
      </c>
      <c r="Y649" s="30">
        <f t="shared" ca="1" si="192"/>
        <v>25.494161894804577</v>
      </c>
      <c r="Z649" s="30">
        <f t="shared" ca="1" si="192"/>
        <v>6.4677410170544549</v>
      </c>
      <c r="AA649" s="26">
        <v>641</v>
      </c>
      <c r="AB649" s="31">
        <f t="shared" ca="1" si="185"/>
        <v>21</v>
      </c>
      <c r="AC649" s="31">
        <f t="shared" ref="AC649:AC712" ca="1" si="193">MATCH(P649,cum_wt,1)</f>
        <v>11</v>
      </c>
      <c r="AD649" s="31">
        <f t="shared" ref="AD649:AD712" ca="1" si="194">MATCH(Q649,cum_wt,1)</f>
        <v>19</v>
      </c>
      <c r="AE649" s="31">
        <f t="shared" ref="AE649:AE712" ca="1" si="195">MATCH(R649,cum_wt,1)</f>
        <v>8</v>
      </c>
      <c r="AF649" s="31">
        <f t="shared" ref="AF649:AF712" ca="1" si="196">MATCH(S649,cum_wt,1)</f>
        <v>49</v>
      </c>
      <c r="AG649" s="31">
        <f t="shared" ref="AG649:AG712" ca="1" si="197">MATCH(T649,cum_wt,1)</f>
        <v>21</v>
      </c>
      <c r="AH649" s="31">
        <f t="shared" ref="AH649:AH712" ca="1" si="198">MATCH(U649,cum_wt,1)</f>
        <v>50</v>
      </c>
      <c r="AI649" s="31">
        <f t="shared" ref="AI649:AI712" ca="1" si="199">MATCH(V649,cum_wt,1)</f>
        <v>81</v>
      </c>
      <c r="AJ649" s="31">
        <f t="shared" ref="AJ649:AJ712" ca="1" si="200">MATCH(W649,cum_wt,1)</f>
        <v>23</v>
      </c>
      <c r="AK649" s="31">
        <f t="shared" ref="AK649:AK712" ca="1" si="201">MATCH(X649,cum_wt,1)</f>
        <v>8</v>
      </c>
      <c r="AL649" s="31">
        <f t="shared" ref="AL649:AL712" ca="1" si="202">MATCH(Y649,cum_wt,1)</f>
        <v>48</v>
      </c>
      <c r="AM649" s="31">
        <f t="shared" ref="AM649:AM712" ca="1" si="203">MATCH(Z649,cum_wt,1)</f>
        <v>8</v>
      </c>
    </row>
    <row r="650" spans="14:39">
      <c r="N650" s="26">
        <v>642</v>
      </c>
      <c r="O650" s="30">
        <f t="shared" ca="1" si="192"/>
        <v>13.088902153016637</v>
      </c>
      <c r="P650" s="30">
        <f t="shared" ca="1" si="192"/>
        <v>25.926485138298407</v>
      </c>
      <c r="Q650" s="30">
        <f t="shared" ca="1" si="192"/>
        <v>30.260745161647296</v>
      </c>
      <c r="R650" s="30">
        <f t="shared" ca="1" si="192"/>
        <v>31.564312416394078</v>
      </c>
      <c r="S650" s="30">
        <f t="shared" ca="1" si="192"/>
        <v>9.9226591717440549</v>
      </c>
      <c r="T650" s="30">
        <f t="shared" ca="1" si="192"/>
        <v>14.546927344034188</v>
      </c>
      <c r="U650" s="30">
        <f t="shared" ca="1" si="192"/>
        <v>14.145595983620586</v>
      </c>
      <c r="V650" s="30">
        <f t="shared" ca="1" si="192"/>
        <v>13.536987948787466</v>
      </c>
      <c r="W650" s="30">
        <f t="shared" ca="1" si="192"/>
        <v>18.502504830805176</v>
      </c>
      <c r="X650" s="30">
        <f t="shared" ca="1" si="192"/>
        <v>32.217664029332127</v>
      </c>
      <c r="Y650" s="30">
        <f t="shared" ca="1" si="192"/>
        <v>21.835857930435889</v>
      </c>
      <c r="Z650" s="30">
        <f t="shared" ca="1" si="192"/>
        <v>11.531373155627554</v>
      </c>
      <c r="AA650" s="26">
        <v>642</v>
      </c>
      <c r="AB650" s="31">
        <f t="shared" ref="AB650:AB713" ca="1" si="204">MATCH(O650,cum_wt,1)</f>
        <v>17</v>
      </c>
      <c r="AC650" s="31">
        <f t="shared" ca="1" si="193"/>
        <v>50</v>
      </c>
      <c r="AD650" s="31">
        <f t="shared" ca="1" si="194"/>
        <v>79</v>
      </c>
      <c r="AE650" s="31">
        <f t="shared" ca="1" si="195"/>
        <v>97</v>
      </c>
      <c r="AF650" s="31">
        <f t="shared" ca="1" si="196"/>
        <v>12</v>
      </c>
      <c r="AG650" s="31">
        <f t="shared" ca="1" si="197"/>
        <v>19</v>
      </c>
      <c r="AH650" s="31">
        <f t="shared" ca="1" si="198"/>
        <v>19</v>
      </c>
      <c r="AI650" s="31">
        <f t="shared" ca="1" si="199"/>
        <v>18</v>
      </c>
      <c r="AJ650" s="31">
        <f t="shared" ca="1" si="200"/>
        <v>27</v>
      </c>
      <c r="AK650" s="31">
        <f t="shared" ca="1" si="201"/>
        <v>112</v>
      </c>
      <c r="AL650" s="31">
        <f t="shared" ca="1" si="202"/>
        <v>35</v>
      </c>
      <c r="AM650" s="31">
        <f t="shared" ca="1" si="203"/>
        <v>14</v>
      </c>
    </row>
    <row r="651" spans="14:39">
      <c r="N651" s="26">
        <v>643</v>
      </c>
      <c r="O651" s="30">
        <f t="shared" ca="1" si="192"/>
        <v>25.781871469913739</v>
      </c>
      <c r="P651" s="30">
        <f t="shared" ca="1" si="192"/>
        <v>14.207559520928179</v>
      </c>
      <c r="Q651" s="30">
        <f t="shared" ca="1" si="192"/>
        <v>24.988721304370802</v>
      </c>
      <c r="R651" s="30">
        <f t="shared" ca="1" si="192"/>
        <v>8.7846459833023989</v>
      </c>
      <c r="S651" s="30">
        <f t="shared" ca="1" si="192"/>
        <v>18.16598070571008</v>
      </c>
      <c r="T651" s="30">
        <f t="shared" ca="1" si="192"/>
        <v>17.73168111970293</v>
      </c>
      <c r="U651" s="30">
        <f t="shared" ca="1" si="192"/>
        <v>21.879482448826174</v>
      </c>
      <c r="V651" s="30">
        <f t="shared" ca="1" si="192"/>
        <v>8.6438835701611243</v>
      </c>
      <c r="W651" s="30">
        <f t="shared" ca="1" si="192"/>
        <v>2.2856615947276708</v>
      </c>
      <c r="X651" s="30">
        <f t="shared" ca="1" si="192"/>
        <v>10.122079161785399</v>
      </c>
      <c r="Y651" s="30">
        <f t="shared" ca="1" si="192"/>
        <v>23.238048308776118</v>
      </c>
      <c r="Z651" s="30">
        <f t="shared" ca="1" si="192"/>
        <v>27.114213617303932</v>
      </c>
      <c r="AA651" s="26">
        <v>643</v>
      </c>
      <c r="AB651" s="31">
        <f t="shared" ca="1" si="204"/>
        <v>49</v>
      </c>
      <c r="AC651" s="31">
        <f t="shared" ca="1" si="193"/>
        <v>19</v>
      </c>
      <c r="AD651" s="31">
        <f t="shared" ca="1" si="194"/>
        <v>46</v>
      </c>
      <c r="AE651" s="31">
        <f t="shared" ca="1" si="195"/>
        <v>11</v>
      </c>
      <c r="AF651" s="31">
        <f t="shared" ca="1" si="196"/>
        <v>26</v>
      </c>
      <c r="AG651" s="31">
        <f t="shared" ca="1" si="197"/>
        <v>25</v>
      </c>
      <c r="AH651" s="31">
        <f t="shared" ca="1" si="198"/>
        <v>36</v>
      </c>
      <c r="AI651" s="31">
        <f t="shared" ca="1" si="199"/>
        <v>10</v>
      </c>
      <c r="AJ651" s="31">
        <f t="shared" ca="1" si="200"/>
        <v>3</v>
      </c>
      <c r="AK651" s="31">
        <f t="shared" ca="1" si="201"/>
        <v>12</v>
      </c>
      <c r="AL651" s="31">
        <f t="shared" ca="1" si="202"/>
        <v>40</v>
      </c>
      <c r="AM651" s="31">
        <f t="shared" ca="1" si="203"/>
        <v>56</v>
      </c>
    </row>
    <row r="652" spans="14:39">
      <c r="N652" s="26">
        <v>644</v>
      </c>
      <c r="O652" s="30">
        <f t="shared" ca="1" si="192"/>
        <v>16.412531504237478</v>
      </c>
      <c r="P652" s="30">
        <f t="shared" ca="1" si="192"/>
        <v>1.4842537972157173</v>
      </c>
      <c r="Q652" s="30">
        <f t="shared" ca="1" si="192"/>
        <v>6.4566621605341394</v>
      </c>
      <c r="R652" s="30">
        <f t="shared" ca="1" si="192"/>
        <v>13.142700695346193</v>
      </c>
      <c r="S652" s="30">
        <f t="shared" ca="1" si="192"/>
        <v>12.993168207141</v>
      </c>
      <c r="T652" s="30">
        <f t="shared" ca="1" si="192"/>
        <v>26.694843681787781</v>
      </c>
      <c r="U652" s="30">
        <f t="shared" ca="1" si="192"/>
        <v>31.514788463389113</v>
      </c>
      <c r="V652" s="30">
        <f t="shared" ca="1" si="192"/>
        <v>21.03082924299343</v>
      </c>
      <c r="W652" s="30">
        <f t="shared" ca="1" si="192"/>
        <v>19.743164047276647</v>
      </c>
      <c r="X652" s="30">
        <f t="shared" ca="1" si="192"/>
        <v>28.684079685948564</v>
      </c>
      <c r="Y652" s="30">
        <f t="shared" ca="1" si="192"/>
        <v>31.614917042432605</v>
      </c>
      <c r="Z652" s="30">
        <f t="shared" ca="1" si="192"/>
        <v>23.121564344353285</v>
      </c>
      <c r="AA652" s="26">
        <v>644</v>
      </c>
      <c r="AB652" s="31">
        <f t="shared" ca="1" si="204"/>
        <v>23</v>
      </c>
      <c r="AC652" s="31">
        <f t="shared" ca="1" si="193"/>
        <v>2</v>
      </c>
      <c r="AD652" s="31">
        <f t="shared" ca="1" si="194"/>
        <v>8</v>
      </c>
      <c r="AE652" s="31">
        <f t="shared" ca="1" si="195"/>
        <v>17</v>
      </c>
      <c r="AF652" s="31">
        <f t="shared" ca="1" si="196"/>
        <v>17</v>
      </c>
      <c r="AG652" s="31">
        <f t="shared" ca="1" si="197"/>
        <v>53</v>
      </c>
      <c r="AH652" s="31">
        <f t="shared" ca="1" si="198"/>
        <v>96</v>
      </c>
      <c r="AI652" s="31">
        <f t="shared" ca="1" si="199"/>
        <v>33</v>
      </c>
      <c r="AJ652" s="31">
        <f t="shared" ca="1" si="200"/>
        <v>30</v>
      </c>
      <c r="AK652" s="31">
        <f t="shared" ca="1" si="201"/>
        <v>65</v>
      </c>
      <c r="AL652" s="31">
        <f t="shared" ca="1" si="202"/>
        <v>98</v>
      </c>
      <c r="AM652" s="31">
        <f t="shared" ca="1" si="203"/>
        <v>39</v>
      </c>
    </row>
    <row r="653" spans="14:39">
      <c r="N653" s="26">
        <v>645</v>
      </c>
      <c r="O653" s="30">
        <f t="shared" ca="1" si="192"/>
        <v>18.400530509281598</v>
      </c>
      <c r="P653" s="30">
        <f t="shared" ca="1" si="192"/>
        <v>18.158877759769446</v>
      </c>
      <c r="Q653" s="30">
        <f t="shared" ca="1" si="192"/>
        <v>28.336571802905702</v>
      </c>
      <c r="R653" s="30">
        <f t="shared" ca="1" si="192"/>
        <v>16.388288341963619</v>
      </c>
      <c r="S653" s="30">
        <f t="shared" ca="1" si="192"/>
        <v>4.2792470604207162</v>
      </c>
      <c r="T653" s="30">
        <f t="shared" ca="1" si="192"/>
        <v>3.301826280375578</v>
      </c>
      <c r="U653" s="30">
        <f t="shared" ca="1" si="192"/>
        <v>16.305943649255369</v>
      </c>
      <c r="V653" s="30">
        <f t="shared" ca="1" si="192"/>
        <v>8.1184867119474315</v>
      </c>
      <c r="W653" s="30">
        <f t="shared" ca="1" si="192"/>
        <v>28.533573836287545</v>
      </c>
      <c r="X653" s="30">
        <f t="shared" ca="1" si="192"/>
        <v>27.595123322338782</v>
      </c>
      <c r="Y653" s="30">
        <f t="shared" ca="1" si="192"/>
        <v>27.655253504509787</v>
      </c>
      <c r="Z653" s="30">
        <f t="shared" ca="1" si="192"/>
        <v>18.442293497045945</v>
      </c>
      <c r="AA653" s="26">
        <v>645</v>
      </c>
      <c r="AB653" s="31">
        <f t="shared" ca="1" si="204"/>
        <v>27</v>
      </c>
      <c r="AC653" s="31">
        <f t="shared" ca="1" si="193"/>
        <v>26</v>
      </c>
      <c r="AD653" s="31">
        <f t="shared" ca="1" si="194"/>
        <v>63</v>
      </c>
      <c r="AE653" s="31">
        <f t="shared" ca="1" si="195"/>
        <v>23</v>
      </c>
      <c r="AF653" s="31">
        <f t="shared" ca="1" si="196"/>
        <v>5</v>
      </c>
      <c r="AG653" s="31">
        <f t="shared" ca="1" si="197"/>
        <v>4</v>
      </c>
      <c r="AH653" s="31">
        <f t="shared" ca="1" si="198"/>
        <v>23</v>
      </c>
      <c r="AI653" s="31">
        <f t="shared" ca="1" si="199"/>
        <v>10</v>
      </c>
      <c r="AJ653" s="31">
        <f t="shared" ca="1" si="200"/>
        <v>64</v>
      </c>
      <c r="AK653" s="31">
        <f t="shared" ca="1" si="201"/>
        <v>58</v>
      </c>
      <c r="AL653" s="31">
        <f t="shared" ca="1" si="202"/>
        <v>59</v>
      </c>
      <c r="AM653" s="31">
        <f t="shared" ca="1" si="203"/>
        <v>27</v>
      </c>
    </row>
    <row r="654" spans="14:39">
      <c r="N654" s="26">
        <v>646</v>
      </c>
      <c r="O654" s="30">
        <f t="shared" ca="1" si="192"/>
        <v>5.2992026739868772</v>
      </c>
      <c r="P654" s="30">
        <f t="shared" ca="1" si="192"/>
        <v>23.962839864821255</v>
      </c>
      <c r="Q654" s="30">
        <f t="shared" ca="1" si="192"/>
        <v>0.15798206664014394</v>
      </c>
      <c r="R654" s="30">
        <f t="shared" ca="1" si="192"/>
        <v>12.618440750250478</v>
      </c>
      <c r="S654" s="30">
        <f t="shared" ca="1" si="192"/>
        <v>9.1082005650745419</v>
      </c>
      <c r="T654" s="30">
        <f t="shared" ca="1" si="192"/>
        <v>30.519636483398685</v>
      </c>
      <c r="U654" s="30">
        <f t="shared" ca="1" si="192"/>
        <v>27.429227654468935</v>
      </c>
      <c r="V654" s="30">
        <f t="shared" ca="1" si="192"/>
        <v>7.0143645415022506</v>
      </c>
      <c r="W654" s="30">
        <f t="shared" ca="1" si="192"/>
        <v>26.484071719839967</v>
      </c>
      <c r="X654" s="30">
        <f t="shared" ca="1" si="192"/>
        <v>14.160170190725005</v>
      </c>
      <c r="Y654" s="30">
        <f t="shared" ca="1" si="192"/>
        <v>12.03914051304567</v>
      </c>
      <c r="Z654" s="30">
        <f t="shared" ca="1" si="192"/>
        <v>3.2606119859834068</v>
      </c>
      <c r="AA654" s="26">
        <v>646</v>
      </c>
      <c r="AB654" s="31">
        <f t="shared" ca="1" si="204"/>
        <v>6</v>
      </c>
      <c r="AC654" s="31">
        <f t="shared" ca="1" si="193"/>
        <v>42</v>
      </c>
      <c r="AD654" s="31">
        <f t="shared" ca="1" si="194"/>
        <v>1</v>
      </c>
      <c r="AE654" s="31">
        <f t="shared" ca="1" si="195"/>
        <v>16</v>
      </c>
      <c r="AF654" s="31">
        <f t="shared" ca="1" si="196"/>
        <v>11</v>
      </c>
      <c r="AG654" s="31">
        <f t="shared" ca="1" si="197"/>
        <v>82</v>
      </c>
      <c r="AH654" s="31">
        <f t="shared" ca="1" si="198"/>
        <v>57</v>
      </c>
      <c r="AI654" s="31">
        <f t="shared" ca="1" si="199"/>
        <v>8</v>
      </c>
      <c r="AJ654" s="31">
        <f t="shared" ca="1" si="200"/>
        <v>52</v>
      </c>
      <c r="AK654" s="31">
        <f t="shared" ca="1" si="201"/>
        <v>19</v>
      </c>
      <c r="AL654" s="31">
        <f t="shared" ca="1" si="202"/>
        <v>15</v>
      </c>
      <c r="AM654" s="31">
        <f t="shared" ca="1" si="203"/>
        <v>4</v>
      </c>
    </row>
    <row r="655" spans="14:39">
      <c r="N655" s="26">
        <v>647</v>
      </c>
      <c r="O655" s="30">
        <f t="shared" ca="1" si="192"/>
        <v>19.871790749018668</v>
      </c>
      <c r="P655" s="30">
        <f t="shared" ca="1" si="192"/>
        <v>11.591104689900812</v>
      </c>
      <c r="Q655" s="30">
        <f t="shared" ca="1" si="192"/>
        <v>24.818797295538769</v>
      </c>
      <c r="R655" s="30">
        <f t="shared" ca="1" si="192"/>
        <v>22.568986734034873</v>
      </c>
      <c r="S655" s="30">
        <f t="shared" ca="1" si="192"/>
        <v>1.4730916797573748</v>
      </c>
      <c r="T655" s="30">
        <f t="shared" ca="1" si="192"/>
        <v>0.53347091843452932</v>
      </c>
      <c r="U655" s="30">
        <f t="shared" ca="1" si="192"/>
        <v>22.997556711989191</v>
      </c>
      <c r="V655" s="30">
        <f t="shared" ca="1" si="192"/>
        <v>7.7824020853364377</v>
      </c>
      <c r="W655" s="30">
        <f t="shared" ca="1" si="192"/>
        <v>5.078131593405911</v>
      </c>
      <c r="X655" s="30">
        <f t="shared" ca="1" si="192"/>
        <v>26.428294881277342</v>
      </c>
      <c r="Y655" s="30">
        <f t="shared" ca="1" si="192"/>
        <v>6.1949508654078382</v>
      </c>
      <c r="Z655" s="30">
        <f t="shared" ca="1" si="192"/>
        <v>23.015726656860824</v>
      </c>
      <c r="AA655" s="26">
        <v>647</v>
      </c>
      <c r="AB655" s="31">
        <f t="shared" ca="1" si="204"/>
        <v>30</v>
      </c>
      <c r="AC655" s="31">
        <f t="shared" ca="1" si="193"/>
        <v>15</v>
      </c>
      <c r="AD655" s="31">
        <f t="shared" ca="1" si="194"/>
        <v>45</v>
      </c>
      <c r="AE655" s="31">
        <f t="shared" ca="1" si="195"/>
        <v>38</v>
      </c>
      <c r="AF655" s="31">
        <f t="shared" ca="1" si="196"/>
        <v>2</v>
      </c>
      <c r="AG655" s="31">
        <f t="shared" ca="1" si="197"/>
        <v>1</v>
      </c>
      <c r="AH655" s="31">
        <f t="shared" ca="1" si="198"/>
        <v>39</v>
      </c>
      <c r="AI655" s="31">
        <f t="shared" ca="1" si="199"/>
        <v>9</v>
      </c>
      <c r="AJ655" s="31">
        <f t="shared" ca="1" si="200"/>
        <v>6</v>
      </c>
      <c r="AK655" s="31">
        <f t="shared" ca="1" si="201"/>
        <v>52</v>
      </c>
      <c r="AL655" s="31">
        <f t="shared" ca="1" si="202"/>
        <v>7</v>
      </c>
      <c r="AM655" s="31">
        <f t="shared" ca="1" si="203"/>
        <v>39</v>
      </c>
    </row>
    <row r="656" spans="14:39">
      <c r="N656" s="26">
        <v>648</v>
      </c>
      <c r="O656" s="30">
        <f t="shared" ca="1" si="192"/>
        <v>30.225138958034361</v>
      </c>
      <c r="P656" s="30">
        <f t="shared" ca="1" si="192"/>
        <v>21.78201354062584</v>
      </c>
      <c r="Q656" s="30">
        <f t="shared" ca="1" si="192"/>
        <v>9.1280432258971835</v>
      </c>
      <c r="R656" s="30">
        <f t="shared" ca="1" si="192"/>
        <v>16.825326018187702</v>
      </c>
      <c r="S656" s="30">
        <f t="shared" ca="1" si="192"/>
        <v>8.691055402408729</v>
      </c>
      <c r="T656" s="30">
        <f t="shared" ca="1" si="192"/>
        <v>7.3391908664788916</v>
      </c>
      <c r="U656" s="30">
        <f t="shared" ca="1" si="192"/>
        <v>23.227490885261535</v>
      </c>
      <c r="V656" s="30">
        <f t="shared" ca="1" si="192"/>
        <v>1.2092512717958763</v>
      </c>
      <c r="W656" s="30">
        <f t="shared" ca="1" si="192"/>
        <v>2.7858031486041201</v>
      </c>
      <c r="X656" s="30">
        <f t="shared" ca="1" si="192"/>
        <v>31.116213937476253</v>
      </c>
      <c r="Y656" s="30">
        <f t="shared" ca="1" si="192"/>
        <v>8.1706203442969727</v>
      </c>
      <c r="Z656" s="30">
        <f t="shared" ca="1" si="192"/>
        <v>0.44778655946540485</v>
      </c>
      <c r="AA656" s="26">
        <v>648</v>
      </c>
      <c r="AB656" s="31">
        <f t="shared" ca="1" si="204"/>
        <v>78</v>
      </c>
      <c r="AC656" s="31">
        <f t="shared" ca="1" si="193"/>
        <v>35</v>
      </c>
      <c r="AD656" s="31">
        <f t="shared" ca="1" si="194"/>
        <v>11</v>
      </c>
      <c r="AE656" s="31">
        <f t="shared" ca="1" si="195"/>
        <v>24</v>
      </c>
      <c r="AF656" s="31">
        <f t="shared" ca="1" si="196"/>
        <v>10</v>
      </c>
      <c r="AG656" s="31">
        <f t="shared" ca="1" si="197"/>
        <v>9</v>
      </c>
      <c r="AH656" s="31">
        <f t="shared" ca="1" si="198"/>
        <v>40</v>
      </c>
      <c r="AI656" s="31">
        <f t="shared" ca="1" si="199"/>
        <v>2</v>
      </c>
      <c r="AJ656" s="31">
        <f t="shared" ca="1" si="200"/>
        <v>3</v>
      </c>
      <c r="AK656" s="31">
        <f t="shared" ca="1" si="201"/>
        <v>89</v>
      </c>
      <c r="AL656" s="31">
        <f t="shared" ca="1" si="202"/>
        <v>10</v>
      </c>
      <c r="AM656" s="31">
        <f t="shared" ca="1" si="203"/>
        <v>1</v>
      </c>
    </row>
    <row r="657" spans="14:39">
      <c r="N657" s="26">
        <v>649</v>
      </c>
      <c r="O657" s="30">
        <f t="shared" ca="1" si="192"/>
        <v>23.265353645102767</v>
      </c>
      <c r="P657" s="30">
        <f t="shared" ca="1" si="192"/>
        <v>16.955402686656388</v>
      </c>
      <c r="Q657" s="30">
        <f t="shared" ca="1" si="192"/>
        <v>5.0348545465523502</v>
      </c>
      <c r="R657" s="30">
        <f t="shared" ca="1" si="192"/>
        <v>32.372389469115596</v>
      </c>
      <c r="S657" s="30">
        <f t="shared" ca="1" si="192"/>
        <v>22.049451638699473</v>
      </c>
      <c r="T657" s="30">
        <f t="shared" ca="1" si="192"/>
        <v>30.419181075329309</v>
      </c>
      <c r="U657" s="30">
        <f t="shared" ca="1" si="192"/>
        <v>30.244065378962414</v>
      </c>
      <c r="V657" s="30">
        <f t="shared" ca="1" si="192"/>
        <v>21.331663269837154</v>
      </c>
      <c r="W657" s="30">
        <f t="shared" ca="1" si="192"/>
        <v>21.156095947469417</v>
      </c>
      <c r="X657" s="30">
        <f t="shared" ca="1" si="192"/>
        <v>24.327696303021657</v>
      </c>
      <c r="Y657" s="30">
        <f t="shared" ca="1" si="192"/>
        <v>17.64985224379258</v>
      </c>
      <c r="Z657" s="30">
        <f t="shared" ca="1" si="192"/>
        <v>16.258757669308334</v>
      </c>
      <c r="AA657" s="26">
        <v>649</v>
      </c>
      <c r="AB657" s="31">
        <f t="shared" ca="1" si="204"/>
        <v>40</v>
      </c>
      <c r="AC657" s="31">
        <f t="shared" ca="1" si="193"/>
        <v>24</v>
      </c>
      <c r="AD657" s="31">
        <f t="shared" ca="1" si="194"/>
        <v>6</v>
      </c>
      <c r="AE657" s="31">
        <f t="shared" ca="1" si="195"/>
        <v>117</v>
      </c>
      <c r="AF657" s="31">
        <f t="shared" ca="1" si="196"/>
        <v>36</v>
      </c>
      <c r="AG657" s="31">
        <f t="shared" ca="1" si="197"/>
        <v>81</v>
      </c>
      <c r="AH657" s="31">
        <f t="shared" ca="1" si="198"/>
        <v>79</v>
      </c>
      <c r="AI657" s="31">
        <f t="shared" ca="1" si="199"/>
        <v>34</v>
      </c>
      <c r="AJ657" s="31">
        <f t="shared" ca="1" si="200"/>
        <v>34</v>
      </c>
      <c r="AK657" s="31">
        <f t="shared" ca="1" si="201"/>
        <v>43</v>
      </c>
      <c r="AL657" s="31">
        <f t="shared" ca="1" si="202"/>
        <v>25</v>
      </c>
      <c r="AM657" s="31">
        <f t="shared" ca="1" si="203"/>
        <v>22</v>
      </c>
    </row>
    <row r="658" spans="14:39">
      <c r="N658" s="26">
        <v>650</v>
      </c>
      <c r="O658" s="30">
        <f t="shared" ca="1" si="192"/>
        <v>15.01434736135273</v>
      </c>
      <c r="P658" s="30">
        <f t="shared" ca="1" si="192"/>
        <v>9.4690532475623748</v>
      </c>
      <c r="Q658" s="30">
        <f t="shared" ca="1" si="192"/>
        <v>5.4657650076961355</v>
      </c>
      <c r="R658" s="30">
        <f t="shared" ca="1" si="192"/>
        <v>26.812134633716656</v>
      </c>
      <c r="S658" s="30">
        <f t="shared" ca="1" si="192"/>
        <v>16.753783214249175</v>
      </c>
      <c r="T658" s="30">
        <f t="shared" ca="1" si="192"/>
        <v>1.5803460345809124</v>
      </c>
      <c r="U658" s="30">
        <f t="shared" ca="1" si="192"/>
        <v>11.558569177246071</v>
      </c>
      <c r="V658" s="30">
        <f t="shared" ca="1" si="192"/>
        <v>4.1705534253938454</v>
      </c>
      <c r="W658" s="30">
        <f t="shared" ca="1" si="192"/>
        <v>2.6923639764708178</v>
      </c>
      <c r="X658" s="30">
        <f t="shared" ca="1" si="192"/>
        <v>18.142380229188628</v>
      </c>
      <c r="Y658" s="30">
        <f t="shared" ca="1" si="192"/>
        <v>4.3046106240584381</v>
      </c>
      <c r="Z658" s="30">
        <f t="shared" ca="1" si="192"/>
        <v>15.675590034161798</v>
      </c>
      <c r="AA658" s="26">
        <v>650</v>
      </c>
      <c r="AB658" s="31">
        <f t="shared" ca="1" si="204"/>
        <v>20</v>
      </c>
      <c r="AC658" s="31">
        <f t="shared" ca="1" si="193"/>
        <v>11</v>
      </c>
      <c r="AD658" s="31">
        <f t="shared" ca="1" si="194"/>
        <v>6</v>
      </c>
      <c r="AE658" s="31">
        <f t="shared" ca="1" si="195"/>
        <v>54</v>
      </c>
      <c r="AF658" s="31">
        <f t="shared" ca="1" si="196"/>
        <v>23</v>
      </c>
      <c r="AG658" s="31">
        <f t="shared" ca="1" si="197"/>
        <v>2</v>
      </c>
      <c r="AH658" s="31">
        <f t="shared" ca="1" si="198"/>
        <v>14</v>
      </c>
      <c r="AI658" s="31">
        <f t="shared" ca="1" si="199"/>
        <v>5</v>
      </c>
      <c r="AJ658" s="31">
        <f t="shared" ca="1" si="200"/>
        <v>3</v>
      </c>
      <c r="AK658" s="31">
        <f t="shared" ca="1" si="201"/>
        <v>26</v>
      </c>
      <c r="AL658" s="31">
        <f t="shared" ca="1" si="202"/>
        <v>5</v>
      </c>
      <c r="AM658" s="31">
        <f t="shared" ca="1" si="203"/>
        <v>21</v>
      </c>
    </row>
    <row r="659" spans="14:39">
      <c r="N659" s="26">
        <v>651</v>
      </c>
      <c r="O659" s="30">
        <f t="shared" ref="O659:Z668" ca="1" si="205">RAND()*sumweights</f>
        <v>23.628019622857451</v>
      </c>
      <c r="P659" s="30">
        <f t="shared" ca="1" si="205"/>
        <v>11.72137860317793</v>
      </c>
      <c r="Q659" s="30">
        <f t="shared" ca="1" si="205"/>
        <v>15.525454685340454</v>
      </c>
      <c r="R659" s="30">
        <f t="shared" ca="1" si="205"/>
        <v>31.335724312808022</v>
      </c>
      <c r="S659" s="30">
        <f t="shared" ca="1" si="205"/>
        <v>20.08103429655575</v>
      </c>
      <c r="T659" s="30">
        <f t="shared" ca="1" si="205"/>
        <v>20.211617316561139</v>
      </c>
      <c r="U659" s="30">
        <f t="shared" ca="1" si="205"/>
        <v>13.153716311530793</v>
      </c>
      <c r="V659" s="30">
        <f t="shared" ca="1" si="205"/>
        <v>21.939435373433614</v>
      </c>
      <c r="W659" s="30">
        <f t="shared" ca="1" si="205"/>
        <v>7.7813597045069773</v>
      </c>
      <c r="X659" s="30">
        <f t="shared" ca="1" si="205"/>
        <v>24.94370113032036</v>
      </c>
      <c r="Y659" s="30">
        <f t="shared" ca="1" si="205"/>
        <v>19.279355929244748</v>
      </c>
      <c r="Z659" s="30">
        <f t="shared" ca="1" si="205"/>
        <v>28.546378629325982</v>
      </c>
      <c r="AA659" s="26">
        <v>651</v>
      </c>
      <c r="AB659" s="31">
        <f t="shared" ca="1" si="204"/>
        <v>41</v>
      </c>
      <c r="AC659" s="31">
        <f t="shared" ca="1" si="193"/>
        <v>15</v>
      </c>
      <c r="AD659" s="31">
        <f t="shared" ca="1" si="194"/>
        <v>21</v>
      </c>
      <c r="AE659" s="31">
        <f t="shared" ca="1" si="195"/>
        <v>93</v>
      </c>
      <c r="AF659" s="31">
        <f t="shared" ca="1" si="196"/>
        <v>31</v>
      </c>
      <c r="AG659" s="31">
        <f t="shared" ca="1" si="197"/>
        <v>31</v>
      </c>
      <c r="AH659" s="31">
        <f t="shared" ca="1" si="198"/>
        <v>17</v>
      </c>
      <c r="AI659" s="31">
        <f t="shared" ca="1" si="199"/>
        <v>36</v>
      </c>
      <c r="AJ659" s="31">
        <f t="shared" ca="1" si="200"/>
        <v>9</v>
      </c>
      <c r="AK659" s="31">
        <f t="shared" ca="1" si="201"/>
        <v>46</v>
      </c>
      <c r="AL659" s="31">
        <f t="shared" ca="1" si="202"/>
        <v>29</v>
      </c>
      <c r="AM659" s="31">
        <f t="shared" ca="1" si="203"/>
        <v>64</v>
      </c>
    </row>
    <row r="660" spans="14:39">
      <c r="N660" s="26">
        <v>652</v>
      </c>
      <c r="O660" s="30">
        <f t="shared" ca="1" si="205"/>
        <v>26.59130109039339</v>
      </c>
      <c r="P660" s="30">
        <f t="shared" ca="1" si="205"/>
        <v>12.138236200243735</v>
      </c>
      <c r="Q660" s="30">
        <f t="shared" ca="1" si="205"/>
        <v>22.632994322222224</v>
      </c>
      <c r="R660" s="30">
        <f t="shared" ca="1" si="205"/>
        <v>0.17684366268123783</v>
      </c>
      <c r="S660" s="30">
        <f t="shared" ca="1" si="205"/>
        <v>8.2812407183809622</v>
      </c>
      <c r="T660" s="30">
        <f t="shared" ca="1" si="205"/>
        <v>24.043514208867286</v>
      </c>
      <c r="U660" s="30">
        <f t="shared" ca="1" si="205"/>
        <v>22.844038620154446</v>
      </c>
      <c r="V660" s="30">
        <f t="shared" ca="1" si="205"/>
        <v>4.6330162214574564</v>
      </c>
      <c r="W660" s="30">
        <f t="shared" ca="1" si="205"/>
        <v>4.4328585243086902</v>
      </c>
      <c r="X660" s="30">
        <f t="shared" ca="1" si="205"/>
        <v>31.182122009506237</v>
      </c>
      <c r="Y660" s="30">
        <f t="shared" ca="1" si="205"/>
        <v>15.453712326372528</v>
      </c>
      <c r="Z660" s="30">
        <f t="shared" ca="1" si="205"/>
        <v>10.404635918376705</v>
      </c>
      <c r="AA660" s="26">
        <v>652</v>
      </c>
      <c r="AB660" s="31">
        <f t="shared" ca="1" si="204"/>
        <v>53</v>
      </c>
      <c r="AC660" s="31">
        <f t="shared" ca="1" si="193"/>
        <v>15</v>
      </c>
      <c r="AD660" s="31">
        <f t="shared" ca="1" si="194"/>
        <v>38</v>
      </c>
      <c r="AE660" s="31">
        <f t="shared" ca="1" si="195"/>
        <v>1</v>
      </c>
      <c r="AF660" s="31">
        <f t="shared" ca="1" si="196"/>
        <v>10</v>
      </c>
      <c r="AG660" s="31">
        <f t="shared" ca="1" si="197"/>
        <v>42</v>
      </c>
      <c r="AH660" s="31">
        <f t="shared" ca="1" si="198"/>
        <v>38</v>
      </c>
      <c r="AI660" s="31">
        <f t="shared" ca="1" si="199"/>
        <v>5</v>
      </c>
      <c r="AJ660" s="31">
        <f t="shared" ca="1" si="200"/>
        <v>5</v>
      </c>
      <c r="AK660" s="31">
        <f t="shared" ca="1" si="201"/>
        <v>90</v>
      </c>
      <c r="AL660" s="31">
        <f t="shared" ca="1" si="202"/>
        <v>21</v>
      </c>
      <c r="AM660" s="31">
        <f t="shared" ca="1" si="203"/>
        <v>13</v>
      </c>
    </row>
    <row r="661" spans="14:39">
      <c r="N661" s="26">
        <v>653</v>
      </c>
      <c r="O661" s="30">
        <f t="shared" ca="1" si="205"/>
        <v>10.071418989962028</v>
      </c>
      <c r="P661" s="30">
        <f t="shared" ca="1" si="205"/>
        <v>28.114547659219401</v>
      </c>
      <c r="Q661" s="30">
        <f t="shared" ca="1" si="205"/>
        <v>26.108257751595172</v>
      </c>
      <c r="R661" s="30">
        <f t="shared" ca="1" si="205"/>
        <v>14.333942487859224</v>
      </c>
      <c r="S661" s="30">
        <f t="shared" ca="1" si="205"/>
        <v>7.5647468714282793</v>
      </c>
      <c r="T661" s="30">
        <f t="shared" ca="1" si="205"/>
        <v>8.4214855733543654</v>
      </c>
      <c r="U661" s="30">
        <f t="shared" ca="1" si="205"/>
        <v>24.374540379745557</v>
      </c>
      <c r="V661" s="30">
        <f t="shared" ca="1" si="205"/>
        <v>17.936711051510077</v>
      </c>
      <c r="W661" s="30">
        <f t="shared" ca="1" si="205"/>
        <v>6.3591523438651993</v>
      </c>
      <c r="X661" s="30">
        <f t="shared" ca="1" si="205"/>
        <v>2.3631401382942392</v>
      </c>
      <c r="Y661" s="30">
        <f t="shared" ca="1" si="205"/>
        <v>13.799533598799327</v>
      </c>
      <c r="Z661" s="30">
        <f t="shared" ca="1" si="205"/>
        <v>8.0420765624523458</v>
      </c>
      <c r="AA661" s="26">
        <v>653</v>
      </c>
      <c r="AB661" s="31">
        <f t="shared" ca="1" si="204"/>
        <v>12</v>
      </c>
      <c r="AC661" s="31">
        <f t="shared" ca="1" si="193"/>
        <v>61</v>
      </c>
      <c r="AD661" s="31">
        <f t="shared" ca="1" si="194"/>
        <v>51</v>
      </c>
      <c r="AE661" s="31">
        <f t="shared" ca="1" si="195"/>
        <v>19</v>
      </c>
      <c r="AF661" s="31">
        <f t="shared" ca="1" si="196"/>
        <v>9</v>
      </c>
      <c r="AG661" s="31">
        <f t="shared" ca="1" si="197"/>
        <v>10</v>
      </c>
      <c r="AH661" s="31">
        <f t="shared" ca="1" si="198"/>
        <v>44</v>
      </c>
      <c r="AI661" s="31">
        <f t="shared" ca="1" si="199"/>
        <v>26</v>
      </c>
      <c r="AJ661" s="31">
        <f t="shared" ca="1" si="200"/>
        <v>7</v>
      </c>
      <c r="AK661" s="31">
        <f t="shared" ca="1" si="201"/>
        <v>3</v>
      </c>
      <c r="AL661" s="31">
        <f t="shared" ca="1" si="202"/>
        <v>18</v>
      </c>
      <c r="AM661" s="31">
        <f t="shared" ca="1" si="203"/>
        <v>10</v>
      </c>
    </row>
    <row r="662" spans="14:39">
      <c r="N662" s="26">
        <v>654</v>
      </c>
      <c r="O662" s="30">
        <f t="shared" ca="1" si="205"/>
        <v>24.484343343046419</v>
      </c>
      <c r="P662" s="30">
        <f t="shared" ca="1" si="205"/>
        <v>7.2418851115203173</v>
      </c>
      <c r="Q662" s="30">
        <f t="shared" ca="1" si="205"/>
        <v>29.456243553088591</v>
      </c>
      <c r="R662" s="30">
        <f t="shared" ca="1" si="205"/>
        <v>13.649608950113944</v>
      </c>
      <c r="S662" s="30">
        <f t="shared" ca="1" si="205"/>
        <v>14.122652906396432</v>
      </c>
      <c r="T662" s="30">
        <f t="shared" ca="1" si="205"/>
        <v>29.556446142299702</v>
      </c>
      <c r="U662" s="30">
        <f t="shared" ca="1" si="205"/>
        <v>7.378084656790346</v>
      </c>
      <c r="V662" s="30">
        <f t="shared" ca="1" si="205"/>
        <v>26.394406995458091</v>
      </c>
      <c r="W662" s="30">
        <f t="shared" ca="1" si="205"/>
        <v>16.553218311739929</v>
      </c>
      <c r="X662" s="30">
        <f t="shared" ca="1" si="205"/>
        <v>28.248561223191487</v>
      </c>
      <c r="Y662" s="30">
        <f t="shared" ca="1" si="205"/>
        <v>6.3394761741226852E-2</v>
      </c>
      <c r="Z662" s="30">
        <f t="shared" ca="1" si="205"/>
        <v>10.825356586699414</v>
      </c>
      <c r="AA662" s="26">
        <v>654</v>
      </c>
      <c r="AB662" s="31">
        <f t="shared" ca="1" si="204"/>
        <v>44</v>
      </c>
      <c r="AC662" s="31">
        <f t="shared" ca="1" si="193"/>
        <v>9</v>
      </c>
      <c r="AD662" s="31">
        <f t="shared" ca="1" si="194"/>
        <v>71</v>
      </c>
      <c r="AE662" s="31">
        <f t="shared" ca="1" si="195"/>
        <v>18</v>
      </c>
      <c r="AF662" s="31">
        <f t="shared" ca="1" si="196"/>
        <v>19</v>
      </c>
      <c r="AG662" s="31">
        <f t="shared" ca="1" si="197"/>
        <v>72</v>
      </c>
      <c r="AH662" s="31">
        <f t="shared" ca="1" si="198"/>
        <v>9</v>
      </c>
      <c r="AI662" s="31">
        <f t="shared" ca="1" si="199"/>
        <v>52</v>
      </c>
      <c r="AJ662" s="31">
        <f t="shared" ca="1" si="200"/>
        <v>23</v>
      </c>
      <c r="AK662" s="31">
        <f t="shared" ca="1" si="201"/>
        <v>62</v>
      </c>
      <c r="AL662" s="31">
        <f t="shared" ca="1" si="202"/>
        <v>1</v>
      </c>
      <c r="AM662" s="31">
        <f t="shared" ca="1" si="203"/>
        <v>13</v>
      </c>
    </row>
    <row r="663" spans="14:39">
      <c r="N663" s="26">
        <v>655</v>
      </c>
      <c r="O663" s="30">
        <f t="shared" ca="1" si="205"/>
        <v>19.406413493480592</v>
      </c>
      <c r="P663" s="30">
        <f t="shared" ca="1" si="205"/>
        <v>6.2592810872087741</v>
      </c>
      <c r="Q663" s="30">
        <f t="shared" ca="1" si="205"/>
        <v>5.6523679712036605</v>
      </c>
      <c r="R663" s="30">
        <f t="shared" ca="1" si="205"/>
        <v>2.18824699281073</v>
      </c>
      <c r="S663" s="30">
        <f t="shared" ca="1" si="205"/>
        <v>28.394580307645853</v>
      </c>
      <c r="T663" s="30">
        <f t="shared" ca="1" si="205"/>
        <v>14.347254128220905</v>
      </c>
      <c r="U663" s="30">
        <f t="shared" ca="1" si="205"/>
        <v>23.056117937039392</v>
      </c>
      <c r="V663" s="30">
        <f t="shared" ca="1" si="205"/>
        <v>0.57692867499478406</v>
      </c>
      <c r="W663" s="30">
        <f t="shared" ca="1" si="205"/>
        <v>9.9165586044650933</v>
      </c>
      <c r="X663" s="30">
        <f t="shared" ca="1" si="205"/>
        <v>22.931214055996854</v>
      </c>
      <c r="Y663" s="30">
        <f t="shared" ca="1" si="205"/>
        <v>19.741155837886861</v>
      </c>
      <c r="Z663" s="30">
        <f t="shared" ca="1" si="205"/>
        <v>24.416848179096828</v>
      </c>
      <c r="AA663" s="26">
        <v>655</v>
      </c>
      <c r="AB663" s="31">
        <f t="shared" ca="1" si="204"/>
        <v>29</v>
      </c>
      <c r="AC663" s="31">
        <f t="shared" ca="1" si="193"/>
        <v>7</v>
      </c>
      <c r="AD663" s="31">
        <f t="shared" ca="1" si="194"/>
        <v>7</v>
      </c>
      <c r="AE663" s="31">
        <f t="shared" ca="1" si="195"/>
        <v>3</v>
      </c>
      <c r="AF663" s="31">
        <f t="shared" ca="1" si="196"/>
        <v>63</v>
      </c>
      <c r="AG663" s="31">
        <f t="shared" ca="1" si="197"/>
        <v>19</v>
      </c>
      <c r="AH663" s="31">
        <f t="shared" ca="1" si="198"/>
        <v>39</v>
      </c>
      <c r="AI663" s="31">
        <f t="shared" ca="1" si="199"/>
        <v>1</v>
      </c>
      <c r="AJ663" s="31">
        <f t="shared" ca="1" si="200"/>
        <v>12</v>
      </c>
      <c r="AK663" s="31">
        <f t="shared" ca="1" si="201"/>
        <v>39</v>
      </c>
      <c r="AL663" s="31">
        <f t="shared" ca="1" si="202"/>
        <v>30</v>
      </c>
      <c r="AM663" s="31">
        <f t="shared" ca="1" si="203"/>
        <v>44</v>
      </c>
    </row>
    <row r="664" spans="14:39">
      <c r="N664" s="26">
        <v>656</v>
      </c>
      <c r="O664" s="30">
        <f t="shared" ca="1" si="205"/>
        <v>8.869257679290163</v>
      </c>
      <c r="P664" s="30">
        <f t="shared" ca="1" si="205"/>
        <v>19.355813834869657</v>
      </c>
      <c r="Q664" s="30">
        <f t="shared" ca="1" si="205"/>
        <v>20.510484881499622</v>
      </c>
      <c r="R664" s="30">
        <f t="shared" ca="1" si="205"/>
        <v>29.323017296286999</v>
      </c>
      <c r="S664" s="30">
        <f t="shared" ca="1" si="205"/>
        <v>18.073921694587906</v>
      </c>
      <c r="T664" s="30">
        <f t="shared" ca="1" si="205"/>
        <v>20.331169274652989</v>
      </c>
      <c r="U664" s="30">
        <f t="shared" ca="1" si="205"/>
        <v>19.478151832720233</v>
      </c>
      <c r="V664" s="30">
        <f t="shared" ca="1" si="205"/>
        <v>22.062289577712125</v>
      </c>
      <c r="W664" s="30">
        <f t="shared" ca="1" si="205"/>
        <v>22.789945143252744</v>
      </c>
      <c r="X664" s="30">
        <f t="shared" ca="1" si="205"/>
        <v>3.4972871364237914</v>
      </c>
      <c r="Y664" s="30">
        <f t="shared" ca="1" si="205"/>
        <v>18.759819899385651</v>
      </c>
      <c r="Z664" s="30">
        <f t="shared" ca="1" si="205"/>
        <v>6.9703138026926839</v>
      </c>
      <c r="AA664" s="26">
        <v>656</v>
      </c>
      <c r="AB664" s="31">
        <f t="shared" ca="1" si="204"/>
        <v>11</v>
      </c>
      <c r="AC664" s="31">
        <f t="shared" ca="1" si="193"/>
        <v>29</v>
      </c>
      <c r="AD664" s="31">
        <f t="shared" ca="1" si="194"/>
        <v>32</v>
      </c>
      <c r="AE664" s="31">
        <f t="shared" ca="1" si="195"/>
        <v>70</v>
      </c>
      <c r="AF664" s="31">
        <f t="shared" ca="1" si="196"/>
        <v>26</v>
      </c>
      <c r="AG664" s="31">
        <f t="shared" ca="1" si="197"/>
        <v>31</v>
      </c>
      <c r="AH664" s="31">
        <f t="shared" ca="1" si="198"/>
        <v>29</v>
      </c>
      <c r="AI664" s="31">
        <f t="shared" ca="1" si="199"/>
        <v>36</v>
      </c>
      <c r="AJ664" s="31">
        <f t="shared" ca="1" si="200"/>
        <v>38</v>
      </c>
      <c r="AK664" s="31">
        <f t="shared" ca="1" si="201"/>
        <v>4</v>
      </c>
      <c r="AL664" s="31">
        <f t="shared" ca="1" si="202"/>
        <v>28</v>
      </c>
      <c r="AM664" s="31">
        <f t="shared" ca="1" si="203"/>
        <v>8</v>
      </c>
    </row>
    <row r="665" spans="14:39">
      <c r="N665" s="26">
        <v>657</v>
      </c>
      <c r="O665" s="30">
        <f t="shared" ca="1" si="205"/>
        <v>27.394281276203809</v>
      </c>
      <c r="P665" s="30">
        <f t="shared" ca="1" si="205"/>
        <v>30.082095016893319</v>
      </c>
      <c r="Q665" s="30">
        <f t="shared" ca="1" si="205"/>
        <v>30.964267464416672</v>
      </c>
      <c r="R665" s="30">
        <f t="shared" ca="1" si="205"/>
        <v>28.372062002931635</v>
      </c>
      <c r="S665" s="30">
        <f t="shared" ca="1" si="205"/>
        <v>24.709825662544535</v>
      </c>
      <c r="T665" s="30">
        <f t="shared" ca="1" si="205"/>
        <v>5.1816019478007407</v>
      </c>
      <c r="U665" s="30">
        <f t="shared" ca="1" si="205"/>
        <v>1.5051903964474449</v>
      </c>
      <c r="V665" s="30">
        <f t="shared" ca="1" si="205"/>
        <v>10.140487826084884</v>
      </c>
      <c r="W665" s="30">
        <f t="shared" ca="1" si="205"/>
        <v>12.419116681907079</v>
      </c>
      <c r="X665" s="30">
        <f t="shared" ca="1" si="205"/>
        <v>7.5112359546901235</v>
      </c>
      <c r="Y665" s="30">
        <f t="shared" ca="1" si="205"/>
        <v>24.691424333630184</v>
      </c>
      <c r="Z665" s="30">
        <f t="shared" ca="1" si="205"/>
        <v>20.279475983251928</v>
      </c>
      <c r="AA665" s="26">
        <v>657</v>
      </c>
      <c r="AB665" s="31">
        <f t="shared" ca="1" si="204"/>
        <v>57</v>
      </c>
      <c r="AC665" s="31">
        <f t="shared" ca="1" si="193"/>
        <v>77</v>
      </c>
      <c r="AD665" s="31">
        <f t="shared" ca="1" si="194"/>
        <v>87</v>
      </c>
      <c r="AE665" s="31">
        <f t="shared" ca="1" si="195"/>
        <v>63</v>
      </c>
      <c r="AF665" s="31">
        <f t="shared" ca="1" si="196"/>
        <v>45</v>
      </c>
      <c r="AG665" s="31">
        <f t="shared" ca="1" si="197"/>
        <v>6</v>
      </c>
      <c r="AH665" s="31">
        <f t="shared" ca="1" si="198"/>
        <v>2</v>
      </c>
      <c r="AI665" s="31">
        <f t="shared" ca="1" si="199"/>
        <v>12</v>
      </c>
      <c r="AJ665" s="31">
        <f t="shared" ca="1" si="200"/>
        <v>16</v>
      </c>
      <c r="AK665" s="31">
        <f t="shared" ca="1" si="201"/>
        <v>9</v>
      </c>
      <c r="AL665" s="31">
        <f t="shared" ca="1" si="202"/>
        <v>45</v>
      </c>
      <c r="AM665" s="31">
        <f t="shared" ca="1" si="203"/>
        <v>31</v>
      </c>
    </row>
    <row r="666" spans="14:39">
      <c r="N666" s="26">
        <v>658</v>
      </c>
      <c r="O666" s="30">
        <f t="shared" ca="1" si="205"/>
        <v>10.996578930073492</v>
      </c>
      <c r="P666" s="30">
        <f t="shared" ca="1" si="205"/>
        <v>22.686879501373021</v>
      </c>
      <c r="Q666" s="30">
        <f t="shared" ca="1" si="205"/>
        <v>24.813306695257808</v>
      </c>
      <c r="R666" s="30">
        <f t="shared" ca="1" si="205"/>
        <v>7.2300597245780667</v>
      </c>
      <c r="S666" s="30">
        <f t="shared" ca="1" si="205"/>
        <v>13.220821398944425</v>
      </c>
      <c r="T666" s="30">
        <f t="shared" ca="1" si="205"/>
        <v>30.386620299747396</v>
      </c>
      <c r="U666" s="30">
        <f t="shared" ca="1" si="205"/>
        <v>7.5741096630644504</v>
      </c>
      <c r="V666" s="30">
        <f t="shared" ca="1" si="205"/>
        <v>0.16896508295062507</v>
      </c>
      <c r="W666" s="30">
        <f t="shared" ca="1" si="205"/>
        <v>18.027952695132921</v>
      </c>
      <c r="X666" s="30">
        <f t="shared" ca="1" si="205"/>
        <v>31.001136094589054</v>
      </c>
      <c r="Y666" s="30">
        <f t="shared" ca="1" si="205"/>
        <v>28.18563975421117</v>
      </c>
      <c r="Z666" s="30">
        <f t="shared" ca="1" si="205"/>
        <v>30.60673319656636</v>
      </c>
      <c r="AA666" s="26">
        <v>658</v>
      </c>
      <c r="AB666" s="31">
        <f t="shared" ca="1" si="204"/>
        <v>14</v>
      </c>
      <c r="AC666" s="31">
        <f t="shared" ca="1" si="193"/>
        <v>38</v>
      </c>
      <c r="AD666" s="31">
        <f t="shared" ca="1" si="194"/>
        <v>45</v>
      </c>
      <c r="AE666" s="31">
        <f t="shared" ca="1" si="195"/>
        <v>9</v>
      </c>
      <c r="AF666" s="31">
        <f t="shared" ca="1" si="196"/>
        <v>17</v>
      </c>
      <c r="AG666" s="31">
        <f t="shared" ca="1" si="197"/>
        <v>80</v>
      </c>
      <c r="AH666" s="31">
        <f t="shared" ca="1" si="198"/>
        <v>9</v>
      </c>
      <c r="AI666" s="31">
        <f t="shared" ca="1" si="199"/>
        <v>1</v>
      </c>
      <c r="AJ666" s="31">
        <f t="shared" ca="1" si="200"/>
        <v>26</v>
      </c>
      <c r="AK666" s="31">
        <f t="shared" ca="1" si="201"/>
        <v>88</v>
      </c>
      <c r="AL666" s="31">
        <f t="shared" ca="1" si="202"/>
        <v>62</v>
      </c>
      <c r="AM666" s="31">
        <f t="shared" ca="1" si="203"/>
        <v>83</v>
      </c>
    </row>
    <row r="667" spans="14:39">
      <c r="N667" s="26">
        <v>659</v>
      </c>
      <c r="O667" s="30">
        <f t="shared" ca="1" si="205"/>
        <v>3.8273483404514121</v>
      </c>
      <c r="P667" s="30">
        <f t="shared" ca="1" si="205"/>
        <v>25.791837067338651</v>
      </c>
      <c r="Q667" s="30">
        <f t="shared" ca="1" si="205"/>
        <v>25.379886200868071</v>
      </c>
      <c r="R667" s="30">
        <f t="shared" ca="1" si="205"/>
        <v>26.954282058253789</v>
      </c>
      <c r="S667" s="30">
        <f t="shared" ca="1" si="205"/>
        <v>24.868541502310912</v>
      </c>
      <c r="T667" s="30">
        <f t="shared" ca="1" si="205"/>
        <v>24.124758499199714</v>
      </c>
      <c r="U667" s="30">
        <f t="shared" ca="1" si="205"/>
        <v>0.15378810669959572</v>
      </c>
      <c r="V667" s="30">
        <f t="shared" ca="1" si="205"/>
        <v>26.641654696958433</v>
      </c>
      <c r="W667" s="30">
        <f t="shared" ca="1" si="205"/>
        <v>19.667279290355872</v>
      </c>
      <c r="X667" s="30">
        <f t="shared" ca="1" si="205"/>
        <v>32.442235821247479</v>
      </c>
      <c r="Y667" s="30">
        <f t="shared" ca="1" si="205"/>
        <v>9.2407347559566926</v>
      </c>
      <c r="Z667" s="30">
        <f t="shared" ca="1" si="205"/>
        <v>3.498245204491234</v>
      </c>
      <c r="AA667" s="26">
        <v>659</v>
      </c>
      <c r="AB667" s="31">
        <f t="shared" ca="1" si="204"/>
        <v>5</v>
      </c>
      <c r="AC667" s="31">
        <f t="shared" ca="1" si="193"/>
        <v>49</v>
      </c>
      <c r="AD667" s="31">
        <f t="shared" ca="1" si="194"/>
        <v>48</v>
      </c>
      <c r="AE667" s="31">
        <f t="shared" ca="1" si="195"/>
        <v>55</v>
      </c>
      <c r="AF667" s="31">
        <f t="shared" ca="1" si="196"/>
        <v>45</v>
      </c>
      <c r="AG667" s="31">
        <f t="shared" ca="1" si="197"/>
        <v>43</v>
      </c>
      <c r="AH667" s="31">
        <f t="shared" ca="1" si="198"/>
        <v>1</v>
      </c>
      <c r="AI667" s="31">
        <f t="shared" ca="1" si="199"/>
        <v>53</v>
      </c>
      <c r="AJ667" s="31">
        <f t="shared" ca="1" si="200"/>
        <v>30</v>
      </c>
      <c r="AK667" s="31">
        <f t="shared" ca="1" si="201"/>
        <v>119</v>
      </c>
      <c r="AL667" s="31">
        <f t="shared" ca="1" si="202"/>
        <v>11</v>
      </c>
      <c r="AM667" s="31">
        <f t="shared" ca="1" si="203"/>
        <v>4</v>
      </c>
    </row>
    <row r="668" spans="14:39">
      <c r="N668" s="26">
        <v>660</v>
      </c>
      <c r="O668" s="30">
        <f t="shared" ca="1" si="205"/>
        <v>19.104899610865282</v>
      </c>
      <c r="P668" s="30">
        <f t="shared" ca="1" si="205"/>
        <v>9.6051839511831609</v>
      </c>
      <c r="Q668" s="30">
        <f t="shared" ca="1" si="205"/>
        <v>12.334499010655589</v>
      </c>
      <c r="R668" s="30">
        <f t="shared" ca="1" si="205"/>
        <v>3.7171510263845353</v>
      </c>
      <c r="S668" s="30">
        <f t="shared" ca="1" si="205"/>
        <v>5.5452894319998283</v>
      </c>
      <c r="T668" s="30">
        <f t="shared" ca="1" si="205"/>
        <v>26.066514549537406</v>
      </c>
      <c r="U668" s="30">
        <f t="shared" ca="1" si="205"/>
        <v>24.921133116586894</v>
      </c>
      <c r="V668" s="30">
        <f t="shared" ca="1" si="205"/>
        <v>15.871367908785489</v>
      </c>
      <c r="W668" s="30">
        <f t="shared" ca="1" si="205"/>
        <v>20.26135840142577</v>
      </c>
      <c r="X668" s="30">
        <f t="shared" ca="1" si="205"/>
        <v>7.3555085439631478</v>
      </c>
      <c r="Y668" s="30">
        <f t="shared" ca="1" si="205"/>
        <v>28.774948394526401</v>
      </c>
      <c r="Z668" s="30">
        <f t="shared" ca="1" si="205"/>
        <v>7.9404784093031697</v>
      </c>
      <c r="AA668" s="26">
        <v>660</v>
      </c>
      <c r="AB668" s="31">
        <f t="shared" ca="1" si="204"/>
        <v>28</v>
      </c>
      <c r="AC668" s="31">
        <f t="shared" ca="1" si="193"/>
        <v>12</v>
      </c>
      <c r="AD668" s="31">
        <f t="shared" ca="1" si="194"/>
        <v>16</v>
      </c>
      <c r="AE668" s="31">
        <f t="shared" ca="1" si="195"/>
        <v>4</v>
      </c>
      <c r="AF668" s="31">
        <f t="shared" ca="1" si="196"/>
        <v>6</v>
      </c>
      <c r="AG668" s="31">
        <f t="shared" ca="1" si="197"/>
        <v>51</v>
      </c>
      <c r="AH668" s="31">
        <f t="shared" ca="1" si="198"/>
        <v>46</v>
      </c>
      <c r="AI668" s="31">
        <f t="shared" ca="1" si="199"/>
        <v>22</v>
      </c>
      <c r="AJ668" s="31">
        <f t="shared" ca="1" si="200"/>
        <v>31</v>
      </c>
      <c r="AK668" s="31">
        <f t="shared" ca="1" si="201"/>
        <v>9</v>
      </c>
      <c r="AL668" s="31">
        <f t="shared" ca="1" si="202"/>
        <v>66</v>
      </c>
      <c r="AM668" s="31">
        <f t="shared" ca="1" si="203"/>
        <v>9</v>
      </c>
    </row>
    <row r="669" spans="14:39">
      <c r="N669" s="26">
        <v>661</v>
      </c>
      <c r="O669" s="30">
        <f t="shared" ref="O669:Z678" ca="1" si="206">RAND()*sumweights</f>
        <v>17.850346258090124</v>
      </c>
      <c r="P669" s="30">
        <f t="shared" ca="1" si="206"/>
        <v>18.4515211145746</v>
      </c>
      <c r="Q669" s="30">
        <f t="shared" ca="1" si="206"/>
        <v>10.295595120359978</v>
      </c>
      <c r="R669" s="30">
        <f t="shared" ca="1" si="206"/>
        <v>29.699387654880912</v>
      </c>
      <c r="S669" s="30">
        <f t="shared" ca="1" si="206"/>
        <v>26.683281726783779</v>
      </c>
      <c r="T669" s="30">
        <f t="shared" ca="1" si="206"/>
        <v>14.514682716500955</v>
      </c>
      <c r="U669" s="30">
        <f t="shared" ca="1" si="206"/>
        <v>6.7496790780346059</v>
      </c>
      <c r="V669" s="30">
        <f t="shared" ca="1" si="206"/>
        <v>11.070278966049843</v>
      </c>
      <c r="W669" s="30">
        <f t="shared" ca="1" si="206"/>
        <v>1.5530302599019168</v>
      </c>
      <c r="X669" s="30">
        <f t="shared" ca="1" si="206"/>
        <v>3.6167690908549628</v>
      </c>
      <c r="Y669" s="30">
        <f t="shared" ca="1" si="206"/>
        <v>0.84287293223056392</v>
      </c>
      <c r="Z669" s="30">
        <f t="shared" ca="1" si="206"/>
        <v>23.403153490615555</v>
      </c>
      <c r="AA669" s="26">
        <v>661</v>
      </c>
      <c r="AB669" s="31">
        <f t="shared" ca="1" si="204"/>
        <v>26</v>
      </c>
      <c r="AC669" s="31">
        <f t="shared" ca="1" si="193"/>
        <v>27</v>
      </c>
      <c r="AD669" s="31">
        <f t="shared" ca="1" si="194"/>
        <v>13</v>
      </c>
      <c r="AE669" s="31">
        <f t="shared" ca="1" si="195"/>
        <v>73</v>
      </c>
      <c r="AF669" s="31">
        <f t="shared" ca="1" si="196"/>
        <v>53</v>
      </c>
      <c r="AG669" s="31">
        <f t="shared" ca="1" si="197"/>
        <v>19</v>
      </c>
      <c r="AH669" s="31">
        <f t="shared" ca="1" si="198"/>
        <v>8</v>
      </c>
      <c r="AI669" s="31">
        <f t="shared" ca="1" si="199"/>
        <v>14</v>
      </c>
      <c r="AJ669" s="31">
        <f t="shared" ca="1" si="200"/>
        <v>2</v>
      </c>
      <c r="AK669" s="31">
        <f t="shared" ca="1" si="201"/>
        <v>4</v>
      </c>
      <c r="AL669" s="31">
        <f t="shared" ca="1" si="202"/>
        <v>1</v>
      </c>
      <c r="AM669" s="31">
        <f t="shared" ca="1" si="203"/>
        <v>40</v>
      </c>
    </row>
    <row r="670" spans="14:39">
      <c r="N670" s="26">
        <v>662</v>
      </c>
      <c r="O670" s="30">
        <f t="shared" ca="1" si="206"/>
        <v>28.327272639855956</v>
      </c>
      <c r="P670" s="30">
        <f t="shared" ca="1" si="206"/>
        <v>1.9309973660922422</v>
      </c>
      <c r="Q670" s="30">
        <f t="shared" ca="1" si="206"/>
        <v>1.9754967418441549</v>
      </c>
      <c r="R670" s="30">
        <f t="shared" ca="1" si="206"/>
        <v>20.242254284788554</v>
      </c>
      <c r="S670" s="30">
        <f t="shared" ca="1" si="206"/>
        <v>22.26603352871124</v>
      </c>
      <c r="T670" s="30">
        <f t="shared" ca="1" si="206"/>
        <v>29.943486000891422</v>
      </c>
      <c r="U670" s="30">
        <f t="shared" ca="1" si="206"/>
        <v>31.832530310272901</v>
      </c>
      <c r="V670" s="30">
        <f t="shared" ca="1" si="206"/>
        <v>15.921981857291499</v>
      </c>
      <c r="W670" s="30">
        <f t="shared" ca="1" si="206"/>
        <v>2.5097668079846001</v>
      </c>
      <c r="X670" s="30">
        <f t="shared" ca="1" si="206"/>
        <v>0.48194310587178024</v>
      </c>
      <c r="Y670" s="30">
        <f t="shared" ca="1" si="206"/>
        <v>4.2210737872017576</v>
      </c>
      <c r="Z670" s="30">
        <f t="shared" ca="1" si="206"/>
        <v>24.769143176443038</v>
      </c>
      <c r="AA670" s="26">
        <v>662</v>
      </c>
      <c r="AB670" s="31">
        <f t="shared" ca="1" si="204"/>
        <v>63</v>
      </c>
      <c r="AC670" s="31">
        <f t="shared" ca="1" si="193"/>
        <v>2</v>
      </c>
      <c r="AD670" s="31">
        <f t="shared" ca="1" si="194"/>
        <v>3</v>
      </c>
      <c r="AE670" s="31">
        <f t="shared" ca="1" si="195"/>
        <v>31</v>
      </c>
      <c r="AF670" s="31">
        <f t="shared" ca="1" si="196"/>
        <v>37</v>
      </c>
      <c r="AG670" s="31">
        <f t="shared" ca="1" si="197"/>
        <v>76</v>
      </c>
      <c r="AH670" s="31">
        <f t="shared" ca="1" si="198"/>
        <v>102</v>
      </c>
      <c r="AI670" s="31">
        <f t="shared" ca="1" si="199"/>
        <v>22</v>
      </c>
      <c r="AJ670" s="31">
        <f t="shared" ca="1" si="200"/>
        <v>3</v>
      </c>
      <c r="AK670" s="31">
        <f t="shared" ca="1" si="201"/>
        <v>1</v>
      </c>
      <c r="AL670" s="31">
        <f t="shared" ca="1" si="202"/>
        <v>5</v>
      </c>
      <c r="AM670" s="31">
        <f t="shared" ca="1" si="203"/>
        <v>45</v>
      </c>
    </row>
    <row r="671" spans="14:39">
      <c r="N671" s="26">
        <v>663</v>
      </c>
      <c r="O671" s="30">
        <f t="shared" ca="1" si="206"/>
        <v>18.170915775187947</v>
      </c>
      <c r="P671" s="30">
        <f t="shared" ca="1" si="206"/>
        <v>8.3159169749045159</v>
      </c>
      <c r="Q671" s="30">
        <f t="shared" ca="1" si="206"/>
        <v>1.4367813459468477</v>
      </c>
      <c r="R671" s="30">
        <f t="shared" ca="1" si="206"/>
        <v>17.560297725438531</v>
      </c>
      <c r="S671" s="30">
        <f t="shared" ca="1" si="206"/>
        <v>26.566758468254019</v>
      </c>
      <c r="T671" s="30">
        <f t="shared" ca="1" si="206"/>
        <v>32.741085183154823</v>
      </c>
      <c r="U671" s="30">
        <f t="shared" ca="1" si="206"/>
        <v>5.8094439001658174</v>
      </c>
      <c r="V671" s="30">
        <f t="shared" ca="1" si="206"/>
        <v>10.373763008002626</v>
      </c>
      <c r="W671" s="30">
        <f t="shared" ca="1" si="206"/>
        <v>11.616468124585579</v>
      </c>
      <c r="X671" s="30">
        <f t="shared" ca="1" si="206"/>
        <v>11.083756147932144</v>
      </c>
      <c r="Y671" s="30">
        <f t="shared" ca="1" si="206"/>
        <v>15.661062387433837</v>
      </c>
      <c r="Z671" s="30">
        <f t="shared" ca="1" si="206"/>
        <v>23.922771794687055</v>
      </c>
      <c r="AA671" s="26">
        <v>663</v>
      </c>
      <c r="AB671" s="31">
        <f t="shared" ca="1" si="204"/>
        <v>26</v>
      </c>
      <c r="AC671" s="31">
        <f t="shared" ca="1" si="193"/>
        <v>10</v>
      </c>
      <c r="AD671" s="31">
        <f t="shared" ca="1" si="194"/>
        <v>2</v>
      </c>
      <c r="AE671" s="31">
        <f t="shared" ca="1" si="195"/>
        <v>25</v>
      </c>
      <c r="AF671" s="31">
        <f t="shared" ca="1" si="196"/>
        <v>53</v>
      </c>
      <c r="AG671" s="31">
        <f t="shared" ca="1" si="197"/>
        <v>133</v>
      </c>
      <c r="AH671" s="31">
        <f t="shared" ca="1" si="198"/>
        <v>7</v>
      </c>
      <c r="AI671" s="31">
        <f t="shared" ca="1" si="199"/>
        <v>13</v>
      </c>
      <c r="AJ671" s="31">
        <f t="shared" ca="1" si="200"/>
        <v>15</v>
      </c>
      <c r="AK671" s="31">
        <f t="shared" ca="1" si="201"/>
        <v>14</v>
      </c>
      <c r="AL671" s="31">
        <f t="shared" ca="1" si="202"/>
        <v>21</v>
      </c>
      <c r="AM671" s="31">
        <f t="shared" ca="1" si="203"/>
        <v>42</v>
      </c>
    </row>
    <row r="672" spans="14:39">
      <c r="N672" s="26">
        <v>664</v>
      </c>
      <c r="O672" s="30">
        <f t="shared" ca="1" si="206"/>
        <v>27.44577112687227</v>
      </c>
      <c r="P672" s="30">
        <f t="shared" ca="1" si="206"/>
        <v>6.2909542977085335</v>
      </c>
      <c r="Q672" s="30">
        <f t="shared" ca="1" si="206"/>
        <v>17.118565770103714</v>
      </c>
      <c r="R672" s="30">
        <f t="shared" ca="1" si="206"/>
        <v>3.2565426276686549</v>
      </c>
      <c r="S672" s="30">
        <f t="shared" ca="1" si="206"/>
        <v>5.8047083134424158</v>
      </c>
      <c r="T672" s="30">
        <f t="shared" ca="1" si="206"/>
        <v>0.30096427843105922</v>
      </c>
      <c r="U672" s="30">
        <f t="shared" ca="1" si="206"/>
        <v>26.631302067250399</v>
      </c>
      <c r="V672" s="30">
        <f t="shared" ca="1" si="206"/>
        <v>24.672600944387906</v>
      </c>
      <c r="W672" s="30">
        <f t="shared" ca="1" si="206"/>
        <v>10.874498665430796</v>
      </c>
      <c r="X672" s="30">
        <f t="shared" ca="1" si="206"/>
        <v>16.827707095097672</v>
      </c>
      <c r="Y672" s="30">
        <f t="shared" ca="1" si="206"/>
        <v>25.857458601137203</v>
      </c>
      <c r="Z672" s="30">
        <f t="shared" ca="1" si="206"/>
        <v>23.729552541104376</v>
      </c>
      <c r="AA672" s="26">
        <v>664</v>
      </c>
      <c r="AB672" s="31">
        <f t="shared" ca="1" si="204"/>
        <v>57</v>
      </c>
      <c r="AC672" s="31">
        <f t="shared" ca="1" si="193"/>
        <v>7</v>
      </c>
      <c r="AD672" s="31">
        <f t="shared" ca="1" si="194"/>
        <v>24</v>
      </c>
      <c r="AE672" s="31">
        <f t="shared" ca="1" si="195"/>
        <v>4</v>
      </c>
      <c r="AF672" s="31">
        <f t="shared" ca="1" si="196"/>
        <v>7</v>
      </c>
      <c r="AG672" s="31">
        <f t="shared" ca="1" si="197"/>
        <v>1</v>
      </c>
      <c r="AH672" s="31">
        <f t="shared" ca="1" si="198"/>
        <v>53</v>
      </c>
      <c r="AI672" s="31">
        <f t="shared" ca="1" si="199"/>
        <v>45</v>
      </c>
      <c r="AJ672" s="31">
        <f t="shared" ca="1" si="200"/>
        <v>13</v>
      </c>
      <c r="AK672" s="31">
        <f t="shared" ca="1" si="201"/>
        <v>24</v>
      </c>
      <c r="AL672" s="31">
        <f t="shared" ca="1" si="202"/>
        <v>50</v>
      </c>
      <c r="AM672" s="31">
        <f t="shared" ca="1" si="203"/>
        <v>41</v>
      </c>
    </row>
    <row r="673" spans="14:39">
      <c r="N673" s="26">
        <v>665</v>
      </c>
      <c r="O673" s="30">
        <f t="shared" ca="1" si="206"/>
        <v>32.078537143592904</v>
      </c>
      <c r="P673" s="30">
        <f t="shared" ca="1" si="206"/>
        <v>20.512469251246234</v>
      </c>
      <c r="Q673" s="30">
        <f t="shared" ca="1" si="206"/>
        <v>26.008412785900671</v>
      </c>
      <c r="R673" s="30">
        <f t="shared" ca="1" si="206"/>
        <v>32.777677714915995</v>
      </c>
      <c r="S673" s="30">
        <f t="shared" ca="1" si="206"/>
        <v>8.7892869290972708</v>
      </c>
      <c r="T673" s="30">
        <f t="shared" ca="1" si="206"/>
        <v>25.484194424592314</v>
      </c>
      <c r="U673" s="30">
        <f t="shared" ca="1" si="206"/>
        <v>14.153567447798224</v>
      </c>
      <c r="V673" s="30">
        <f t="shared" ca="1" si="206"/>
        <v>23.402739818722747</v>
      </c>
      <c r="W673" s="30">
        <f t="shared" ca="1" si="206"/>
        <v>2.512080544342735</v>
      </c>
      <c r="X673" s="30">
        <f t="shared" ca="1" si="206"/>
        <v>25.412962385312337</v>
      </c>
      <c r="Y673" s="30">
        <f t="shared" ca="1" si="206"/>
        <v>18.098302335996387</v>
      </c>
      <c r="Z673" s="30">
        <f t="shared" ca="1" si="206"/>
        <v>31.264388098904067</v>
      </c>
      <c r="AA673" s="26">
        <v>665</v>
      </c>
      <c r="AB673" s="31">
        <f t="shared" ca="1" si="204"/>
        <v>108</v>
      </c>
      <c r="AC673" s="31">
        <f t="shared" ca="1" si="193"/>
        <v>32</v>
      </c>
      <c r="AD673" s="31">
        <f t="shared" ca="1" si="194"/>
        <v>50</v>
      </c>
      <c r="AE673" s="31">
        <f t="shared" ca="1" si="195"/>
        <v>135</v>
      </c>
      <c r="AF673" s="31">
        <f t="shared" ca="1" si="196"/>
        <v>11</v>
      </c>
      <c r="AG673" s="31">
        <f t="shared" ca="1" si="197"/>
        <v>48</v>
      </c>
      <c r="AH673" s="31">
        <f t="shared" ca="1" si="198"/>
        <v>19</v>
      </c>
      <c r="AI673" s="31">
        <f t="shared" ca="1" si="199"/>
        <v>40</v>
      </c>
      <c r="AJ673" s="31">
        <f t="shared" ca="1" si="200"/>
        <v>3</v>
      </c>
      <c r="AK673" s="31">
        <f t="shared" ca="1" si="201"/>
        <v>48</v>
      </c>
      <c r="AL673" s="31">
        <f t="shared" ca="1" si="202"/>
        <v>26</v>
      </c>
      <c r="AM673" s="31">
        <f t="shared" ca="1" si="203"/>
        <v>92</v>
      </c>
    </row>
    <row r="674" spans="14:39">
      <c r="N674" s="26">
        <v>666</v>
      </c>
      <c r="O674" s="30">
        <f t="shared" ca="1" si="206"/>
        <v>32.500841345778532</v>
      </c>
      <c r="P674" s="30">
        <f t="shared" ca="1" si="206"/>
        <v>22.215186262564565</v>
      </c>
      <c r="Q674" s="30">
        <f t="shared" ca="1" si="206"/>
        <v>3.8245079991206152</v>
      </c>
      <c r="R674" s="30">
        <f t="shared" ca="1" si="206"/>
        <v>18.06254674462463</v>
      </c>
      <c r="S674" s="30">
        <f t="shared" ca="1" si="206"/>
        <v>12.839753937114354</v>
      </c>
      <c r="T674" s="30">
        <f t="shared" ca="1" si="206"/>
        <v>28.819034127380341</v>
      </c>
      <c r="U674" s="30">
        <f t="shared" ca="1" si="206"/>
        <v>19.434158486402655</v>
      </c>
      <c r="V674" s="30">
        <f t="shared" ca="1" si="206"/>
        <v>1.8547794634615378</v>
      </c>
      <c r="W674" s="30">
        <f t="shared" ca="1" si="206"/>
        <v>3.4734546985923616</v>
      </c>
      <c r="X674" s="30">
        <f t="shared" ca="1" si="206"/>
        <v>9.1005498503551312</v>
      </c>
      <c r="Y674" s="30">
        <f t="shared" ca="1" si="206"/>
        <v>27.614961786633557</v>
      </c>
      <c r="Z674" s="30">
        <f t="shared" ca="1" si="206"/>
        <v>32.515812234086638</v>
      </c>
      <c r="AA674" s="26">
        <v>666</v>
      </c>
      <c r="AB674" s="31">
        <f t="shared" ca="1" si="204"/>
        <v>122</v>
      </c>
      <c r="AC674" s="31">
        <f t="shared" ca="1" si="193"/>
        <v>37</v>
      </c>
      <c r="AD674" s="31">
        <f t="shared" ca="1" si="194"/>
        <v>5</v>
      </c>
      <c r="AE674" s="31">
        <f t="shared" ca="1" si="195"/>
        <v>26</v>
      </c>
      <c r="AF674" s="31">
        <f t="shared" ca="1" si="196"/>
        <v>16</v>
      </c>
      <c r="AG674" s="31">
        <f t="shared" ca="1" si="197"/>
        <v>66</v>
      </c>
      <c r="AH674" s="31">
        <f t="shared" ca="1" si="198"/>
        <v>29</v>
      </c>
      <c r="AI674" s="31">
        <f t="shared" ca="1" si="199"/>
        <v>2</v>
      </c>
      <c r="AJ674" s="31">
        <f t="shared" ca="1" si="200"/>
        <v>4</v>
      </c>
      <c r="AK674" s="31">
        <f t="shared" ca="1" si="201"/>
        <v>11</v>
      </c>
      <c r="AL674" s="31">
        <f t="shared" ca="1" si="202"/>
        <v>58</v>
      </c>
      <c r="AM674" s="31">
        <f t="shared" ca="1" si="203"/>
        <v>122</v>
      </c>
    </row>
    <row r="675" spans="14:39">
      <c r="N675" s="26">
        <v>667</v>
      </c>
      <c r="O675" s="30">
        <f t="shared" ca="1" si="206"/>
        <v>17.96381801032506</v>
      </c>
      <c r="P675" s="30">
        <f t="shared" ca="1" si="206"/>
        <v>30.971281070232088</v>
      </c>
      <c r="Q675" s="30">
        <f t="shared" ca="1" si="206"/>
        <v>32.252608046535535</v>
      </c>
      <c r="R675" s="30">
        <f t="shared" ca="1" si="206"/>
        <v>5.1051941047860733E-2</v>
      </c>
      <c r="S675" s="30">
        <f t="shared" ca="1" si="206"/>
        <v>17.925996417359947</v>
      </c>
      <c r="T675" s="30">
        <f t="shared" ca="1" si="206"/>
        <v>19.17581865033841</v>
      </c>
      <c r="U675" s="30">
        <f t="shared" ca="1" si="206"/>
        <v>22.301960852319564</v>
      </c>
      <c r="V675" s="30">
        <f t="shared" ca="1" si="206"/>
        <v>32.316005235762368</v>
      </c>
      <c r="W675" s="30">
        <f t="shared" ca="1" si="206"/>
        <v>32.305583263463902</v>
      </c>
      <c r="X675" s="30">
        <f t="shared" ca="1" si="206"/>
        <v>28.083718498508649</v>
      </c>
      <c r="Y675" s="30">
        <f t="shared" ca="1" si="206"/>
        <v>25.68952585456011</v>
      </c>
      <c r="Z675" s="30">
        <f t="shared" ca="1" si="206"/>
        <v>20.149215889239933</v>
      </c>
      <c r="AA675" s="26">
        <v>667</v>
      </c>
      <c r="AB675" s="31">
        <f t="shared" ca="1" si="204"/>
        <v>26</v>
      </c>
      <c r="AC675" s="31">
        <f t="shared" ca="1" si="193"/>
        <v>87</v>
      </c>
      <c r="AD675" s="31">
        <f t="shared" ca="1" si="194"/>
        <v>113</v>
      </c>
      <c r="AE675" s="31">
        <f t="shared" ca="1" si="195"/>
        <v>1</v>
      </c>
      <c r="AF675" s="31">
        <f t="shared" ca="1" si="196"/>
        <v>26</v>
      </c>
      <c r="AG675" s="31">
        <f t="shared" ca="1" si="197"/>
        <v>29</v>
      </c>
      <c r="AH675" s="31">
        <f t="shared" ca="1" si="198"/>
        <v>37</v>
      </c>
      <c r="AI675" s="31">
        <f t="shared" ca="1" si="199"/>
        <v>115</v>
      </c>
      <c r="AJ675" s="31">
        <f t="shared" ca="1" si="200"/>
        <v>115</v>
      </c>
      <c r="AK675" s="31">
        <f t="shared" ca="1" si="201"/>
        <v>61</v>
      </c>
      <c r="AL675" s="31">
        <f t="shared" ca="1" si="202"/>
        <v>49</v>
      </c>
      <c r="AM675" s="31">
        <f t="shared" ca="1" si="203"/>
        <v>31</v>
      </c>
    </row>
    <row r="676" spans="14:39">
      <c r="N676" s="26">
        <v>668</v>
      </c>
      <c r="O676" s="30">
        <f t="shared" ca="1" si="206"/>
        <v>33.078598296811158</v>
      </c>
      <c r="P676" s="30">
        <f t="shared" ca="1" si="206"/>
        <v>0.55706297168188323</v>
      </c>
      <c r="Q676" s="30">
        <f t="shared" ca="1" si="206"/>
        <v>6.3087174285050018</v>
      </c>
      <c r="R676" s="30">
        <f t="shared" ca="1" si="206"/>
        <v>15.847549637288054</v>
      </c>
      <c r="S676" s="30">
        <f t="shared" ca="1" si="206"/>
        <v>25.250605423544879</v>
      </c>
      <c r="T676" s="30">
        <f t="shared" ca="1" si="206"/>
        <v>14.193967585144479</v>
      </c>
      <c r="U676" s="30">
        <f t="shared" ca="1" si="206"/>
        <v>12.720461652044534</v>
      </c>
      <c r="V676" s="30">
        <f t="shared" ca="1" si="206"/>
        <v>10.186937794104864</v>
      </c>
      <c r="W676" s="30">
        <f t="shared" ca="1" si="206"/>
        <v>10.497857401273791</v>
      </c>
      <c r="X676" s="30">
        <f t="shared" ca="1" si="206"/>
        <v>20.636140453242934</v>
      </c>
      <c r="Y676" s="30">
        <f t="shared" ca="1" si="206"/>
        <v>10.083232026810126</v>
      </c>
      <c r="Z676" s="30">
        <f t="shared" ca="1" si="206"/>
        <v>6.5178887796820524</v>
      </c>
      <c r="AA676" s="26">
        <v>668</v>
      </c>
      <c r="AB676" s="31">
        <f t="shared" ca="1" si="204"/>
        <v>161</v>
      </c>
      <c r="AC676" s="31">
        <f t="shared" ca="1" si="193"/>
        <v>1</v>
      </c>
      <c r="AD676" s="31">
        <f t="shared" ca="1" si="194"/>
        <v>7</v>
      </c>
      <c r="AE676" s="31">
        <f t="shared" ca="1" si="195"/>
        <v>22</v>
      </c>
      <c r="AF676" s="31">
        <f t="shared" ca="1" si="196"/>
        <v>47</v>
      </c>
      <c r="AG676" s="31">
        <f t="shared" ca="1" si="197"/>
        <v>19</v>
      </c>
      <c r="AH676" s="31">
        <f t="shared" ca="1" si="198"/>
        <v>16</v>
      </c>
      <c r="AI676" s="31">
        <f t="shared" ca="1" si="199"/>
        <v>12</v>
      </c>
      <c r="AJ676" s="31">
        <f t="shared" ca="1" si="200"/>
        <v>13</v>
      </c>
      <c r="AK676" s="31">
        <f t="shared" ca="1" si="201"/>
        <v>32</v>
      </c>
      <c r="AL676" s="31">
        <f t="shared" ca="1" si="202"/>
        <v>12</v>
      </c>
      <c r="AM676" s="31">
        <f t="shared" ca="1" si="203"/>
        <v>8</v>
      </c>
    </row>
    <row r="677" spans="14:39">
      <c r="N677" s="26">
        <v>669</v>
      </c>
      <c r="O677" s="30">
        <f t="shared" ca="1" si="206"/>
        <v>19.02549586277436</v>
      </c>
      <c r="P677" s="30">
        <f t="shared" ca="1" si="206"/>
        <v>15.863436269750331</v>
      </c>
      <c r="Q677" s="30">
        <f t="shared" ca="1" si="206"/>
        <v>32.842401976645839</v>
      </c>
      <c r="R677" s="30">
        <f t="shared" ca="1" si="206"/>
        <v>8.3040382342221406</v>
      </c>
      <c r="S677" s="30">
        <f t="shared" ca="1" si="206"/>
        <v>24.446664871820399</v>
      </c>
      <c r="T677" s="30">
        <f t="shared" ca="1" si="206"/>
        <v>32.142748016524443</v>
      </c>
      <c r="U677" s="30">
        <f t="shared" ca="1" si="206"/>
        <v>30.774763313508629</v>
      </c>
      <c r="V677" s="30">
        <f t="shared" ca="1" si="206"/>
        <v>16.687633286826781</v>
      </c>
      <c r="W677" s="30">
        <f t="shared" ca="1" si="206"/>
        <v>16.936314695506191</v>
      </c>
      <c r="X677" s="30">
        <f t="shared" ca="1" si="206"/>
        <v>11.171038948215447</v>
      </c>
      <c r="Y677" s="30">
        <f t="shared" ca="1" si="206"/>
        <v>23.646202202803121</v>
      </c>
      <c r="Z677" s="30">
        <f t="shared" ca="1" si="206"/>
        <v>11.950399302898632</v>
      </c>
      <c r="AA677" s="26">
        <v>669</v>
      </c>
      <c r="AB677" s="31">
        <f t="shared" ca="1" si="204"/>
        <v>28</v>
      </c>
      <c r="AC677" s="31">
        <f t="shared" ca="1" si="193"/>
        <v>22</v>
      </c>
      <c r="AD677" s="31">
        <f t="shared" ca="1" si="194"/>
        <v>139</v>
      </c>
      <c r="AE677" s="31">
        <f t="shared" ca="1" si="195"/>
        <v>10</v>
      </c>
      <c r="AF677" s="31">
        <f t="shared" ca="1" si="196"/>
        <v>44</v>
      </c>
      <c r="AG677" s="31">
        <f t="shared" ca="1" si="197"/>
        <v>110</v>
      </c>
      <c r="AH677" s="31">
        <f t="shared" ca="1" si="198"/>
        <v>85</v>
      </c>
      <c r="AI677" s="31">
        <f t="shared" ca="1" si="199"/>
        <v>23</v>
      </c>
      <c r="AJ677" s="31">
        <f t="shared" ca="1" si="200"/>
        <v>24</v>
      </c>
      <c r="AK677" s="31">
        <f t="shared" ca="1" si="201"/>
        <v>14</v>
      </c>
      <c r="AL677" s="31">
        <f t="shared" ca="1" si="202"/>
        <v>41</v>
      </c>
      <c r="AM677" s="31">
        <f t="shared" ca="1" si="203"/>
        <v>15</v>
      </c>
    </row>
    <row r="678" spans="14:39">
      <c r="N678" s="26">
        <v>670</v>
      </c>
      <c r="O678" s="30">
        <f t="shared" ca="1" si="206"/>
        <v>26.143306710383026</v>
      </c>
      <c r="P678" s="30">
        <f t="shared" ca="1" si="206"/>
        <v>31.498661816309966</v>
      </c>
      <c r="Q678" s="30">
        <f t="shared" ca="1" si="206"/>
        <v>7.1630470786338094</v>
      </c>
      <c r="R678" s="30">
        <f t="shared" ca="1" si="206"/>
        <v>8.0728986028184728</v>
      </c>
      <c r="S678" s="30">
        <f t="shared" ca="1" si="206"/>
        <v>30.424138063494819</v>
      </c>
      <c r="T678" s="30">
        <f t="shared" ca="1" si="206"/>
        <v>9.693552964366221</v>
      </c>
      <c r="U678" s="30">
        <f t="shared" ca="1" si="206"/>
        <v>28.314247878321844</v>
      </c>
      <c r="V678" s="30">
        <f t="shared" ca="1" si="206"/>
        <v>2.5722281181764393</v>
      </c>
      <c r="W678" s="30">
        <f t="shared" ca="1" si="206"/>
        <v>6.4354027253244279</v>
      </c>
      <c r="X678" s="30">
        <f t="shared" ca="1" si="206"/>
        <v>27.409099160341285</v>
      </c>
      <c r="Y678" s="30">
        <f t="shared" ca="1" si="206"/>
        <v>27.701339214582191</v>
      </c>
      <c r="Z678" s="30">
        <f t="shared" ca="1" si="206"/>
        <v>22.671548058724934</v>
      </c>
      <c r="AA678" s="26">
        <v>670</v>
      </c>
      <c r="AB678" s="31">
        <f t="shared" ca="1" si="204"/>
        <v>51</v>
      </c>
      <c r="AC678" s="31">
        <f t="shared" ca="1" si="193"/>
        <v>96</v>
      </c>
      <c r="AD678" s="31">
        <f t="shared" ca="1" si="194"/>
        <v>8</v>
      </c>
      <c r="AE678" s="31">
        <f t="shared" ca="1" si="195"/>
        <v>10</v>
      </c>
      <c r="AF678" s="31">
        <f t="shared" ca="1" si="196"/>
        <v>81</v>
      </c>
      <c r="AG678" s="31">
        <f t="shared" ca="1" si="197"/>
        <v>12</v>
      </c>
      <c r="AH678" s="31">
        <f t="shared" ca="1" si="198"/>
        <v>63</v>
      </c>
      <c r="AI678" s="31">
        <f t="shared" ca="1" si="199"/>
        <v>3</v>
      </c>
      <c r="AJ678" s="31">
        <f t="shared" ca="1" si="200"/>
        <v>8</v>
      </c>
      <c r="AK678" s="31">
        <f t="shared" ca="1" si="201"/>
        <v>57</v>
      </c>
      <c r="AL678" s="31">
        <f t="shared" ca="1" si="202"/>
        <v>59</v>
      </c>
      <c r="AM678" s="31">
        <f t="shared" ca="1" si="203"/>
        <v>38</v>
      </c>
    </row>
    <row r="679" spans="14:39">
      <c r="N679" s="26">
        <v>671</v>
      </c>
      <c r="O679" s="30">
        <f t="shared" ref="O679:Z688" ca="1" si="207">RAND()*sumweights</f>
        <v>29.147487047360741</v>
      </c>
      <c r="P679" s="30">
        <f t="shared" ca="1" si="207"/>
        <v>29.109187997590734</v>
      </c>
      <c r="Q679" s="30">
        <f t="shared" ca="1" si="207"/>
        <v>15.201239039716159</v>
      </c>
      <c r="R679" s="30">
        <f t="shared" ca="1" si="207"/>
        <v>24.367622947535473</v>
      </c>
      <c r="S679" s="30">
        <f t="shared" ca="1" si="207"/>
        <v>27.526901577565241</v>
      </c>
      <c r="T679" s="30">
        <f t="shared" ca="1" si="207"/>
        <v>13.645311309370372</v>
      </c>
      <c r="U679" s="30">
        <f t="shared" ca="1" si="207"/>
        <v>20.714731687748127</v>
      </c>
      <c r="V679" s="30">
        <f t="shared" ca="1" si="207"/>
        <v>3.1699688193514359</v>
      </c>
      <c r="W679" s="30">
        <f t="shared" ca="1" si="207"/>
        <v>2.7356685567683727</v>
      </c>
      <c r="X679" s="30">
        <f t="shared" ca="1" si="207"/>
        <v>16.110739160842712</v>
      </c>
      <c r="Y679" s="30">
        <f t="shared" ca="1" si="207"/>
        <v>13.451206555896627</v>
      </c>
      <c r="Z679" s="30">
        <f t="shared" ca="1" si="207"/>
        <v>17.267546805430829</v>
      </c>
      <c r="AA679" s="26">
        <v>671</v>
      </c>
      <c r="AB679" s="31">
        <f t="shared" ca="1" si="204"/>
        <v>69</v>
      </c>
      <c r="AC679" s="31">
        <f t="shared" ca="1" si="193"/>
        <v>68</v>
      </c>
      <c r="AD679" s="31">
        <f t="shared" ca="1" si="194"/>
        <v>20</v>
      </c>
      <c r="AE679" s="31">
        <f t="shared" ca="1" si="195"/>
        <v>44</v>
      </c>
      <c r="AF679" s="31">
        <f t="shared" ca="1" si="196"/>
        <v>58</v>
      </c>
      <c r="AG679" s="31">
        <f t="shared" ca="1" si="197"/>
        <v>18</v>
      </c>
      <c r="AH679" s="31">
        <f t="shared" ca="1" si="198"/>
        <v>32</v>
      </c>
      <c r="AI679" s="31">
        <f t="shared" ca="1" si="199"/>
        <v>4</v>
      </c>
      <c r="AJ679" s="31">
        <f t="shared" ca="1" si="200"/>
        <v>3</v>
      </c>
      <c r="AK679" s="31">
        <f t="shared" ca="1" si="201"/>
        <v>22</v>
      </c>
      <c r="AL679" s="31">
        <f t="shared" ca="1" si="202"/>
        <v>17</v>
      </c>
      <c r="AM679" s="31">
        <f t="shared" ca="1" si="203"/>
        <v>24</v>
      </c>
    </row>
    <row r="680" spans="14:39">
      <c r="N680" s="26">
        <v>672</v>
      </c>
      <c r="O680" s="30">
        <f t="shared" ca="1" si="207"/>
        <v>32.037340162778541</v>
      </c>
      <c r="P680" s="30">
        <f t="shared" ca="1" si="207"/>
        <v>4.4862339946765504</v>
      </c>
      <c r="Q680" s="30">
        <f t="shared" ca="1" si="207"/>
        <v>9.2610646618751069</v>
      </c>
      <c r="R680" s="30">
        <f t="shared" ca="1" si="207"/>
        <v>10.774442410186163</v>
      </c>
      <c r="S680" s="30">
        <f t="shared" ca="1" si="207"/>
        <v>28.926393998716893</v>
      </c>
      <c r="T680" s="30">
        <f t="shared" ca="1" si="207"/>
        <v>3.2023431246905818</v>
      </c>
      <c r="U680" s="30">
        <f t="shared" ca="1" si="207"/>
        <v>21.790411195511254</v>
      </c>
      <c r="V680" s="30">
        <f t="shared" ca="1" si="207"/>
        <v>22.343608764332323</v>
      </c>
      <c r="W680" s="30">
        <f t="shared" ca="1" si="207"/>
        <v>21.36848565486418</v>
      </c>
      <c r="X680" s="30">
        <f t="shared" ca="1" si="207"/>
        <v>30.226108801502633</v>
      </c>
      <c r="Y680" s="30">
        <f t="shared" ca="1" si="207"/>
        <v>16.049769228102871</v>
      </c>
      <c r="Z680" s="30">
        <f t="shared" ca="1" si="207"/>
        <v>17.068439917764923</v>
      </c>
      <c r="AA680" s="26">
        <v>672</v>
      </c>
      <c r="AB680" s="31">
        <f t="shared" ca="1" si="204"/>
        <v>107</v>
      </c>
      <c r="AC680" s="31">
        <f t="shared" ca="1" si="193"/>
        <v>5</v>
      </c>
      <c r="AD680" s="31">
        <f t="shared" ca="1" si="194"/>
        <v>11</v>
      </c>
      <c r="AE680" s="31">
        <f t="shared" ca="1" si="195"/>
        <v>13</v>
      </c>
      <c r="AF680" s="31">
        <f t="shared" ca="1" si="196"/>
        <v>67</v>
      </c>
      <c r="AG680" s="31">
        <f t="shared" ca="1" si="197"/>
        <v>4</v>
      </c>
      <c r="AH680" s="31">
        <f t="shared" ca="1" si="198"/>
        <v>35</v>
      </c>
      <c r="AI680" s="31">
        <f t="shared" ca="1" si="199"/>
        <v>37</v>
      </c>
      <c r="AJ680" s="31">
        <f t="shared" ca="1" si="200"/>
        <v>34</v>
      </c>
      <c r="AK680" s="31">
        <f t="shared" ca="1" si="201"/>
        <v>78</v>
      </c>
      <c r="AL680" s="31">
        <f t="shared" ca="1" si="202"/>
        <v>22</v>
      </c>
      <c r="AM680" s="31">
        <f t="shared" ca="1" si="203"/>
        <v>24</v>
      </c>
    </row>
    <row r="681" spans="14:39">
      <c r="N681" s="26">
        <v>673</v>
      </c>
      <c r="O681" s="30">
        <f t="shared" ca="1" si="207"/>
        <v>20.209666104461803</v>
      </c>
      <c r="P681" s="30">
        <f t="shared" ca="1" si="207"/>
        <v>19.973856809043617</v>
      </c>
      <c r="Q681" s="30">
        <f t="shared" ca="1" si="207"/>
        <v>31.752117549066273</v>
      </c>
      <c r="R681" s="30">
        <f t="shared" ca="1" si="207"/>
        <v>16.096850311180745</v>
      </c>
      <c r="S681" s="30">
        <f t="shared" ca="1" si="207"/>
        <v>11.742693283493059</v>
      </c>
      <c r="T681" s="30">
        <f t="shared" ca="1" si="207"/>
        <v>27.567246809168854</v>
      </c>
      <c r="U681" s="30">
        <f t="shared" ca="1" si="207"/>
        <v>26.612900342861778</v>
      </c>
      <c r="V681" s="30">
        <f t="shared" ca="1" si="207"/>
        <v>6.5419968895322915</v>
      </c>
      <c r="W681" s="30">
        <f t="shared" ca="1" si="207"/>
        <v>32.92787703421368</v>
      </c>
      <c r="X681" s="30">
        <f t="shared" ca="1" si="207"/>
        <v>32.452233130741263</v>
      </c>
      <c r="Y681" s="30">
        <f t="shared" ca="1" si="207"/>
        <v>6.01245211222815</v>
      </c>
      <c r="Z681" s="30">
        <f t="shared" ca="1" si="207"/>
        <v>13.632853087756088</v>
      </c>
      <c r="AA681" s="26">
        <v>673</v>
      </c>
      <c r="AB681" s="31">
        <f t="shared" ca="1" si="204"/>
        <v>31</v>
      </c>
      <c r="AC681" s="31">
        <f t="shared" ca="1" si="193"/>
        <v>31</v>
      </c>
      <c r="AD681" s="31">
        <f t="shared" ca="1" si="194"/>
        <v>101</v>
      </c>
      <c r="AE681" s="31">
        <f t="shared" ca="1" si="195"/>
        <v>22</v>
      </c>
      <c r="AF681" s="31">
        <f t="shared" ca="1" si="196"/>
        <v>15</v>
      </c>
      <c r="AG681" s="31">
        <f t="shared" ca="1" si="197"/>
        <v>58</v>
      </c>
      <c r="AH681" s="31">
        <f t="shared" ca="1" si="198"/>
        <v>53</v>
      </c>
      <c r="AI681" s="31">
        <f t="shared" ca="1" si="199"/>
        <v>8</v>
      </c>
      <c r="AJ681" s="31">
        <f t="shared" ca="1" si="200"/>
        <v>145</v>
      </c>
      <c r="AK681" s="31">
        <f t="shared" ca="1" si="201"/>
        <v>120</v>
      </c>
      <c r="AL681" s="31">
        <f t="shared" ca="1" si="202"/>
        <v>7</v>
      </c>
      <c r="AM681" s="31">
        <f t="shared" ca="1" si="203"/>
        <v>18</v>
      </c>
    </row>
    <row r="682" spans="14:39">
      <c r="N682" s="26">
        <v>674</v>
      </c>
      <c r="O682" s="30">
        <f t="shared" ca="1" si="207"/>
        <v>31.647737508243416</v>
      </c>
      <c r="P682" s="30">
        <f t="shared" ca="1" si="207"/>
        <v>5.4690665144124324</v>
      </c>
      <c r="Q682" s="30">
        <f t="shared" ca="1" si="207"/>
        <v>6.3962314341405717</v>
      </c>
      <c r="R682" s="30">
        <f t="shared" ca="1" si="207"/>
        <v>29.417441127848981</v>
      </c>
      <c r="S682" s="30">
        <f t="shared" ca="1" si="207"/>
        <v>1.8615608326062172</v>
      </c>
      <c r="T682" s="30">
        <f t="shared" ca="1" si="207"/>
        <v>0.55999800640509523</v>
      </c>
      <c r="U682" s="30">
        <f t="shared" ca="1" si="207"/>
        <v>21.877264771793044</v>
      </c>
      <c r="V682" s="30">
        <f t="shared" ca="1" si="207"/>
        <v>19.919393126376669</v>
      </c>
      <c r="W682" s="30">
        <f t="shared" ca="1" si="207"/>
        <v>5.1331395046952863</v>
      </c>
      <c r="X682" s="30">
        <f t="shared" ca="1" si="207"/>
        <v>11.694508291846772</v>
      </c>
      <c r="Y682" s="30">
        <f t="shared" ca="1" si="207"/>
        <v>20.418302554013895</v>
      </c>
      <c r="Z682" s="30">
        <f t="shared" ca="1" si="207"/>
        <v>1.1323471330499646</v>
      </c>
      <c r="AA682" s="26">
        <v>674</v>
      </c>
      <c r="AB682" s="31">
        <f t="shared" ca="1" si="204"/>
        <v>98</v>
      </c>
      <c r="AC682" s="31">
        <f t="shared" ca="1" si="193"/>
        <v>6</v>
      </c>
      <c r="AD682" s="31">
        <f t="shared" ca="1" si="194"/>
        <v>7</v>
      </c>
      <c r="AE682" s="31">
        <f t="shared" ca="1" si="195"/>
        <v>71</v>
      </c>
      <c r="AF682" s="31">
        <f t="shared" ca="1" si="196"/>
        <v>2</v>
      </c>
      <c r="AG682" s="31">
        <f t="shared" ca="1" si="197"/>
        <v>1</v>
      </c>
      <c r="AH682" s="31">
        <f t="shared" ca="1" si="198"/>
        <v>36</v>
      </c>
      <c r="AI682" s="31">
        <f t="shared" ca="1" si="199"/>
        <v>30</v>
      </c>
      <c r="AJ682" s="31">
        <f t="shared" ca="1" si="200"/>
        <v>6</v>
      </c>
      <c r="AK682" s="31">
        <f t="shared" ca="1" si="201"/>
        <v>15</v>
      </c>
      <c r="AL682" s="31">
        <f t="shared" ca="1" si="202"/>
        <v>32</v>
      </c>
      <c r="AM682" s="31">
        <f t="shared" ca="1" si="203"/>
        <v>2</v>
      </c>
    </row>
    <row r="683" spans="14:39">
      <c r="N683" s="26">
        <v>675</v>
      </c>
      <c r="O683" s="30">
        <f t="shared" ca="1" si="207"/>
        <v>0.7438689290241377</v>
      </c>
      <c r="P683" s="30">
        <f t="shared" ca="1" si="207"/>
        <v>30.225856320456781</v>
      </c>
      <c r="Q683" s="30">
        <f t="shared" ca="1" si="207"/>
        <v>22.996489246263344</v>
      </c>
      <c r="R683" s="30">
        <f t="shared" ca="1" si="207"/>
        <v>17.179140636462275</v>
      </c>
      <c r="S683" s="30">
        <f t="shared" ca="1" si="207"/>
        <v>22.951293699683649</v>
      </c>
      <c r="T683" s="30">
        <f t="shared" ca="1" si="207"/>
        <v>23.588101602162101</v>
      </c>
      <c r="U683" s="30">
        <f t="shared" ca="1" si="207"/>
        <v>3.1981440622292885</v>
      </c>
      <c r="V683" s="30">
        <f t="shared" ca="1" si="207"/>
        <v>15.888008029400604</v>
      </c>
      <c r="W683" s="30">
        <f t="shared" ca="1" si="207"/>
        <v>4.2099509696527226</v>
      </c>
      <c r="X683" s="30">
        <f t="shared" ca="1" si="207"/>
        <v>22.059470410919555</v>
      </c>
      <c r="Y683" s="30">
        <f t="shared" ca="1" si="207"/>
        <v>22.133411430909749</v>
      </c>
      <c r="Z683" s="30">
        <f t="shared" ca="1" si="207"/>
        <v>11.585767850692545</v>
      </c>
      <c r="AA683" s="26">
        <v>675</v>
      </c>
      <c r="AB683" s="31">
        <f t="shared" ca="1" si="204"/>
        <v>1</v>
      </c>
      <c r="AC683" s="31">
        <f t="shared" ca="1" si="193"/>
        <v>78</v>
      </c>
      <c r="AD683" s="31">
        <f t="shared" ca="1" si="194"/>
        <v>39</v>
      </c>
      <c r="AE683" s="31">
        <f t="shared" ca="1" si="195"/>
        <v>24</v>
      </c>
      <c r="AF683" s="31">
        <f t="shared" ca="1" si="196"/>
        <v>39</v>
      </c>
      <c r="AG683" s="31">
        <f t="shared" ca="1" si="197"/>
        <v>41</v>
      </c>
      <c r="AH683" s="31">
        <f t="shared" ca="1" si="198"/>
        <v>4</v>
      </c>
      <c r="AI683" s="31">
        <f t="shared" ca="1" si="199"/>
        <v>22</v>
      </c>
      <c r="AJ683" s="31">
        <f t="shared" ca="1" si="200"/>
        <v>5</v>
      </c>
      <c r="AK683" s="31">
        <f t="shared" ca="1" si="201"/>
        <v>36</v>
      </c>
      <c r="AL683" s="31">
        <f t="shared" ca="1" si="202"/>
        <v>36</v>
      </c>
      <c r="AM683" s="31">
        <f t="shared" ca="1" si="203"/>
        <v>15</v>
      </c>
    </row>
    <row r="684" spans="14:39">
      <c r="N684" s="26">
        <v>676</v>
      </c>
      <c r="O684" s="30">
        <f t="shared" ca="1" si="207"/>
        <v>13.438672949832695</v>
      </c>
      <c r="P684" s="30">
        <f t="shared" ca="1" si="207"/>
        <v>31.701401316116225</v>
      </c>
      <c r="Q684" s="30">
        <f t="shared" ca="1" si="207"/>
        <v>20.038864703380533</v>
      </c>
      <c r="R684" s="30">
        <f t="shared" ca="1" si="207"/>
        <v>33.086240971144903</v>
      </c>
      <c r="S684" s="30">
        <f t="shared" ca="1" si="207"/>
        <v>20.786824234176688</v>
      </c>
      <c r="T684" s="30">
        <f t="shared" ca="1" si="207"/>
        <v>28.264604735779248</v>
      </c>
      <c r="U684" s="30">
        <f t="shared" ca="1" si="207"/>
        <v>14.111951452677294</v>
      </c>
      <c r="V684" s="30">
        <f t="shared" ca="1" si="207"/>
        <v>17.008576603866075</v>
      </c>
      <c r="W684" s="30">
        <f t="shared" ca="1" si="207"/>
        <v>21.717172041513788</v>
      </c>
      <c r="X684" s="30">
        <f t="shared" ca="1" si="207"/>
        <v>4.3871964793354126</v>
      </c>
      <c r="Y684" s="30">
        <f t="shared" ca="1" si="207"/>
        <v>16.815404512046026</v>
      </c>
      <c r="Z684" s="30">
        <f t="shared" ca="1" si="207"/>
        <v>3.2570061774499779</v>
      </c>
      <c r="AA684" s="26">
        <v>676</v>
      </c>
      <c r="AB684" s="31">
        <f t="shared" ca="1" si="204"/>
        <v>17</v>
      </c>
      <c r="AC684" s="31">
        <f t="shared" ca="1" si="193"/>
        <v>100</v>
      </c>
      <c r="AD684" s="31">
        <f t="shared" ca="1" si="194"/>
        <v>31</v>
      </c>
      <c r="AE684" s="31">
        <f t="shared" ca="1" si="195"/>
        <v>162</v>
      </c>
      <c r="AF684" s="31">
        <f t="shared" ca="1" si="196"/>
        <v>33</v>
      </c>
      <c r="AG684" s="31">
        <f t="shared" ca="1" si="197"/>
        <v>62</v>
      </c>
      <c r="AH684" s="31">
        <f t="shared" ca="1" si="198"/>
        <v>19</v>
      </c>
      <c r="AI684" s="31">
        <f t="shared" ca="1" si="199"/>
        <v>24</v>
      </c>
      <c r="AJ684" s="31">
        <f t="shared" ca="1" si="200"/>
        <v>35</v>
      </c>
      <c r="AK684" s="31">
        <f t="shared" ca="1" si="201"/>
        <v>5</v>
      </c>
      <c r="AL684" s="31">
        <f t="shared" ca="1" si="202"/>
        <v>24</v>
      </c>
      <c r="AM684" s="31">
        <f t="shared" ca="1" si="203"/>
        <v>4</v>
      </c>
    </row>
    <row r="685" spans="14:39">
      <c r="N685" s="26">
        <v>677</v>
      </c>
      <c r="O685" s="30">
        <f t="shared" ca="1" si="207"/>
        <v>3.535291810314924</v>
      </c>
      <c r="P685" s="30">
        <f t="shared" ca="1" si="207"/>
        <v>14.619314428013526</v>
      </c>
      <c r="Q685" s="30">
        <f t="shared" ca="1" si="207"/>
        <v>7.3356254936769973</v>
      </c>
      <c r="R685" s="30">
        <f t="shared" ca="1" si="207"/>
        <v>26.40207665412095</v>
      </c>
      <c r="S685" s="30">
        <f t="shared" ca="1" si="207"/>
        <v>20.277440364631374</v>
      </c>
      <c r="T685" s="30">
        <f t="shared" ca="1" si="207"/>
        <v>26.609733747500819</v>
      </c>
      <c r="U685" s="30">
        <f t="shared" ca="1" si="207"/>
        <v>16.036291349360734</v>
      </c>
      <c r="V685" s="30">
        <f t="shared" ca="1" si="207"/>
        <v>12.645559512118453</v>
      </c>
      <c r="W685" s="30">
        <f t="shared" ca="1" si="207"/>
        <v>11.118392887776722</v>
      </c>
      <c r="X685" s="30">
        <f t="shared" ca="1" si="207"/>
        <v>25.428441614673602</v>
      </c>
      <c r="Y685" s="30">
        <f t="shared" ca="1" si="207"/>
        <v>7.5458572476424539</v>
      </c>
      <c r="Z685" s="30">
        <f t="shared" ca="1" si="207"/>
        <v>23.474055609943647</v>
      </c>
      <c r="AA685" s="26">
        <v>677</v>
      </c>
      <c r="AB685" s="31">
        <f t="shared" ca="1" si="204"/>
        <v>4</v>
      </c>
      <c r="AC685" s="31">
        <f t="shared" ca="1" si="193"/>
        <v>19</v>
      </c>
      <c r="AD685" s="31">
        <f t="shared" ca="1" si="194"/>
        <v>9</v>
      </c>
      <c r="AE685" s="31">
        <f t="shared" ca="1" si="195"/>
        <v>52</v>
      </c>
      <c r="AF685" s="31">
        <f t="shared" ca="1" si="196"/>
        <v>31</v>
      </c>
      <c r="AG685" s="31">
        <f t="shared" ca="1" si="197"/>
        <v>53</v>
      </c>
      <c r="AH685" s="31">
        <f t="shared" ca="1" si="198"/>
        <v>22</v>
      </c>
      <c r="AI685" s="31">
        <f t="shared" ca="1" si="199"/>
        <v>16</v>
      </c>
      <c r="AJ685" s="31">
        <f t="shared" ca="1" si="200"/>
        <v>14</v>
      </c>
      <c r="AK685" s="31">
        <f t="shared" ca="1" si="201"/>
        <v>48</v>
      </c>
      <c r="AL685" s="31">
        <f t="shared" ca="1" si="202"/>
        <v>9</v>
      </c>
      <c r="AM685" s="31">
        <f t="shared" ca="1" si="203"/>
        <v>40</v>
      </c>
    </row>
    <row r="686" spans="14:39">
      <c r="N686" s="26">
        <v>678</v>
      </c>
      <c r="O686" s="30">
        <f t="shared" ca="1" si="207"/>
        <v>6.1646046314559495</v>
      </c>
      <c r="P686" s="30">
        <f t="shared" ca="1" si="207"/>
        <v>14.75766431534228</v>
      </c>
      <c r="Q686" s="30">
        <f t="shared" ca="1" si="207"/>
        <v>21.470255215405345</v>
      </c>
      <c r="R686" s="30">
        <f t="shared" ca="1" si="207"/>
        <v>0.91495510145372438</v>
      </c>
      <c r="S686" s="30">
        <f t="shared" ca="1" si="207"/>
        <v>30.801280450757503</v>
      </c>
      <c r="T686" s="30">
        <f t="shared" ca="1" si="207"/>
        <v>26.04579039447222</v>
      </c>
      <c r="U686" s="30">
        <f t="shared" ca="1" si="207"/>
        <v>21.549485180179385</v>
      </c>
      <c r="V686" s="30">
        <f t="shared" ca="1" si="207"/>
        <v>21.564060356436435</v>
      </c>
      <c r="W686" s="30">
        <f t="shared" ca="1" si="207"/>
        <v>13.415377081061937</v>
      </c>
      <c r="X686" s="30">
        <f t="shared" ca="1" si="207"/>
        <v>10.245617999000286</v>
      </c>
      <c r="Y686" s="30">
        <f t="shared" ca="1" si="207"/>
        <v>8.3323826554483951</v>
      </c>
      <c r="Z686" s="30">
        <f t="shared" ca="1" si="207"/>
        <v>6.3413784745986836</v>
      </c>
      <c r="AA686" s="26">
        <v>678</v>
      </c>
      <c r="AB686" s="31">
        <f t="shared" ca="1" si="204"/>
        <v>7</v>
      </c>
      <c r="AC686" s="31">
        <f t="shared" ca="1" si="193"/>
        <v>20</v>
      </c>
      <c r="AD686" s="31">
        <f t="shared" ca="1" si="194"/>
        <v>34</v>
      </c>
      <c r="AE686" s="31">
        <f t="shared" ca="1" si="195"/>
        <v>1</v>
      </c>
      <c r="AF686" s="31">
        <f t="shared" ca="1" si="196"/>
        <v>85</v>
      </c>
      <c r="AG686" s="31">
        <f t="shared" ca="1" si="197"/>
        <v>50</v>
      </c>
      <c r="AH686" s="31">
        <f t="shared" ca="1" si="198"/>
        <v>35</v>
      </c>
      <c r="AI686" s="31">
        <f t="shared" ca="1" si="199"/>
        <v>35</v>
      </c>
      <c r="AJ686" s="31">
        <f t="shared" ca="1" si="200"/>
        <v>17</v>
      </c>
      <c r="AK686" s="31">
        <f t="shared" ca="1" si="201"/>
        <v>13</v>
      </c>
      <c r="AL686" s="31">
        <f t="shared" ca="1" si="202"/>
        <v>10</v>
      </c>
      <c r="AM686" s="31">
        <f t="shared" ca="1" si="203"/>
        <v>7</v>
      </c>
    </row>
    <row r="687" spans="14:39">
      <c r="N687" s="26">
        <v>679</v>
      </c>
      <c r="O687" s="30">
        <f t="shared" ca="1" si="207"/>
        <v>0.89990993996680302</v>
      </c>
      <c r="P687" s="30">
        <f t="shared" ca="1" si="207"/>
        <v>6.7791796697592339</v>
      </c>
      <c r="Q687" s="30">
        <f t="shared" ca="1" si="207"/>
        <v>3.2976390417888801</v>
      </c>
      <c r="R687" s="30">
        <f t="shared" ca="1" si="207"/>
        <v>19.898291847327737</v>
      </c>
      <c r="S687" s="30">
        <f t="shared" ca="1" si="207"/>
        <v>11.035885222645419</v>
      </c>
      <c r="T687" s="30">
        <f t="shared" ca="1" si="207"/>
        <v>3.6719598853416024</v>
      </c>
      <c r="U687" s="30">
        <f t="shared" ca="1" si="207"/>
        <v>13.942579854390623</v>
      </c>
      <c r="V687" s="30">
        <f t="shared" ca="1" si="207"/>
        <v>28.437495125362826</v>
      </c>
      <c r="W687" s="30">
        <f t="shared" ca="1" si="207"/>
        <v>4.8247854020046841</v>
      </c>
      <c r="X687" s="30">
        <f t="shared" ca="1" si="207"/>
        <v>31.232926126416867</v>
      </c>
      <c r="Y687" s="30">
        <f t="shared" ca="1" si="207"/>
        <v>27.848033365566604</v>
      </c>
      <c r="Z687" s="30">
        <f t="shared" ca="1" si="207"/>
        <v>30.045141632788024</v>
      </c>
      <c r="AA687" s="26">
        <v>679</v>
      </c>
      <c r="AB687" s="31">
        <f t="shared" ca="1" si="204"/>
        <v>1</v>
      </c>
      <c r="AC687" s="31">
        <f t="shared" ca="1" si="193"/>
        <v>8</v>
      </c>
      <c r="AD687" s="31">
        <f t="shared" ca="1" si="194"/>
        <v>4</v>
      </c>
      <c r="AE687" s="31">
        <f t="shared" ca="1" si="195"/>
        <v>30</v>
      </c>
      <c r="AF687" s="31">
        <f t="shared" ca="1" si="196"/>
        <v>14</v>
      </c>
      <c r="AG687" s="31">
        <f t="shared" ca="1" si="197"/>
        <v>4</v>
      </c>
      <c r="AH687" s="31">
        <f t="shared" ca="1" si="198"/>
        <v>18</v>
      </c>
      <c r="AI687" s="31">
        <f t="shared" ca="1" si="199"/>
        <v>63</v>
      </c>
      <c r="AJ687" s="31">
        <f t="shared" ca="1" si="200"/>
        <v>6</v>
      </c>
      <c r="AK687" s="31">
        <f t="shared" ca="1" si="201"/>
        <v>91</v>
      </c>
      <c r="AL687" s="31">
        <f t="shared" ca="1" si="202"/>
        <v>60</v>
      </c>
      <c r="AM687" s="31">
        <f t="shared" ca="1" si="203"/>
        <v>77</v>
      </c>
    </row>
    <row r="688" spans="14:39">
      <c r="N688" s="26">
        <v>680</v>
      </c>
      <c r="O688" s="30">
        <f t="shared" ca="1" si="207"/>
        <v>5.5846945792508738</v>
      </c>
      <c r="P688" s="30">
        <f t="shared" ca="1" si="207"/>
        <v>4.2902679889771962</v>
      </c>
      <c r="Q688" s="30">
        <f t="shared" ca="1" si="207"/>
        <v>14.883298472783999</v>
      </c>
      <c r="R688" s="30">
        <f t="shared" ca="1" si="207"/>
        <v>23.183998709901481</v>
      </c>
      <c r="S688" s="30">
        <f t="shared" ca="1" si="207"/>
        <v>9.2950782083267658</v>
      </c>
      <c r="T688" s="30">
        <f t="shared" ca="1" si="207"/>
        <v>19.113995064469432</v>
      </c>
      <c r="U688" s="30">
        <f t="shared" ca="1" si="207"/>
        <v>1.422729440789094</v>
      </c>
      <c r="V688" s="30">
        <f t="shared" ca="1" si="207"/>
        <v>3.2111241636195738</v>
      </c>
      <c r="W688" s="30">
        <f t="shared" ca="1" si="207"/>
        <v>20.410229312327662</v>
      </c>
      <c r="X688" s="30">
        <f t="shared" ca="1" si="207"/>
        <v>20.355401305992249</v>
      </c>
      <c r="Y688" s="30">
        <f t="shared" ca="1" si="207"/>
        <v>25.647430177043667</v>
      </c>
      <c r="Z688" s="30">
        <f t="shared" ca="1" si="207"/>
        <v>4.9569973679767551E-2</v>
      </c>
      <c r="AA688" s="26">
        <v>680</v>
      </c>
      <c r="AB688" s="31">
        <f t="shared" ca="1" si="204"/>
        <v>7</v>
      </c>
      <c r="AC688" s="31">
        <f t="shared" ca="1" si="193"/>
        <v>5</v>
      </c>
      <c r="AD688" s="31">
        <f t="shared" ca="1" si="194"/>
        <v>20</v>
      </c>
      <c r="AE688" s="31">
        <f t="shared" ca="1" si="195"/>
        <v>40</v>
      </c>
      <c r="AF688" s="31">
        <f t="shared" ca="1" si="196"/>
        <v>11</v>
      </c>
      <c r="AG688" s="31">
        <f t="shared" ca="1" si="197"/>
        <v>28</v>
      </c>
      <c r="AH688" s="31">
        <f t="shared" ca="1" si="198"/>
        <v>2</v>
      </c>
      <c r="AI688" s="31">
        <f t="shared" ca="1" si="199"/>
        <v>4</v>
      </c>
      <c r="AJ688" s="31">
        <f t="shared" ca="1" si="200"/>
        <v>32</v>
      </c>
      <c r="AK688" s="31">
        <f t="shared" ca="1" si="201"/>
        <v>31</v>
      </c>
      <c r="AL688" s="31">
        <f t="shared" ca="1" si="202"/>
        <v>49</v>
      </c>
      <c r="AM688" s="31">
        <f t="shared" ca="1" si="203"/>
        <v>1</v>
      </c>
    </row>
    <row r="689" spans="14:39">
      <c r="N689" s="26">
        <v>681</v>
      </c>
      <c r="O689" s="30">
        <f t="shared" ref="O689:Z698" ca="1" si="208">RAND()*sumweights</f>
        <v>5.8927086112352187</v>
      </c>
      <c r="P689" s="30">
        <f t="shared" ca="1" si="208"/>
        <v>2.7624151624350541</v>
      </c>
      <c r="Q689" s="30">
        <f t="shared" ca="1" si="208"/>
        <v>3.3536005818725498</v>
      </c>
      <c r="R689" s="30">
        <f t="shared" ca="1" si="208"/>
        <v>23.758445271475185</v>
      </c>
      <c r="S689" s="30">
        <f t="shared" ca="1" si="208"/>
        <v>32.95295832824133</v>
      </c>
      <c r="T689" s="30">
        <f t="shared" ca="1" si="208"/>
        <v>7.8384462145197968</v>
      </c>
      <c r="U689" s="30">
        <f t="shared" ca="1" si="208"/>
        <v>6.8628156172249932</v>
      </c>
      <c r="V689" s="30">
        <f t="shared" ca="1" si="208"/>
        <v>8.7500339254246846</v>
      </c>
      <c r="W689" s="30">
        <f t="shared" ca="1" si="208"/>
        <v>6.7385338247097231</v>
      </c>
      <c r="X689" s="30">
        <f t="shared" ca="1" si="208"/>
        <v>19.930951776888605</v>
      </c>
      <c r="Y689" s="30">
        <f t="shared" ca="1" si="208"/>
        <v>3.1515778423874772</v>
      </c>
      <c r="Z689" s="30">
        <f t="shared" ca="1" si="208"/>
        <v>12.670881301108755</v>
      </c>
      <c r="AA689" s="26">
        <v>681</v>
      </c>
      <c r="AB689" s="31">
        <f t="shared" ca="1" si="204"/>
        <v>7</v>
      </c>
      <c r="AC689" s="31">
        <f t="shared" ca="1" si="193"/>
        <v>3</v>
      </c>
      <c r="AD689" s="31">
        <f t="shared" ca="1" si="194"/>
        <v>4</v>
      </c>
      <c r="AE689" s="31">
        <f t="shared" ca="1" si="195"/>
        <v>41</v>
      </c>
      <c r="AF689" s="31">
        <f t="shared" ca="1" si="196"/>
        <v>147</v>
      </c>
      <c r="AG689" s="31">
        <f t="shared" ca="1" si="197"/>
        <v>9</v>
      </c>
      <c r="AH689" s="31">
        <f t="shared" ca="1" si="198"/>
        <v>8</v>
      </c>
      <c r="AI689" s="31">
        <f t="shared" ca="1" si="199"/>
        <v>10</v>
      </c>
      <c r="AJ689" s="31">
        <f t="shared" ca="1" si="200"/>
        <v>8</v>
      </c>
      <c r="AK689" s="31">
        <f t="shared" ca="1" si="201"/>
        <v>30</v>
      </c>
      <c r="AL689" s="31">
        <f t="shared" ca="1" si="202"/>
        <v>4</v>
      </c>
      <c r="AM689" s="31">
        <f t="shared" ca="1" si="203"/>
        <v>16</v>
      </c>
    </row>
    <row r="690" spans="14:39">
      <c r="N690" s="26">
        <v>682</v>
      </c>
      <c r="O690" s="30">
        <f t="shared" ca="1" si="208"/>
        <v>15.139291044492143</v>
      </c>
      <c r="P690" s="30">
        <f t="shared" ca="1" si="208"/>
        <v>15.612793657419036</v>
      </c>
      <c r="Q690" s="30">
        <f t="shared" ca="1" si="208"/>
        <v>19.561396500243944</v>
      </c>
      <c r="R690" s="30">
        <f t="shared" ca="1" si="208"/>
        <v>1.190496826284867</v>
      </c>
      <c r="S690" s="30">
        <f t="shared" ca="1" si="208"/>
        <v>1.9230920507965339</v>
      </c>
      <c r="T690" s="30">
        <f t="shared" ca="1" si="208"/>
        <v>31.038100728276511</v>
      </c>
      <c r="U690" s="30">
        <f t="shared" ca="1" si="208"/>
        <v>27.836732226499297</v>
      </c>
      <c r="V690" s="30">
        <f t="shared" ca="1" si="208"/>
        <v>18.439678458888665</v>
      </c>
      <c r="W690" s="30">
        <f t="shared" ca="1" si="208"/>
        <v>17.24292272213108</v>
      </c>
      <c r="X690" s="30">
        <f t="shared" ca="1" si="208"/>
        <v>30.148167703397547</v>
      </c>
      <c r="Y690" s="30">
        <f t="shared" ca="1" si="208"/>
        <v>26.261937348026279</v>
      </c>
      <c r="Z690" s="30">
        <f t="shared" ca="1" si="208"/>
        <v>24.337447755046806</v>
      </c>
      <c r="AA690" s="26">
        <v>682</v>
      </c>
      <c r="AB690" s="31">
        <f t="shared" ca="1" si="204"/>
        <v>20</v>
      </c>
      <c r="AC690" s="31">
        <f t="shared" ca="1" si="193"/>
        <v>21</v>
      </c>
      <c r="AD690" s="31">
        <f t="shared" ca="1" si="194"/>
        <v>30</v>
      </c>
      <c r="AE690" s="31">
        <f t="shared" ca="1" si="195"/>
        <v>2</v>
      </c>
      <c r="AF690" s="31">
        <f t="shared" ca="1" si="196"/>
        <v>2</v>
      </c>
      <c r="AG690" s="31">
        <f t="shared" ca="1" si="197"/>
        <v>88</v>
      </c>
      <c r="AH690" s="31">
        <f t="shared" ca="1" si="198"/>
        <v>60</v>
      </c>
      <c r="AI690" s="31">
        <f t="shared" ca="1" si="199"/>
        <v>27</v>
      </c>
      <c r="AJ690" s="31">
        <f t="shared" ca="1" si="200"/>
        <v>24</v>
      </c>
      <c r="AK690" s="31">
        <f t="shared" ca="1" si="201"/>
        <v>78</v>
      </c>
      <c r="AL690" s="31">
        <f t="shared" ca="1" si="202"/>
        <v>51</v>
      </c>
      <c r="AM690" s="31">
        <f t="shared" ca="1" si="203"/>
        <v>44</v>
      </c>
    </row>
    <row r="691" spans="14:39">
      <c r="N691" s="26">
        <v>683</v>
      </c>
      <c r="O691" s="30">
        <f t="shared" ca="1" si="208"/>
        <v>19.675156470867577</v>
      </c>
      <c r="P691" s="30">
        <f t="shared" ca="1" si="208"/>
        <v>10.506635985357653</v>
      </c>
      <c r="Q691" s="30">
        <f t="shared" ca="1" si="208"/>
        <v>21.619895882821833</v>
      </c>
      <c r="R691" s="30">
        <f t="shared" ca="1" si="208"/>
        <v>11.074272890680167</v>
      </c>
      <c r="S691" s="30">
        <f t="shared" ca="1" si="208"/>
        <v>25.16272889022515</v>
      </c>
      <c r="T691" s="30">
        <f t="shared" ca="1" si="208"/>
        <v>5.255565071816398</v>
      </c>
      <c r="U691" s="30">
        <f t="shared" ca="1" si="208"/>
        <v>9.6001026747101523</v>
      </c>
      <c r="V691" s="30">
        <f t="shared" ca="1" si="208"/>
        <v>30.172359661685377</v>
      </c>
      <c r="W691" s="30">
        <f t="shared" ca="1" si="208"/>
        <v>5.1680809782506785</v>
      </c>
      <c r="X691" s="30">
        <f t="shared" ca="1" si="208"/>
        <v>24.126746881057542</v>
      </c>
      <c r="Y691" s="30">
        <f t="shared" ca="1" si="208"/>
        <v>26.458850113482967</v>
      </c>
      <c r="Z691" s="30">
        <f t="shared" ca="1" si="208"/>
        <v>28.575323164425697</v>
      </c>
      <c r="AA691" s="26">
        <v>683</v>
      </c>
      <c r="AB691" s="31">
        <f t="shared" ca="1" si="204"/>
        <v>30</v>
      </c>
      <c r="AC691" s="31">
        <f t="shared" ca="1" si="193"/>
        <v>13</v>
      </c>
      <c r="AD691" s="31">
        <f t="shared" ca="1" si="194"/>
        <v>35</v>
      </c>
      <c r="AE691" s="31">
        <f t="shared" ca="1" si="195"/>
        <v>14</v>
      </c>
      <c r="AF691" s="31">
        <f t="shared" ca="1" si="196"/>
        <v>47</v>
      </c>
      <c r="AG691" s="31">
        <f t="shared" ca="1" si="197"/>
        <v>6</v>
      </c>
      <c r="AH691" s="31">
        <f t="shared" ca="1" si="198"/>
        <v>12</v>
      </c>
      <c r="AI691" s="31">
        <f t="shared" ca="1" si="199"/>
        <v>78</v>
      </c>
      <c r="AJ691" s="31">
        <f t="shared" ca="1" si="200"/>
        <v>6</v>
      </c>
      <c r="AK691" s="31">
        <f t="shared" ca="1" si="201"/>
        <v>43</v>
      </c>
      <c r="AL691" s="31">
        <f t="shared" ca="1" si="202"/>
        <v>52</v>
      </c>
      <c r="AM691" s="31">
        <f t="shared" ca="1" si="203"/>
        <v>64</v>
      </c>
    </row>
    <row r="692" spans="14:39">
      <c r="N692" s="26">
        <v>684</v>
      </c>
      <c r="O692" s="30">
        <f t="shared" ca="1" si="208"/>
        <v>8.0535786920998103</v>
      </c>
      <c r="P692" s="30">
        <f t="shared" ca="1" si="208"/>
        <v>4.0165451162513151</v>
      </c>
      <c r="Q692" s="30">
        <f t="shared" ca="1" si="208"/>
        <v>32.112552623005953</v>
      </c>
      <c r="R692" s="30">
        <f t="shared" ca="1" si="208"/>
        <v>13.307296898381212</v>
      </c>
      <c r="S692" s="30">
        <f t="shared" ca="1" si="208"/>
        <v>10.514513090708336</v>
      </c>
      <c r="T692" s="30">
        <f t="shared" ca="1" si="208"/>
        <v>16.501077363382418</v>
      </c>
      <c r="U692" s="30">
        <f t="shared" ca="1" si="208"/>
        <v>29.050102767784342</v>
      </c>
      <c r="V692" s="30">
        <f t="shared" ca="1" si="208"/>
        <v>19.011291651245678</v>
      </c>
      <c r="W692" s="30">
        <f t="shared" ca="1" si="208"/>
        <v>24.641033327709728</v>
      </c>
      <c r="X692" s="30">
        <f t="shared" ca="1" si="208"/>
        <v>14.013859424970944</v>
      </c>
      <c r="Y692" s="30">
        <f t="shared" ca="1" si="208"/>
        <v>3.6696547955608292</v>
      </c>
      <c r="Z692" s="30">
        <f t="shared" ca="1" si="208"/>
        <v>1.6269168864536365</v>
      </c>
      <c r="AA692" s="26">
        <v>684</v>
      </c>
      <c r="AB692" s="31">
        <f t="shared" ca="1" si="204"/>
        <v>10</v>
      </c>
      <c r="AC692" s="31">
        <f t="shared" ca="1" si="193"/>
        <v>5</v>
      </c>
      <c r="AD692" s="31">
        <f t="shared" ca="1" si="194"/>
        <v>109</v>
      </c>
      <c r="AE692" s="31">
        <f t="shared" ca="1" si="195"/>
        <v>17</v>
      </c>
      <c r="AF692" s="31">
        <f t="shared" ca="1" si="196"/>
        <v>13</v>
      </c>
      <c r="AG692" s="31">
        <f t="shared" ca="1" si="197"/>
        <v>23</v>
      </c>
      <c r="AH692" s="31">
        <f t="shared" ca="1" si="198"/>
        <v>68</v>
      </c>
      <c r="AI692" s="31">
        <f t="shared" ca="1" si="199"/>
        <v>28</v>
      </c>
      <c r="AJ692" s="31">
        <f t="shared" ca="1" si="200"/>
        <v>45</v>
      </c>
      <c r="AK692" s="31">
        <f t="shared" ca="1" si="201"/>
        <v>18</v>
      </c>
      <c r="AL692" s="31">
        <f t="shared" ca="1" si="202"/>
        <v>4</v>
      </c>
      <c r="AM692" s="31">
        <f t="shared" ca="1" si="203"/>
        <v>2</v>
      </c>
    </row>
    <row r="693" spans="14:39">
      <c r="N693" s="26">
        <v>685</v>
      </c>
      <c r="O693" s="30">
        <f t="shared" ca="1" si="208"/>
        <v>27.72780765070652</v>
      </c>
      <c r="P693" s="30">
        <f t="shared" ca="1" si="208"/>
        <v>6.6203049412200858</v>
      </c>
      <c r="Q693" s="30">
        <f t="shared" ca="1" si="208"/>
        <v>11.633608169856744</v>
      </c>
      <c r="R693" s="30">
        <f t="shared" ca="1" si="208"/>
        <v>10.378317761846404</v>
      </c>
      <c r="S693" s="30">
        <f t="shared" ca="1" si="208"/>
        <v>7.0114635680340154</v>
      </c>
      <c r="T693" s="30">
        <f t="shared" ca="1" si="208"/>
        <v>20.598792276024113</v>
      </c>
      <c r="U693" s="30">
        <f t="shared" ca="1" si="208"/>
        <v>25.016169552327927</v>
      </c>
      <c r="V693" s="30">
        <f t="shared" ca="1" si="208"/>
        <v>3.9288076202211815</v>
      </c>
      <c r="W693" s="30">
        <f t="shared" ca="1" si="208"/>
        <v>24.780477146199793</v>
      </c>
      <c r="X693" s="30">
        <f t="shared" ca="1" si="208"/>
        <v>2.4003048212617335</v>
      </c>
      <c r="Y693" s="30">
        <f t="shared" ca="1" si="208"/>
        <v>17.127616405036441</v>
      </c>
      <c r="Z693" s="30">
        <f t="shared" ca="1" si="208"/>
        <v>19.381182204378479</v>
      </c>
      <c r="AA693" s="26">
        <v>685</v>
      </c>
      <c r="AB693" s="31">
        <f t="shared" ca="1" si="204"/>
        <v>59</v>
      </c>
      <c r="AC693" s="31">
        <f t="shared" ca="1" si="193"/>
        <v>8</v>
      </c>
      <c r="AD693" s="31">
        <f t="shared" ca="1" si="194"/>
        <v>15</v>
      </c>
      <c r="AE693" s="31">
        <f t="shared" ca="1" si="195"/>
        <v>13</v>
      </c>
      <c r="AF693" s="31">
        <f t="shared" ca="1" si="196"/>
        <v>8</v>
      </c>
      <c r="AG693" s="31">
        <f t="shared" ca="1" si="197"/>
        <v>32</v>
      </c>
      <c r="AH693" s="31">
        <f t="shared" ca="1" si="198"/>
        <v>46</v>
      </c>
      <c r="AI693" s="31">
        <f t="shared" ca="1" si="199"/>
        <v>5</v>
      </c>
      <c r="AJ693" s="31">
        <f t="shared" ca="1" si="200"/>
        <v>45</v>
      </c>
      <c r="AK693" s="31">
        <f t="shared" ca="1" si="201"/>
        <v>3</v>
      </c>
      <c r="AL693" s="31">
        <f t="shared" ca="1" si="202"/>
        <v>24</v>
      </c>
      <c r="AM693" s="31">
        <f t="shared" ca="1" si="203"/>
        <v>29</v>
      </c>
    </row>
    <row r="694" spans="14:39">
      <c r="N694" s="26">
        <v>686</v>
      </c>
      <c r="O694" s="30">
        <f t="shared" ca="1" si="208"/>
        <v>21.079726079363159</v>
      </c>
      <c r="P694" s="30">
        <f t="shared" ca="1" si="208"/>
        <v>4.4383320080159754</v>
      </c>
      <c r="Q694" s="30">
        <f t="shared" ca="1" si="208"/>
        <v>25.607721141953544</v>
      </c>
      <c r="R694" s="30">
        <f t="shared" ca="1" si="208"/>
        <v>20.572947490253469</v>
      </c>
      <c r="S694" s="30">
        <f t="shared" ca="1" si="208"/>
        <v>21.291690605416957</v>
      </c>
      <c r="T694" s="30">
        <f t="shared" ca="1" si="208"/>
        <v>15.049808448367928</v>
      </c>
      <c r="U694" s="30">
        <f t="shared" ca="1" si="208"/>
        <v>31.217908190214501</v>
      </c>
      <c r="V694" s="30">
        <f t="shared" ca="1" si="208"/>
        <v>3.7529895777786986</v>
      </c>
      <c r="W694" s="30">
        <f t="shared" ca="1" si="208"/>
        <v>28.354710974666098</v>
      </c>
      <c r="X694" s="30">
        <f t="shared" ca="1" si="208"/>
        <v>8.4384738730709401</v>
      </c>
      <c r="Y694" s="30">
        <f t="shared" ca="1" si="208"/>
        <v>25.182052156726073</v>
      </c>
      <c r="Z694" s="30">
        <f t="shared" ca="1" si="208"/>
        <v>9.8535472800276338</v>
      </c>
      <c r="AA694" s="26">
        <v>686</v>
      </c>
      <c r="AB694" s="31">
        <f t="shared" ca="1" si="204"/>
        <v>33</v>
      </c>
      <c r="AC694" s="31">
        <f t="shared" ca="1" si="193"/>
        <v>5</v>
      </c>
      <c r="AD694" s="31">
        <f t="shared" ca="1" si="194"/>
        <v>48</v>
      </c>
      <c r="AE694" s="31">
        <f t="shared" ca="1" si="195"/>
        <v>32</v>
      </c>
      <c r="AF694" s="31">
        <f t="shared" ca="1" si="196"/>
        <v>34</v>
      </c>
      <c r="AG694" s="31">
        <f t="shared" ca="1" si="197"/>
        <v>20</v>
      </c>
      <c r="AH694" s="31">
        <f t="shared" ca="1" si="198"/>
        <v>91</v>
      </c>
      <c r="AI694" s="31">
        <f t="shared" ca="1" si="199"/>
        <v>4</v>
      </c>
      <c r="AJ694" s="31">
        <f t="shared" ca="1" si="200"/>
        <v>63</v>
      </c>
      <c r="AK694" s="31">
        <f t="shared" ca="1" si="201"/>
        <v>10</v>
      </c>
      <c r="AL694" s="31">
        <f t="shared" ca="1" si="202"/>
        <v>47</v>
      </c>
      <c r="AM694" s="31">
        <f t="shared" ca="1" si="203"/>
        <v>12</v>
      </c>
    </row>
    <row r="695" spans="14:39">
      <c r="N695" s="26">
        <v>687</v>
      </c>
      <c r="O695" s="30">
        <f t="shared" ca="1" si="208"/>
        <v>27.913178174923704</v>
      </c>
      <c r="P695" s="30">
        <f t="shared" ca="1" si="208"/>
        <v>23.522280793110934</v>
      </c>
      <c r="Q695" s="30">
        <f t="shared" ca="1" si="208"/>
        <v>15.930562026764385</v>
      </c>
      <c r="R695" s="30">
        <f t="shared" ca="1" si="208"/>
        <v>13.215813128257603</v>
      </c>
      <c r="S695" s="30">
        <f t="shared" ca="1" si="208"/>
        <v>19.425119761753326</v>
      </c>
      <c r="T695" s="30">
        <f t="shared" ca="1" si="208"/>
        <v>8.1405525737598179</v>
      </c>
      <c r="U695" s="30">
        <f t="shared" ca="1" si="208"/>
        <v>26.113983174697697</v>
      </c>
      <c r="V695" s="30">
        <f t="shared" ca="1" si="208"/>
        <v>6.4234635082240716</v>
      </c>
      <c r="W695" s="30">
        <f t="shared" ca="1" si="208"/>
        <v>16.720352272570537</v>
      </c>
      <c r="X695" s="30">
        <f t="shared" ca="1" si="208"/>
        <v>12.620463337329568</v>
      </c>
      <c r="Y695" s="30">
        <f t="shared" ca="1" si="208"/>
        <v>9.7766813731847968</v>
      </c>
      <c r="Z695" s="30">
        <f t="shared" ca="1" si="208"/>
        <v>18.172107553728143</v>
      </c>
      <c r="AA695" s="26">
        <v>687</v>
      </c>
      <c r="AB695" s="31">
        <f t="shared" ca="1" si="204"/>
        <v>60</v>
      </c>
      <c r="AC695" s="31">
        <f t="shared" ca="1" si="193"/>
        <v>41</v>
      </c>
      <c r="AD695" s="31">
        <f t="shared" ca="1" si="194"/>
        <v>22</v>
      </c>
      <c r="AE695" s="31">
        <f t="shared" ca="1" si="195"/>
        <v>17</v>
      </c>
      <c r="AF695" s="31">
        <f t="shared" ca="1" si="196"/>
        <v>29</v>
      </c>
      <c r="AG695" s="31">
        <f t="shared" ca="1" si="197"/>
        <v>10</v>
      </c>
      <c r="AH695" s="31">
        <f t="shared" ca="1" si="198"/>
        <v>51</v>
      </c>
      <c r="AI695" s="31">
        <f t="shared" ca="1" si="199"/>
        <v>8</v>
      </c>
      <c r="AJ695" s="31">
        <f t="shared" ca="1" si="200"/>
        <v>23</v>
      </c>
      <c r="AK695" s="31">
        <f t="shared" ca="1" si="201"/>
        <v>16</v>
      </c>
      <c r="AL695" s="31">
        <f t="shared" ca="1" si="202"/>
        <v>12</v>
      </c>
      <c r="AM695" s="31">
        <f t="shared" ca="1" si="203"/>
        <v>26</v>
      </c>
    </row>
    <row r="696" spans="14:39">
      <c r="N696" s="26">
        <v>688</v>
      </c>
      <c r="O696" s="30">
        <f t="shared" ca="1" si="208"/>
        <v>21.347259082618891</v>
      </c>
      <c r="P696" s="30">
        <f t="shared" ca="1" si="208"/>
        <v>21.366945618896679</v>
      </c>
      <c r="Q696" s="30">
        <f t="shared" ca="1" si="208"/>
        <v>30.197072626227211</v>
      </c>
      <c r="R696" s="30">
        <f t="shared" ca="1" si="208"/>
        <v>32.894695576991161</v>
      </c>
      <c r="S696" s="30">
        <f t="shared" ca="1" si="208"/>
        <v>19.737206494666413</v>
      </c>
      <c r="T696" s="30">
        <f t="shared" ca="1" si="208"/>
        <v>28.887853371752843</v>
      </c>
      <c r="U696" s="30">
        <f t="shared" ca="1" si="208"/>
        <v>5.4611649267380287</v>
      </c>
      <c r="V696" s="30">
        <f t="shared" ca="1" si="208"/>
        <v>3.7636673364423485</v>
      </c>
      <c r="W696" s="30">
        <f t="shared" ca="1" si="208"/>
        <v>6.7516266112723917</v>
      </c>
      <c r="X696" s="30">
        <f t="shared" ca="1" si="208"/>
        <v>1.0603171487931238</v>
      </c>
      <c r="Y696" s="30">
        <f t="shared" ca="1" si="208"/>
        <v>6.1419696536448845</v>
      </c>
      <c r="Z696" s="30">
        <f t="shared" ca="1" si="208"/>
        <v>29.366125848043605</v>
      </c>
      <c r="AA696" s="26">
        <v>688</v>
      </c>
      <c r="AB696" s="31">
        <f t="shared" ca="1" si="204"/>
        <v>34</v>
      </c>
      <c r="AC696" s="31">
        <f t="shared" ca="1" si="193"/>
        <v>34</v>
      </c>
      <c r="AD696" s="31">
        <f t="shared" ca="1" si="194"/>
        <v>78</v>
      </c>
      <c r="AE696" s="31">
        <f t="shared" ca="1" si="195"/>
        <v>143</v>
      </c>
      <c r="AF696" s="31">
        <f t="shared" ca="1" si="196"/>
        <v>30</v>
      </c>
      <c r="AG696" s="31">
        <f t="shared" ca="1" si="197"/>
        <v>67</v>
      </c>
      <c r="AH696" s="31">
        <f t="shared" ca="1" si="198"/>
        <v>6</v>
      </c>
      <c r="AI696" s="31">
        <f t="shared" ca="1" si="199"/>
        <v>4</v>
      </c>
      <c r="AJ696" s="31">
        <f t="shared" ca="1" si="200"/>
        <v>8</v>
      </c>
      <c r="AK696" s="31">
        <f t="shared" ca="1" si="201"/>
        <v>2</v>
      </c>
      <c r="AL696" s="31">
        <f t="shared" ca="1" si="202"/>
        <v>7</v>
      </c>
      <c r="AM696" s="31">
        <f t="shared" ca="1" si="203"/>
        <v>70</v>
      </c>
    </row>
    <row r="697" spans="14:39">
      <c r="N697" s="26">
        <v>689</v>
      </c>
      <c r="O697" s="30">
        <f t="shared" ca="1" si="208"/>
        <v>17.101634244636536</v>
      </c>
      <c r="P697" s="30">
        <f t="shared" ca="1" si="208"/>
        <v>12.345245438318889</v>
      </c>
      <c r="Q697" s="30">
        <f t="shared" ca="1" si="208"/>
        <v>27.361911920377526</v>
      </c>
      <c r="R697" s="30">
        <f t="shared" ca="1" si="208"/>
        <v>2.6120686518670118</v>
      </c>
      <c r="S697" s="30">
        <f t="shared" ca="1" si="208"/>
        <v>12.033261425608892</v>
      </c>
      <c r="T697" s="30">
        <f t="shared" ca="1" si="208"/>
        <v>18.659539602936633</v>
      </c>
      <c r="U697" s="30">
        <f t="shared" ca="1" si="208"/>
        <v>23.265806365585707</v>
      </c>
      <c r="V697" s="30">
        <f t="shared" ca="1" si="208"/>
        <v>3.2537552143976467</v>
      </c>
      <c r="W697" s="30">
        <f t="shared" ca="1" si="208"/>
        <v>19.49579242663177</v>
      </c>
      <c r="X697" s="30">
        <f t="shared" ca="1" si="208"/>
        <v>21.024418211978848</v>
      </c>
      <c r="Y697" s="30">
        <f t="shared" ca="1" si="208"/>
        <v>32.714988024062606</v>
      </c>
      <c r="Z697" s="30">
        <f t="shared" ca="1" si="208"/>
        <v>14.360330581907872</v>
      </c>
      <c r="AA697" s="26">
        <v>689</v>
      </c>
      <c r="AB697" s="31">
        <f t="shared" ca="1" si="204"/>
        <v>24</v>
      </c>
      <c r="AC697" s="31">
        <f t="shared" ca="1" si="193"/>
        <v>16</v>
      </c>
      <c r="AD697" s="31">
        <f t="shared" ca="1" si="194"/>
        <v>57</v>
      </c>
      <c r="AE697" s="31">
        <f t="shared" ca="1" si="195"/>
        <v>3</v>
      </c>
      <c r="AF697" s="31">
        <f t="shared" ca="1" si="196"/>
        <v>15</v>
      </c>
      <c r="AG697" s="31">
        <f t="shared" ca="1" si="197"/>
        <v>27</v>
      </c>
      <c r="AH697" s="31">
        <f t="shared" ca="1" si="198"/>
        <v>40</v>
      </c>
      <c r="AI697" s="31">
        <f t="shared" ca="1" si="199"/>
        <v>4</v>
      </c>
      <c r="AJ697" s="31">
        <f t="shared" ca="1" si="200"/>
        <v>29</v>
      </c>
      <c r="AK697" s="31">
        <f t="shared" ca="1" si="201"/>
        <v>33</v>
      </c>
      <c r="AL697" s="31">
        <f t="shared" ca="1" si="202"/>
        <v>131</v>
      </c>
      <c r="AM697" s="31">
        <f t="shared" ca="1" si="203"/>
        <v>19</v>
      </c>
    </row>
    <row r="698" spans="14:39">
      <c r="N698" s="26">
        <v>690</v>
      </c>
      <c r="O698" s="30">
        <f t="shared" ca="1" si="208"/>
        <v>31.367437618456567</v>
      </c>
      <c r="P698" s="30">
        <f t="shared" ca="1" si="208"/>
        <v>1.7517109633254753</v>
      </c>
      <c r="Q698" s="30">
        <f t="shared" ca="1" si="208"/>
        <v>12.915462837934301</v>
      </c>
      <c r="R698" s="30">
        <f t="shared" ca="1" si="208"/>
        <v>14.240912308606147</v>
      </c>
      <c r="S698" s="30">
        <f t="shared" ca="1" si="208"/>
        <v>13.084857681699104</v>
      </c>
      <c r="T698" s="30">
        <f t="shared" ca="1" si="208"/>
        <v>25.305169119334987</v>
      </c>
      <c r="U698" s="30">
        <f t="shared" ca="1" si="208"/>
        <v>26.998793700653991</v>
      </c>
      <c r="V698" s="30">
        <f t="shared" ca="1" si="208"/>
        <v>17.522601931118214</v>
      </c>
      <c r="W698" s="30">
        <f t="shared" ca="1" si="208"/>
        <v>8.1875929017025779</v>
      </c>
      <c r="X698" s="30">
        <f t="shared" ca="1" si="208"/>
        <v>4.4263090996988392</v>
      </c>
      <c r="Y698" s="30">
        <f t="shared" ca="1" si="208"/>
        <v>7.1220459497254209</v>
      </c>
      <c r="Z698" s="30">
        <f t="shared" ca="1" si="208"/>
        <v>9.8491906644898357</v>
      </c>
      <c r="AA698" s="26">
        <v>690</v>
      </c>
      <c r="AB698" s="31">
        <f t="shared" ca="1" si="204"/>
        <v>93</v>
      </c>
      <c r="AC698" s="31">
        <f t="shared" ca="1" si="193"/>
        <v>2</v>
      </c>
      <c r="AD698" s="31">
        <f t="shared" ca="1" si="194"/>
        <v>17</v>
      </c>
      <c r="AE698" s="31">
        <f t="shared" ca="1" si="195"/>
        <v>19</v>
      </c>
      <c r="AF698" s="31">
        <f t="shared" ca="1" si="196"/>
        <v>17</v>
      </c>
      <c r="AG698" s="31">
        <f t="shared" ca="1" si="197"/>
        <v>47</v>
      </c>
      <c r="AH698" s="31">
        <f t="shared" ca="1" si="198"/>
        <v>55</v>
      </c>
      <c r="AI698" s="31">
        <f t="shared" ca="1" si="199"/>
        <v>25</v>
      </c>
      <c r="AJ698" s="31">
        <f t="shared" ca="1" si="200"/>
        <v>10</v>
      </c>
      <c r="AK698" s="31">
        <f t="shared" ca="1" si="201"/>
        <v>5</v>
      </c>
      <c r="AL698" s="31">
        <f t="shared" ca="1" si="202"/>
        <v>8</v>
      </c>
      <c r="AM698" s="31">
        <f t="shared" ca="1" si="203"/>
        <v>12</v>
      </c>
    </row>
    <row r="699" spans="14:39">
      <c r="N699" s="26">
        <v>691</v>
      </c>
      <c r="O699" s="30">
        <f t="shared" ref="O699:Z708" ca="1" si="209">RAND()*sumweights</f>
        <v>32.851755026032393</v>
      </c>
      <c r="P699" s="30">
        <f t="shared" ca="1" si="209"/>
        <v>18.175798495257499</v>
      </c>
      <c r="Q699" s="30">
        <f t="shared" ca="1" si="209"/>
        <v>17.655151823191876</v>
      </c>
      <c r="R699" s="30">
        <f t="shared" ca="1" si="209"/>
        <v>13.828404757543833</v>
      </c>
      <c r="S699" s="30">
        <f t="shared" ca="1" si="209"/>
        <v>0.78936146353349212</v>
      </c>
      <c r="T699" s="30">
        <f t="shared" ca="1" si="209"/>
        <v>30.92932373656646</v>
      </c>
      <c r="U699" s="30">
        <f t="shared" ca="1" si="209"/>
        <v>31.518800797501768</v>
      </c>
      <c r="V699" s="30">
        <f t="shared" ca="1" si="209"/>
        <v>3.1851844718404263</v>
      </c>
      <c r="W699" s="30">
        <f t="shared" ca="1" si="209"/>
        <v>30.674511997229342</v>
      </c>
      <c r="X699" s="30">
        <f t="shared" ca="1" si="209"/>
        <v>20.060465661426463</v>
      </c>
      <c r="Y699" s="30">
        <f t="shared" ca="1" si="209"/>
        <v>26.084543143126758</v>
      </c>
      <c r="Z699" s="30">
        <f t="shared" ca="1" si="209"/>
        <v>30.956454457689084</v>
      </c>
      <c r="AA699" s="26">
        <v>691</v>
      </c>
      <c r="AB699" s="31">
        <f t="shared" ca="1" si="204"/>
        <v>140</v>
      </c>
      <c r="AC699" s="31">
        <f t="shared" ca="1" si="193"/>
        <v>26</v>
      </c>
      <c r="AD699" s="31">
        <f t="shared" ca="1" si="194"/>
        <v>25</v>
      </c>
      <c r="AE699" s="31">
        <f t="shared" ca="1" si="195"/>
        <v>18</v>
      </c>
      <c r="AF699" s="31">
        <f t="shared" ca="1" si="196"/>
        <v>1</v>
      </c>
      <c r="AG699" s="31">
        <f t="shared" ca="1" si="197"/>
        <v>87</v>
      </c>
      <c r="AH699" s="31">
        <f t="shared" ca="1" si="198"/>
        <v>96</v>
      </c>
      <c r="AI699" s="31">
        <f t="shared" ca="1" si="199"/>
        <v>4</v>
      </c>
      <c r="AJ699" s="31">
        <f t="shared" ca="1" si="200"/>
        <v>84</v>
      </c>
      <c r="AK699" s="31">
        <f t="shared" ca="1" si="201"/>
        <v>31</v>
      </c>
      <c r="AL699" s="31">
        <f t="shared" ca="1" si="202"/>
        <v>51</v>
      </c>
      <c r="AM699" s="31">
        <f t="shared" ca="1" si="203"/>
        <v>87</v>
      </c>
    </row>
    <row r="700" spans="14:39">
      <c r="N700" s="26">
        <v>692</v>
      </c>
      <c r="O700" s="30">
        <f t="shared" ca="1" si="209"/>
        <v>6.8360469146677723</v>
      </c>
      <c r="P700" s="30">
        <f t="shared" ca="1" si="209"/>
        <v>22.182506473896588</v>
      </c>
      <c r="Q700" s="30">
        <f t="shared" ca="1" si="209"/>
        <v>9.649020424564771</v>
      </c>
      <c r="R700" s="30">
        <f t="shared" ca="1" si="209"/>
        <v>28.304100069579356</v>
      </c>
      <c r="S700" s="30">
        <f t="shared" ca="1" si="209"/>
        <v>17.342746737382232</v>
      </c>
      <c r="T700" s="30">
        <f t="shared" ca="1" si="209"/>
        <v>9.4065711513357542</v>
      </c>
      <c r="U700" s="30">
        <f t="shared" ca="1" si="209"/>
        <v>30.239631894268598</v>
      </c>
      <c r="V700" s="30">
        <f t="shared" ca="1" si="209"/>
        <v>24.627950834276387</v>
      </c>
      <c r="W700" s="30">
        <f t="shared" ca="1" si="209"/>
        <v>9.1205659489467372</v>
      </c>
      <c r="X700" s="30">
        <f t="shared" ca="1" si="209"/>
        <v>24.644999139174104</v>
      </c>
      <c r="Y700" s="30">
        <f t="shared" ca="1" si="209"/>
        <v>29.83098651047348</v>
      </c>
      <c r="Z700" s="30">
        <f t="shared" ca="1" si="209"/>
        <v>10.811115888003132</v>
      </c>
      <c r="AA700" s="26">
        <v>692</v>
      </c>
      <c r="AB700" s="31">
        <f t="shared" ca="1" si="204"/>
        <v>8</v>
      </c>
      <c r="AC700" s="31">
        <f t="shared" ca="1" si="193"/>
        <v>36</v>
      </c>
      <c r="AD700" s="31">
        <f t="shared" ca="1" si="194"/>
        <v>12</v>
      </c>
      <c r="AE700" s="31">
        <f t="shared" ca="1" si="195"/>
        <v>63</v>
      </c>
      <c r="AF700" s="31">
        <f t="shared" ca="1" si="196"/>
        <v>25</v>
      </c>
      <c r="AG700" s="31">
        <f t="shared" ca="1" si="197"/>
        <v>11</v>
      </c>
      <c r="AH700" s="31">
        <f t="shared" ca="1" si="198"/>
        <v>79</v>
      </c>
      <c r="AI700" s="31">
        <f t="shared" ca="1" si="199"/>
        <v>45</v>
      </c>
      <c r="AJ700" s="31">
        <f t="shared" ca="1" si="200"/>
        <v>11</v>
      </c>
      <c r="AK700" s="31">
        <f t="shared" ca="1" si="201"/>
        <v>45</v>
      </c>
      <c r="AL700" s="31">
        <f t="shared" ca="1" si="202"/>
        <v>74</v>
      </c>
      <c r="AM700" s="31">
        <f t="shared" ca="1" si="203"/>
        <v>13</v>
      </c>
    </row>
    <row r="701" spans="14:39">
      <c r="N701" s="26">
        <v>693</v>
      </c>
      <c r="O701" s="30">
        <f t="shared" ca="1" si="209"/>
        <v>12.786302633980888</v>
      </c>
      <c r="P701" s="30">
        <f t="shared" ca="1" si="209"/>
        <v>14.317628619203305</v>
      </c>
      <c r="Q701" s="30">
        <f t="shared" ca="1" si="209"/>
        <v>3.8749713141137381</v>
      </c>
      <c r="R701" s="30">
        <f t="shared" ca="1" si="209"/>
        <v>20.264687761461172</v>
      </c>
      <c r="S701" s="30">
        <f t="shared" ca="1" si="209"/>
        <v>9.4138496337099973</v>
      </c>
      <c r="T701" s="30">
        <f t="shared" ca="1" si="209"/>
        <v>13.734820903524239</v>
      </c>
      <c r="U701" s="30">
        <f t="shared" ca="1" si="209"/>
        <v>12.561545464156564</v>
      </c>
      <c r="V701" s="30">
        <f t="shared" ca="1" si="209"/>
        <v>15.81591533608754</v>
      </c>
      <c r="W701" s="30">
        <f t="shared" ca="1" si="209"/>
        <v>24.004248617735801</v>
      </c>
      <c r="X701" s="30">
        <f t="shared" ca="1" si="209"/>
        <v>9.4632963610568162</v>
      </c>
      <c r="Y701" s="30">
        <f t="shared" ca="1" si="209"/>
        <v>17.917006830365402</v>
      </c>
      <c r="Z701" s="30">
        <f t="shared" ca="1" si="209"/>
        <v>9.6090058629156445</v>
      </c>
      <c r="AA701" s="26">
        <v>693</v>
      </c>
      <c r="AB701" s="31">
        <f t="shared" ca="1" si="204"/>
        <v>16</v>
      </c>
      <c r="AC701" s="31">
        <f t="shared" ca="1" si="193"/>
        <v>19</v>
      </c>
      <c r="AD701" s="31">
        <f t="shared" ca="1" si="194"/>
        <v>5</v>
      </c>
      <c r="AE701" s="31">
        <f t="shared" ca="1" si="195"/>
        <v>31</v>
      </c>
      <c r="AF701" s="31">
        <f t="shared" ca="1" si="196"/>
        <v>11</v>
      </c>
      <c r="AG701" s="31">
        <f t="shared" ca="1" si="197"/>
        <v>18</v>
      </c>
      <c r="AH701" s="31">
        <f t="shared" ca="1" si="198"/>
        <v>16</v>
      </c>
      <c r="AI701" s="31">
        <f t="shared" ca="1" si="199"/>
        <v>22</v>
      </c>
      <c r="AJ701" s="31">
        <f t="shared" ca="1" si="200"/>
        <v>42</v>
      </c>
      <c r="AK701" s="31">
        <f t="shared" ca="1" si="201"/>
        <v>11</v>
      </c>
      <c r="AL701" s="31">
        <f t="shared" ca="1" si="202"/>
        <v>26</v>
      </c>
      <c r="AM701" s="31">
        <f t="shared" ca="1" si="203"/>
        <v>12</v>
      </c>
    </row>
    <row r="702" spans="14:39">
      <c r="N702" s="26">
        <v>694</v>
      </c>
      <c r="O702" s="30">
        <f t="shared" ca="1" si="209"/>
        <v>6.6743192770750426</v>
      </c>
      <c r="P702" s="30">
        <f t="shared" ca="1" si="209"/>
        <v>26.19692559972659</v>
      </c>
      <c r="Q702" s="30">
        <f t="shared" ca="1" si="209"/>
        <v>17.359357667249959</v>
      </c>
      <c r="R702" s="30">
        <f t="shared" ca="1" si="209"/>
        <v>14.100184468656776</v>
      </c>
      <c r="S702" s="30">
        <f t="shared" ca="1" si="209"/>
        <v>24.472457923009571</v>
      </c>
      <c r="T702" s="30">
        <f t="shared" ca="1" si="209"/>
        <v>16.968761029326686</v>
      </c>
      <c r="U702" s="30">
        <f t="shared" ca="1" si="209"/>
        <v>4.4690357177674196</v>
      </c>
      <c r="V702" s="30">
        <f t="shared" ca="1" si="209"/>
        <v>14.195356757906024</v>
      </c>
      <c r="W702" s="30">
        <f t="shared" ca="1" si="209"/>
        <v>32.126967755621088</v>
      </c>
      <c r="X702" s="30">
        <f t="shared" ca="1" si="209"/>
        <v>27.036656289555808</v>
      </c>
      <c r="Y702" s="30">
        <f t="shared" ca="1" si="209"/>
        <v>1.5283231350679074</v>
      </c>
      <c r="Z702" s="30">
        <f t="shared" ca="1" si="209"/>
        <v>26.445401559919244</v>
      </c>
      <c r="AA702" s="26">
        <v>694</v>
      </c>
      <c r="AB702" s="31">
        <f t="shared" ca="1" si="204"/>
        <v>8</v>
      </c>
      <c r="AC702" s="31">
        <f t="shared" ca="1" si="193"/>
        <v>51</v>
      </c>
      <c r="AD702" s="31">
        <f t="shared" ca="1" si="194"/>
        <v>25</v>
      </c>
      <c r="AE702" s="31">
        <f t="shared" ca="1" si="195"/>
        <v>19</v>
      </c>
      <c r="AF702" s="31">
        <f t="shared" ca="1" si="196"/>
        <v>44</v>
      </c>
      <c r="AG702" s="31">
        <f t="shared" ca="1" si="197"/>
        <v>24</v>
      </c>
      <c r="AH702" s="31">
        <f t="shared" ca="1" si="198"/>
        <v>5</v>
      </c>
      <c r="AI702" s="31">
        <f t="shared" ca="1" si="199"/>
        <v>19</v>
      </c>
      <c r="AJ702" s="31">
        <f t="shared" ca="1" si="200"/>
        <v>109</v>
      </c>
      <c r="AK702" s="31">
        <f t="shared" ca="1" si="201"/>
        <v>55</v>
      </c>
      <c r="AL702" s="31">
        <f t="shared" ca="1" si="202"/>
        <v>2</v>
      </c>
      <c r="AM702" s="31">
        <f t="shared" ca="1" si="203"/>
        <v>52</v>
      </c>
    </row>
    <row r="703" spans="14:39">
      <c r="N703" s="26">
        <v>695</v>
      </c>
      <c r="O703" s="30">
        <f t="shared" ca="1" si="209"/>
        <v>22.11629830302433</v>
      </c>
      <c r="P703" s="30">
        <f t="shared" ca="1" si="209"/>
        <v>2.9539808659573654</v>
      </c>
      <c r="Q703" s="30">
        <f t="shared" ca="1" si="209"/>
        <v>27.489364815041416</v>
      </c>
      <c r="R703" s="30">
        <f t="shared" ca="1" si="209"/>
        <v>6.1948901365000557</v>
      </c>
      <c r="S703" s="30">
        <f t="shared" ca="1" si="209"/>
        <v>22.720927633331939</v>
      </c>
      <c r="T703" s="30">
        <f t="shared" ca="1" si="209"/>
        <v>30.440507790237493</v>
      </c>
      <c r="U703" s="30">
        <f t="shared" ca="1" si="209"/>
        <v>17.798399296368288</v>
      </c>
      <c r="V703" s="30">
        <f t="shared" ca="1" si="209"/>
        <v>7.519577688446212</v>
      </c>
      <c r="W703" s="30">
        <f t="shared" ca="1" si="209"/>
        <v>18.562872618549928</v>
      </c>
      <c r="X703" s="30">
        <f t="shared" ca="1" si="209"/>
        <v>18.848117776383322</v>
      </c>
      <c r="Y703" s="30">
        <f t="shared" ca="1" si="209"/>
        <v>28.748392728472311</v>
      </c>
      <c r="Z703" s="30">
        <f t="shared" ca="1" si="209"/>
        <v>9.8393215566127772</v>
      </c>
      <c r="AA703" s="26">
        <v>695</v>
      </c>
      <c r="AB703" s="31">
        <f t="shared" ca="1" si="204"/>
        <v>36</v>
      </c>
      <c r="AC703" s="31">
        <f t="shared" ca="1" si="193"/>
        <v>4</v>
      </c>
      <c r="AD703" s="31">
        <f t="shared" ca="1" si="194"/>
        <v>58</v>
      </c>
      <c r="AE703" s="31">
        <f t="shared" ca="1" si="195"/>
        <v>7</v>
      </c>
      <c r="AF703" s="31">
        <f t="shared" ca="1" si="196"/>
        <v>38</v>
      </c>
      <c r="AG703" s="31">
        <f t="shared" ca="1" si="197"/>
        <v>81</v>
      </c>
      <c r="AH703" s="31">
        <f t="shared" ca="1" si="198"/>
        <v>26</v>
      </c>
      <c r="AI703" s="31">
        <f t="shared" ca="1" si="199"/>
        <v>9</v>
      </c>
      <c r="AJ703" s="31">
        <f t="shared" ca="1" si="200"/>
        <v>27</v>
      </c>
      <c r="AK703" s="31">
        <f t="shared" ca="1" si="201"/>
        <v>28</v>
      </c>
      <c r="AL703" s="31">
        <f t="shared" ca="1" si="202"/>
        <v>66</v>
      </c>
      <c r="AM703" s="31">
        <f t="shared" ca="1" si="203"/>
        <v>12</v>
      </c>
    </row>
    <row r="704" spans="14:39">
      <c r="N704" s="26">
        <v>696</v>
      </c>
      <c r="O704" s="30">
        <f t="shared" ca="1" si="209"/>
        <v>14.860141518817002</v>
      </c>
      <c r="P704" s="30">
        <f t="shared" ca="1" si="209"/>
        <v>5.9511510282393703</v>
      </c>
      <c r="Q704" s="30">
        <f t="shared" ca="1" si="209"/>
        <v>26.655862530602633</v>
      </c>
      <c r="R704" s="30">
        <f t="shared" ca="1" si="209"/>
        <v>26.064988357298471</v>
      </c>
      <c r="S704" s="30">
        <f t="shared" ca="1" si="209"/>
        <v>12.646255985018321</v>
      </c>
      <c r="T704" s="30">
        <f t="shared" ca="1" si="209"/>
        <v>18.415301152442105</v>
      </c>
      <c r="U704" s="30">
        <f t="shared" ca="1" si="209"/>
        <v>19.774193280654188</v>
      </c>
      <c r="V704" s="30">
        <f t="shared" ca="1" si="209"/>
        <v>19.251894086643254</v>
      </c>
      <c r="W704" s="30">
        <f t="shared" ca="1" si="209"/>
        <v>32.236788778164353</v>
      </c>
      <c r="X704" s="30">
        <f t="shared" ca="1" si="209"/>
        <v>32.527755975897385</v>
      </c>
      <c r="Y704" s="30">
        <f t="shared" ca="1" si="209"/>
        <v>10.96907466898001</v>
      </c>
      <c r="Z704" s="30">
        <f t="shared" ca="1" si="209"/>
        <v>24.120157064072785</v>
      </c>
      <c r="AA704" s="26">
        <v>696</v>
      </c>
      <c r="AB704" s="31">
        <f t="shared" ca="1" si="204"/>
        <v>20</v>
      </c>
      <c r="AC704" s="31">
        <f t="shared" ca="1" si="193"/>
        <v>7</v>
      </c>
      <c r="AD704" s="31">
        <f t="shared" ca="1" si="194"/>
        <v>53</v>
      </c>
      <c r="AE704" s="31">
        <f t="shared" ca="1" si="195"/>
        <v>51</v>
      </c>
      <c r="AF704" s="31">
        <f t="shared" ca="1" si="196"/>
        <v>16</v>
      </c>
      <c r="AG704" s="31">
        <f t="shared" ca="1" si="197"/>
        <v>27</v>
      </c>
      <c r="AH704" s="31">
        <f t="shared" ca="1" si="198"/>
        <v>30</v>
      </c>
      <c r="AI704" s="31">
        <f t="shared" ca="1" si="199"/>
        <v>29</v>
      </c>
      <c r="AJ704" s="31">
        <f t="shared" ca="1" si="200"/>
        <v>113</v>
      </c>
      <c r="AK704" s="31">
        <f t="shared" ca="1" si="201"/>
        <v>123</v>
      </c>
      <c r="AL704" s="31">
        <f t="shared" ca="1" si="202"/>
        <v>14</v>
      </c>
      <c r="AM704" s="31">
        <f t="shared" ca="1" si="203"/>
        <v>43</v>
      </c>
    </row>
    <row r="705" spans="14:39">
      <c r="N705" s="26">
        <v>697</v>
      </c>
      <c r="O705" s="30">
        <f t="shared" ca="1" si="209"/>
        <v>11.36280133685141</v>
      </c>
      <c r="P705" s="30">
        <f t="shared" ca="1" si="209"/>
        <v>5.429847462851475</v>
      </c>
      <c r="Q705" s="30">
        <f t="shared" ca="1" si="209"/>
        <v>28.047080157120163</v>
      </c>
      <c r="R705" s="30">
        <f t="shared" ca="1" si="209"/>
        <v>27.652105988564003</v>
      </c>
      <c r="S705" s="30">
        <f t="shared" ca="1" si="209"/>
        <v>16.403927167088529</v>
      </c>
      <c r="T705" s="30">
        <f t="shared" ca="1" si="209"/>
        <v>30.162311596891975</v>
      </c>
      <c r="U705" s="30">
        <f t="shared" ca="1" si="209"/>
        <v>17.063673328654232</v>
      </c>
      <c r="V705" s="30">
        <f t="shared" ca="1" si="209"/>
        <v>25.190595340354669</v>
      </c>
      <c r="W705" s="30">
        <f t="shared" ca="1" si="209"/>
        <v>16.699371153860699</v>
      </c>
      <c r="X705" s="30">
        <f t="shared" ca="1" si="209"/>
        <v>0.37113865829904397</v>
      </c>
      <c r="Y705" s="30">
        <f t="shared" ca="1" si="209"/>
        <v>0.97326477866743388</v>
      </c>
      <c r="Z705" s="30">
        <f t="shared" ca="1" si="209"/>
        <v>18.609687953761995</v>
      </c>
      <c r="AA705" s="26">
        <v>697</v>
      </c>
      <c r="AB705" s="31">
        <f t="shared" ca="1" si="204"/>
        <v>14</v>
      </c>
      <c r="AC705" s="31">
        <f t="shared" ca="1" si="193"/>
        <v>6</v>
      </c>
      <c r="AD705" s="31">
        <f t="shared" ca="1" si="194"/>
        <v>61</v>
      </c>
      <c r="AE705" s="31">
        <f t="shared" ca="1" si="195"/>
        <v>59</v>
      </c>
      <c r="AF705" s="31">
        <f t="shared" ca="1" si="196"/>
        <v>23</v>
      </c>
      <c r="AG705" s="31">
        <f t="shared" ca="1" si="197"/>
        <v>78</v>
      </c>
      <c r="AH705" s="31">
        <f t="shared" ca="1" si="198"/>
        <v>24</v>
      </c>
      <c r="AI705" s="31">
        <f t="shared" ca="1" si="199"/>
        <v>47</v>
      </c>
      <c r="AJ705" s="31">
        <f t="shared" ca="1" si="200"/>
        <v>23</v>
      </c>
      <c r="AK705" s="31">
        <f t="shared" ca="1" si="201"/>
        <v>1</v>
      </c>
      <c r="AL705" s="31">
        <f t="shared" ca="1" si="202"/>
        <v>1</v>
      </c>
      <c r="AM705" s="31">
        <f t="shared" ca="1" si="203"/>
        <v>27</v>
      </c>
    </row>
    <row r="706" spans="14:39">
      <c r="N706" s="26">
        <v>698</v>
      </c>
      <c r="O706" s="30">
        <f t="shared" ca="1" si="209"/>
        <v>21.24588298994157</v>
      </c>
      <c r="P706" s="30">
        <f t="shared" ca="1" si="209"/>
        <v>1.3752614158212164</v>
      </c>
      <c r="Q706" s="30">
        <f t="shared" ca="1" si="209"/>
        <v>7.8037343453066654</v>
      </c>
      <c r="R706" s="30">
        <f t="shared" ca="1" si="209"/>
        <v>8.531220324526462</v>
      </c>
      <c r="S706" s="30">
        <f t="shared" ca="1" si="209"/>
        <v>28.588706393062338</v>
      </c>
      <c r="T706" s="30">
        <f t="shared" ca="1" si="209"/>
        <v>4.2800870432620792</v>
      </c>
      <c r="U706" s="30">
        <f t="shared" ca="1" si="209"/>
        <v>24.954825727744566</v>
      </c>
      <c r="V706" s="30">
        <f t="shared" ca="1" si="209"/>
        <v>16.715441100160902</v>
      </c>
      <c r="W706" s="30">
        <f t="shared" ca="1" si="209"/>
        <v>10.882371618140908</v>
      </c>
      <c r="X706" s="30">
        <f t="shared" ca="1" si="209"/>
        <v>27.297494423618858</v>
      </c>
      <c r="Y706" s="30">
        <f t="shared" ca="1" si="209"/>
        <v>0.74422257780936707</v>
      </c>
      <c r="Z706" s="30">
        <f t="shared" ca="1" si="209"/>
        <v>3.7673146772130739</v>
      </c>
      <c r="AA706" s="26">
        <v>698</v>
      </c>
      <c r="AB706" s="31">
        <f t="shared" ca="1" si="204"/>
        <v>34</v>
      </c>
      <c r="AC706" s="31">
        <f t="shared" ca="1" si="193"/>
        <v>2</v>
      </c>
      <c r="AD706" s="31">
        <f t="shared" ca="1" si="194"/>
        <v>9</v>
      </c>
      <c r="AE706" s="31">
        <f t="shared" ca="1" si="195"/>
        <v>10</v>
      </c>
      <c r="AF706" s="31">
        <f t="shared" ca="1" si="196"/>
        <v>65</v>
      </c>
      <c r="AG706" s="31">
        <f t="shared" ca="1" si="197"/>
        <v>5</v>
      </c>
      <c r="AH706" s="31">
        <f t="shared" ca="1" si="198"/>
        <v>46</v>
      </c>
      <c r="AI706" s="31">
        <f t="shared" ca="1" si="199"/>
        <v>23</v>
      </c>
      <c r="AJ706" s="31">
        <f t="shared" ca="1" si="200"/>
        <v>13</v>
      </c>
      <c r="AK706" s="31">
        <f t="shared" ca="1" si="201"/>
        <v>57</v>
      </c>
      <c r="AL706" s="31">
        <f t="shared" ca="1" si="202"/>
        <v>1</v>
      </c>
      <c r="AM706" s="31">
        <f t="shared" ca="1" si="203"/>
        <v>4</v>
      </c>
    </row>
    <row r="707" spans="14:39">
      <c r="N707" s="26">
        <v>699</v>
      </c>
      <c r="O707" s="30">
        <f t="shared" ca="1" si="209"/>
        <v>24.737508426565189</v>
      </c>
      <c r="P707" s="30">
        <f t="shared" ca="1" si="209"/>
        <v>16.545061075351487</v>
      </c>
      <c r="Q707" s="30">
        <f t="shared" ca="1" si="209"/>
        <v>25.453223300131786</v>
      </c>
      <c r="R707" s="30">
        <f t="shared" ca="1" si="209"/>
        <v>21.900419418591852</v>
      </c>
      <c r="S707" s="30">
        <f t="shared" ca="1" si="209"/>
        <v>9.4092314811015108</v>
      </c>
      <c r="T707" s="30">
        <f t="shared" ca="1" si="209"/>
        <v>15.698631072398481</v>
      </c>
      <c r="U707" s="30">
        <f t="shared" ca="1" si="209"/>
        <v>28.877399699445899</v>
      </c>
      <c r="V707" s="30">
        <f t="shared" ca="1" si="209"/>
        <v>7.4273303368707468</v>
      </c>
      <c r="W707" s="30">
        <f t="shared" ca="1" si="209"/>
        <v>32.611992063204823</v>
      </c>
      <c r="X707" s="30">
        <f t="shared" ca="1" si="209"/>
        <v>12.180905351057035</v>
      </c>
      <c r="Y707" s="30">
        <f t="shared" ca="1" si="209"/>
        <v>30.769149936035699</v>
      </c>
      <c r="Z707" s="30">
        <f t="shared" ca="1" si="209"/>
        <v>19.087901228934019</v>
      </c>
      <c r="AA707" s="26">
        <v>699</v>
      </c>
      <c r="AB707" s="31">
        <f t="shared" ca="1" si="204"/>
        <v>45</v>
      </c>
      <c r="AC707" s="31">
        <f t="shared" ca="1" si="193"/>
        <v>23</v>
      </c>
      <c r="AD707" s="31">
        <f t="shared" ca="1" si="194"/>
        <v>48</v>
      </c>
      <c r="AE707" s="31">
        <f t="shared" ca="1" si="195"/>
        <v>36</v>
      </c>
      <c r="AF707" s="31">
        <f t="shared" ca="1" si="196"/>
        <v>11</v>
      </c>
      <c r="AG707" s="31">
        <f t="shared" ca="1" si="197"/>
        <v>21</v>
      </c>
      <c r="AH707" s="31">
        <f t="shared" ca="1" si="198"/>
        <v>67</v>
      </c>
      <c r="AI707" s="31">
        <f t="shared" ca="1" si="199"/>
        <v>9</v>
      </c>
      <c r="AJ707" s="31">
        <f t="shared" ca="1" si="200"/>
        <v>126</v>
      </c>
      <c r="AK707" s="31">
        <f t="shared" ca="1" si="201"/>
        <v>15</v>
      </c>
      <c r="AL707" s="31">
        <f t="shared" ca="1" si="202"/>
        <v>85</v>
      </c>
      <c r="AM707" s="31">
        <f t="shared" ca="1" si="203"/>
        <v>28</v>
      </c>
    </row>
    <row r="708" spans="14:39">
      <c r="N708" s="26">
        <v>700</v>
      </c>
      <c r="O708" s="30">
        <f t="shared" ca="1" si="209"/>
        <v>6.2055245607422211</v>
      </c>
      <c r="P708" s="30">
        <f t="shared" ca="1" si="209"/>
        <v>4.0477497762968868</v>
      </c>
      <c r="Q708" s="30">
        <f t="shared" ca="1" si="209"/>
        <v>31.415942603895889</v>
      </c>
      <c r="R708" s="30">
        <f t="shared" ca="1" si="209"/>
        <v>12.003764448092461</v>
      </c>
      <c r="S708" s="30">
        <f t="shared" ca="1" si="209"/>
        <v>25.945366846316436</v>
      </c>
      <c r="T708" s="30">
        <f t="shared" ca="1" si="209"/>
        <v>20.973825686875184</v>
      </c>
      <c r="U708" s="30">
        <f t="shared" ca="1" si="209"/>
        <v>29.155572354677822</v>
      </c>
      <c r="V708" s="30">
        <f t="shared" ca="1" si="209"/>
        <v>0.52611357016651061</v>
      </c>
      <c r="W708" s="30">
        <f t="shared" ca="1" si="209"/>
        <v>15.978665100757318</v>
      </c>
      <c r="X708" s="30">
        <f t="shared" ca="1" si="209"/>
        <v>24.300356708131666</v>
      </c>
      <c r="Y708" s="30">
        <f t="shared" ca="1" si="209"/>
        <v>0.82156596020999328</v>
      </c>
      <c r="Z708" s="30">
        <f t="shared" ca="1" si="209"/>
        <v>8.1925665634892493</v>
      </c>
      <c r="AA708" s="26">
        <v>700</v>
      </c>
      <c r="AB708" s="31">
        <f t="shared" ca="1" si="204"/>
        <v>7</v>
      </c>
      <c r="AC708" s="31">
        <f t="shared" ca="1" si="193"/>
        <v>5</v>
      </c>
      <c r="AD708" s="31">
        <f t="shared" ca="1" si="194"/>
        <v>94</v>
      </c>
      <c r="AE708" s="31">
        <f t="shared" ca="1" si="195"/>
        <v>15</v>
      </c>
      <c r="AF708" s="31">
        <f t="shared" ca="1" si="196"/>
        <v>50</v>
      </c>
      <c r="AG708" s="31">
        <f t="shared" ca="1" si="197"/>
        <v>33</v>
      </c>
      <c r="AH708" s="31">
        <f t="shared" ca="1" si="198"/>
        <v>69</v>
      </c>
      <c r="AI708" s="31">
        <f t="shared" ca="1" si="199"/>
        <v>1</v>
      </c>
      <c r="AJ708" s="31">
        <f t="shared" ca="1" si="200"/>
        <v>22</v>
      </c>
      <c r="AK708" s="31">
        <f t="shared" ca="1" si="201"/>
        <v>43</v>
      </c>
      <c r="AL708" s="31">
        <f t="shared" ca="1" si="202"/>
        <v>1</v>
      </c>
      <c r="AM708" s="31">
        <f t="shared" ca="1" si="203"/>
        <v>10</v>
      </c>
    </row>
    <row r="709" spans="14:39">
      <c r="N709" s="26">
        <v>701</v>
      </c>
      <c r="O709" s="30">
        <f t="shared" ref="O709:Z718" ca="1" si="210">RAND()*sumweights</f>
        <v>25.068068948729731</v>
      </c>
      <c r="P709" s="30">
        <f t="shared" ca="1" si="210"/>
        <v>3.6915429612319234E-3</v>
      </c>
      <c r="Q709" s="30">
        <f t="shared" ca="1" si="210"/>
        <v>1.0510700879163402</v>
      </c>
      <c r="R709" s="30">
        <f t="shared" ca="1" si="210"/>
        <v>17.893913413035634</v>
      </c>
      <c r="S709" s="30">
        <f t="shared" ca="1" si="210"/>
        <v>31.708295239712747</v>
      </c>
      <c r="T709" s="30">
        <f t="shared" ca="1" si="210"/>
        <v>32.945474471165234</v>
      </c>
      <c r="U709" s="30">
        <f t="shared" ca="1" si="210"/>
        <v>11.181936254874479</v>
      </c>
      <c r="V709" s="30">
        <f t="shared" ca="1" si="210"/>
        <v>28.986406861579969</v>
      </c>
      <c r="W709" s="30">
        <f t="shared" ca="1" si="210"/>
        <v>20.513553365461007</v>
      </c>
      <c r="X709" s="30">
        <f t="shared" ca="1" si="210"/>
        <v>16.476946316314585</v>
      </c>
      <c r="Y709" s="30">
        <f t="shared" ca="1" si="210"/>
        <v>4.5083795116520369</v>
      </c>
      <c r="Z709" s="30">
        <f t="shared" ca="1" si="210"/>
        <v>19.031173113284002</v>
      </c>
      <c r="AA709" s="26">
        <v>701</v>
      </c>
      <c r="AB709" s="31">
        <f t="shared" ca="1" si="204"/>
        <v>46</v>
      </c>
      <c r="AC709" s="31">
        <f t="shared" ca="1" si="193"/>
        <v>1</v>
      </c>
      <c r="AD709" s="31">
        <f t="shared" ca="1" si="194"/>
        <v>2</v>
      </c>
      <c r="AE709" s="31">
        <f t="shared" ca="1" si="195"/>
        <v>26</v>
      </c>
      <c r="AF709" s="31">
        <f t="shared" ca="1" si="196"/>
        <v>100</v>
      </c>
      <c r="AG709" s="31">
        <f t="shared" ca="1" si="197"/>
        <v>147</v>
      </c>
      <c r="AH709" s="31">
        <f t="shared" ca="1" si="198"/>
        <v>14</v>
      </c>
      <c r="AI709" s="31">
        <f t="shared" ca="1" si="199"/>
        <v>67</v>
      </c>
      <c r="AJ709" s="31">
        <f t="shared" ca="1" si="200"/>
        <v>32</v>
      </c>
      <c r="AK709" s="31">
        <f t="shared" ca="1" si="201"/>
        <v>23</v>
      </c>
      <c r="AL709" s="31">
        <f t="shared" ca="1" si="202"/>
        <v>5</v>
      </c>
      <c r="AM709" s="31">
        <f t="shared" ca="1" si="203"/>
        <v>28</v>
      </c>
    </row>
    <row r="710" spans="14:39">
      <c r="N710" s="26">
        <v>702</v>
      </c>
      <c r="O710" s="30">
        <f t="shared" ca="1" si="210"/>
        <v>13.43514442415632</v>
      </c>
      <c r="P710" s="30">
        <f t="shared" ca="1" si="210"/>
        <v>4.7253683549680865</v>
      </c>
      <c r="Q710" s="30">
        <f t="shared" ca="1" si="210"/>
        <v>5.0086022982510983</v>
      </c>
      <c r="R710" s="30">
        <f t="shared" ca="1" si="210"/>
        <v>12.510461206203038</v>
      </c>
      <c r="S710" s="30">
        <f t="shared" ca="1" si="210"/>
        <v>7.158823047615555</v>
      </c>
      <c r="T710" s="30">
        <f t="shared" ca="1" si="210"/>
        <v>32.683867392601876</v>
      </c>
      <c r="U710" s="30">
        <f t="shared" ca="1" si="210"/>
        <v>12.833323191228958</v>
      </c>
      <c r="V710" s="30">
        <f t="shared" ca="1" si="210"/>
        <v>10.422802794529872</v>
      </c>
      <c r="W710" s="30">
        <f t="shared" ca="1" si="210"/>
        <v>27.525837036289236</v>
      </c>
      <c r="X710" s="30">
        <f t="shared" ca="1" si="210"/>
        <v>22.8989368311615</v>
      </c>
      <c r="Y710" s="30">
        <f t="shared" ca="1" si="210"/>
        <v>21.472287997554812</v>
      </c>
      <c r="Z710" s="30">
        <f t="shared" ca="1" si="210"/>
        <v>6.9640737175279943</v>
      </c>
      <c r="AA710" s="26">
        <v>702</v>
      </c>
      <c r="AB710" s="31">
        <f t="shared" ca="1" si="204"/>
        <v>17</v>
      </c>
      <c r="AC710" s="31">
        <f t="shared" ca="1" si="193"/>
        <v>6</v>
      </c>
      <c r="AD710" s="31">
        <f t="shared" ca="1" si="194"/>
        <v>6</v>
      </c>
      <c r="AE710" s="31">
        <f t="shared" ca="1" si="195"/>
        <v>16</v>
      </c>
      <c r="AF710" s="31">
        <f t="shared" ca="1" si="196"/>
        <v>8</v>
      </c>
      <c r="AG710" s="31">
        <f t="shared" ca="1" si="197"/>
        <v>130</v>
      </c>
      <c r="AH710" s="31">
        <f t="shared" ca="1" si="198"/>
        <v>16</v>
      </c>
      <c r="AI710" s="31">
        <f t="shared" ca="1" si="199"/>
        <v>13</v>
      </c>
      <c r="AJ710" s="31">
        <f t="shared" ca="1" si="200"/>
        <v>58</v>
      </c>
      <c r="AK710" s="31">
        <f t="shared" ca="1" si="201"/>
        <v>39</v>
      </c>
      <c r="AL710" s="31">
        <f t="shared" ca="1" si="202"/>
        <v>34</v>
      </c>
      <c r="AM710" s="31">
        <f t="shared" ca="1" si="203"/>
        <v>8</v>
      </c>
    </row>
    <row r="711" spans="14:39">
      <c r="N711" s="26">
        <v>703</v>
      </c>
      <c r="O711" s="30">
        <f t="shared" ca="1" si="210"/>
        <v>10.710944760141331</v>
      </c>
      <c r="P711" s="30">
        <f t="shared" ca="1" si="210"/>
        <v>16.483679784400049</v>
      </c>
      <c r="Q711" s="30">
        <f t="shared" ca="1" si="210"/>
        <v>15.245548285234783</v>
      </c>
      <c r="R711" s="30">
        <f t="shared" ca="1" si="210"/>
        <v>27.270494922293004</v>
      </c>
      <c r="S711" s="30">
        <f t="shared" ca="1" si="210"/>
        <v>31.937930500451913</v>
      </c>
      <c r="T711" s="30">
        <f t="shared" ca="1" si="210"/>
        <v>30.340770341261834</v>
      </c>
      <c r="U711" s="30">
        <f t="shared" ca="1" si="210"/>
        <v>30.954786894452631</v>
      </c>
      <c r="V711" s="30">
        <f t="shared" ca="1" si="210"/>
        <v>32.666496814597146</v>
      </c>
      <c r="W711" s="30">
        <f t="shared" ca="1" si="210"/>
        <v>25.169282576230326</v>
      </c>
      <c r="X711" s="30">
        <f t="shared" ca="1" si="210"/>
        <v>20.543210661342727</v>
      </c>
      <c r="Y711" s="30">
        <f t="shared" ca="1" si="210"/>
        <v>9.2053887204304985</v>
      </c>
      <c r="Z711" s="30">
        <f t="shared" ca="1" si="210"/>
        <v>9.3053296265081116</v>
      </c>
      <c r="AA711" s="26">
        <v>703</v>
      </c>
      <c r="AB711" s="31">
        <f t="shared" ca="1" si="204"/>
        <v>13</v>
      </c>
      <c r="AC711" s="31">
        <f t="shared" ca="1" si="193"/>
        <v>23</v>
      </c>
      <c r="AD711" s="31">
        <f t="shared" ca="1" si="194"/>
        <v>21</v>
      </c>
      <c r="AE711" s="31">
        <f t="shared" ca="1" si="195"/>
        <v>56</v>
      </c>
      <c r="AF711" s="31">
        <f t="shared" ca="1" si="196"/>
        <v>105</v>
      </c>
      <c r="AG711" s="31">
        <f t="shared" ca="1" si="197"/>
        <v>80</v>
      </c>
      <c r="AH711" s="31">
        <f t="shared" ca="1" si="198"/>
        <v>87</v>
      </c>
      <c r="AI711" s="31">
        <f t="shared" ca="1" si="199"/>
        <v>129</v>
      </c>
      <c r="AJ711" s="31">
        <f t="shared" ca="1" si="200"/>
        <v>47</v>
      </c>
      <c r="AK711" s="31">
        <f t="shared" ca="1" si="201"/>
        <v>32</v>
      </c>
      <c r="AL711" s="31">
        <f t="shared" ca="1" si="202"/>
        <v>11</v>
      </c>
      <c r="AM711" s="31">
        <f t="shared" ca="1" si="203"/>
        <v>11</v>
      </c>
    </row>
    <row r="712" spans="14:39">
      <c r="N712" s="26">
        <v>704</v>
      </c>
      <c r="O712" s="30">
        <f t="shared" ca="1" si="210"/>
        <v>25.077845994038633</v>
      </c>
      <c r="P712" s="30">
        <f t="shared" ca="1" si="210"/>
        <v>19.370260261572671</v>
      </c>
      <c r="Q712" s="30">
        <f t="shared" ca="1" si="210"/>
        <v>24.76252358829062</v>
      </c>
      <c r="R712" s="30">
        <f t="shared" ca="1" si="210"/>
        <v>10.036376375901138</v>
      </c>
      <c r="S712" s="30">
        <f t="shared" ca="1" si="210"/>
        <v>16.493234870470282</v>
      </c>
      <c r="T712" s="30">
        <f t="shared" ca="1" si="210"/>
        <v>8.9394238937590575</v>
      </c>
      <c r="U712" s="30">
        <f t="shared" ca="1" si="210"/>
        <v>19.032320877701491</v>
      </c>
      <c r="V712" s="30">
        <f t="shared" ca="1" si="210"/>
        <v>27.233785318797576</v>
      </c>
      <c r="W712" s="30">
        <f t="shared" ca="1" si="210"/>
        <v>8.1655812187593941</v>
      </c>
      <c r="X712" s="30">
        <f t="shared" ca="1" si="210"/>
        <v>16.571226607240856</v>
      </c>
      <c r="Y712" s="30">
        <f t="shared" ca="1" si="210"/>
        <v>26.829566256867693</v>
      </c>
      <c r="Z712" s="30">
        <f t="shared" ca="1" si="210"/>
        <v>20.030405054374999</v>
      </c>
      <c r="AA712" s="26">
        <v>704</v>
      </c>
      <c r="AB712" s="31">
        <f t="shared" ca="1" si="204"/>
        <v>46</v>
      </c>
      <c r="AC712" s="31">
        <f t="shared" ca="1" si="193"/>
        <v>29</v>
      </c>
      <c r="AD712" s="31">
        <f t="shared" ca="1" si="194"/>
        <v>45</v>
      </c>
      <c r="AE712" s="31">
        <f t="shared" ca="1" si="195"/>
        <v>12</v>
      </c>
      <c r="AF712" s="31">
        <f t="shared" ca="1" si="196"/>
        <v>23</v>
      </c>
      <c r="AG712" s="31">
        <f t="shared" ca="1" si="197"/>
        <v>11</v>
      </c>
      <c r="AH712" s="31">
        <f t="shared" ca="1" si="198"/>
        <v>28</v>
      </c>
      <c r="AI712" s="31">
        <f t="shared" ca="1" si="199"/>
        <v>56</v>
      </c>
      <c r="AJ712" s="31">
        <f t="shared" ca="1" si="200"/>
        <v>10</v>
      </c>
      <c r="AK712" s="31">
        <f t="shared" ca="1" si="201"/>
        <v>23</v>
      </c>
      <c r="AL712" s="31">
        <f t="shared" ca="1" si="202"/>
        <v>54</v>
      </c>
      <c r="AM712" s="31">
        <f t="shared" ca="1" si="203"/>
        <v>31</v>
      </c>
    </row>
    <row r="713" spans="14:39">
      <c r="N713" s="26">
        <v>705</v>
      </c>
      <c r="O713" s="30">
        <f t="shared" ca="1" si="210"/>
        <v>5.6146393131922814</v>
      </c>
      <c r="P713" s="30">
        <f t="shared" ca="1" si="210"/>
        <v>23.60547780923838</v>
      </c>
      <c r="Q713" s="30">
        <f t="shared" ca="1" si="210"/>
        <v>31.16278234179801</v>
      </c>
      <c r="R713" s="30">
        <f t="shared" ca="1" si="210"/>
        <v>28.826959661698606</v>
      </c>
      <c r="S713" s="30">
        <f t="shared" ca="1" si="210"/>
        <v>14.879554640692666</v>
      </c>
      <c r="T713" s="30">
        <f t="shared" ca="1" si="210"/>
        <v>11.368881910120773</v>
      </c>
      <c r="U713" s="30">
        <f t="shared" ca="1" si="210"/>
        <v>6.2959001397437309</v>
      </c>
      <c r="V713" s="30">
        <f t="shared" ca="1" si="210"/>
        <v>14.786896465472683</v>
      </c>
      <c r="W713" s="30">
        <f t="shared" ca="1" si="210"/>
        <v>7.6795883892532375</v>
      </c>
      <c r="X713" s="30">
        <f t="shared" ca="1" si="210"/>
        <v>3.2508282814611418</v>
      </c>
      <c r="Y713" s="30">
        <f t="shared" ca="1" si="210"/>
        <v>16.976859583139497</v>
      </c>
      <c r="Z713" s="30">
        <f t="shared" ca="1" si="210"/>
        <v>25.999786287663387</v>
      </c>
      <c r="AA713" s="26">
        <v>705</v>
      </c>
      <c r="AB713" s="31">
        <f t="shared" ca="1" si="204"/>
        <v>7</v>
      </c>
      <c r="AC713" s="31">
        <f t="shared" ref="AC713:AC776" ca="1" si="211">MATCH(P713,cum_wt,1)</f>
        <v>41</v>
      </c>
      <c r="AD713" s="31">
        <f t="shared" ref="AD713:AD776" ca="1" si="212">MATCH(Q713,cum_wt,1)</f>
        <v>90</v>
      </c>
      <c r="AE713" s="31">
        <f t="shared" ref="AE713:AE776" ca="1" si="213">MATCH(R713,cum_wt,1)</f>
        <v>66</v>
      </c>
      <c r="AF713" s="31">
        <f t="shared" ref="AF713:AF776" ca="1" si="214">MATCH(S713,cum_wt,1)</f>
        <v>20</v>
      </c>
      <c r="AG713" s="31">
        <f t="shared" ref="AG713:AG776" ca="1" si="215">MATCH(T713,cum_wt,1)</f>
        <v>14</v>
      </c>
      <c r="AH713" s="31">
        <f t="shared" ref="AH713:AH776" ca="1" si="216">MATCH(U713,cum_wt,1)</f>
        <v>7</v>
      </c>
      <c r="AI713" s="31">
        <f t="shared" ref="AI713:AI776" ca="1" si="217">MATCH(V713,cum_wt,1)</f>
        <v>20</v>
      </c>
      <c r="AJ713" s="31">
        <f t="shared" ref="AJ713:AJ776" ca="1" si="218">MATCH(W713,cum_wt,1)</f>
        <v>9</v>
      </c>
      <c r="AK713" s="31">
        <f t="shared" ref="AK713:AK776" ca="1" si="219">MATCH(X713,cum_wt,1)</f>
        <v>4</v>
      </c>
      <c r="AL713" s="31">
        <f t="shared" ref="AL713:AL776" ca="1" si="220">MATCH(Y713,cum_wt,1)</f>
        <v>24</v>
      </c>
      <c r="AM713" s="31">
        <f t="shared" ref="AM713:AM776" ca="1" si="221">MATCH(Z713,cum_wt,1)</f>
        <v>50</v>
      </c>
    </row>
    <row r="714" spans="14:39">
      <c r="N714" s="26">
        <v>706</v>
      </c>
      <c r="O714" s="30">
        <f t="shared" ca="1" si="210"/>
        <v>31.810966319739983</v>
      </c>
      <c r="P714" s="30">
        <f t="shared" ca="1" si="210"/>
        <v>7.7464154608259363</v>
      </c>
      <c r="Q714" s="30">
        <f t="shared" ca="1" si="210"/>
        <v>15.820084889393851</v>
      </c>
      <c r="R714" s="30">
        <f t="shared" ca="1" si="210"/>
        <v>31.035210830384031</v>
      </c>
      <c r="S714" s="30">
        <f t="shared" ca="1" si="210"/>
        <v>13.906346807176105</v>
      </c>
      <c r="T714" s="30">
        <f t="shared" ca="1" si="210"/>
        <v>28.556378075794953</v>
      </c>
      <c r="U714" s="30">
        <f t="shared" ca="1" si="210"/>
        <v>9.3367939819428045</v>
      </c>
      <c r="V714" s="30">
        <f t="shared" ca="1" si="210"/>
        <v>0.59810213468915563</v>
      </c>
      <c r="W714" s="30">
        <f t="shared" ca="1" si="210"/>
        <v>3.3387377970723309</v>
      </c>
      <c r="X714" s="30">
        <f t="shared" ca="1" si="210"/>
        <v>25.753382783208099</v>
      </c>
      <c r="Y714" s="30">
        <f t="shared" ca="1" si="210"/>
        <v>25.094383045541921</v>
      </c>
      <c r="Z714" s="30">
        <f t="shared" ca="1" si="210"/>
        <v>23.073107098593049</v>
      </c>
      <c r="AA714" s="26">
        <v>706</v>
      </c>
      <c r="AB714" s="31">
        <f t="shared" ref="AB714:AB777" ca="1" si="222">MATCH(O714,cum_wt,1)</f>
        <v>102</v>
      </c>
      <c r="AC714" s="31">
        <f t="shared" ca="1" si="211"/>
        <v>9</v>
      </c>
      <c r="AD714" s="31">
        <f t="shared" ca="1" si="212"/>
        <v>22</v>
      </c>
      <c r="AE714" s="31">
        <f t="shared" ca="1" si="213"/>
        <v>88</v>
      </c>
      <c r="AF714" s="31">
        <f t="shared" ca="1" si="214"/>
        <v>18</v>
      </c>
      <c r="AG714" s="31">
        <f t="shared" ca="1" si="215"/>
        <v>64</v>
      </c>
      <c r="AH714" s="31">
        <f t="shared" ca="1" si="216"/>
        <v>11</v>
      </c>
      <c r="AI714" s="31">
        <f t="shared" ca="1" si="217"/>
        <v>1</v>
      </c>
      <c r="AJ714" s="31">
        <f t="shared" ca="1" si="218"/>
        <v>4</v>
      </c>
      <c r="AK714" s="31">
        <f t="shared" ca="1" si="219"/>
        <v>49</v>
      </c>
      <c r="AL714" s="31">
        <f t="shared" ca="1" si="220"/>
        <v>46</v>
      </c>
      <c r="AM714" s="31">
        <f t="shared" ca="1" si="221"/>
        <v>39</v>
      </c>
    </row>
    <row r="715" spans="14:39">
      <c r="N715" s="26">
        <v>707</v>
      </c>
      <c r="O715" s="30">
        <f t="shared" ca="1" si="210"/>
        <v>29.94525323565205</v>
      </c>
      <c r="P715" s="30">
        <f t="shared" ca="1" si="210"/>
        <v>6.7045624795860004</v>
      </c>
      <c r="Q715" s="30">
        <f t="shared" ca="1" si="210"/>
        <v>16.453140510010339</v>
      </c>
      <c r="R715" s="30">
        <f t="shared" ca="1" si="210"/>
        <v>28.880211715506825</v>
      </c>
      <c r="S715" s="30">
        <f t="shared" ca="1" si="210"/>
        <v>32.955621251617316</v>
      </c>
      <c r="T715" s="30">
        <f t="shared" ca="1" si="210"/>
        <v>28.262587242303542</v>
      </c>
      <c r="U715" s="30">
        <f t="shared" ca="1" si="210"/>
        <v>26.671156442427034</v>
      </c>
      <c r="V715" s="30">
        <f t="shared" ca="1" si="210"/>
        <v>15.697054058149725</v>
      </c>
      <c r="W715" s="30">
        <f t="shared" ca="1" si="210"/>
        <v>15.527177347252488</v>
      </c>
      <c r="X715" s="30">
        <f t="shared" ca="1" si="210"/>
        <v>12.023392016191925</v>
      </c>
      <c r="Y715" s="30">
        <f t="shared" ca="1" si="210"/>
        <v>4.3937464975455836</v>
      </c>
      <c r="Z715" s="30">
        <f t="shared" ca="1" si="210"/>
        <v>1.8975553391624045</v>
      </c>
      <c r="AA715" s="26">
        <v>707</v>
      </c>
      <c r="AB715" s="31">
        <f t="shared" ca="1" si="222"/>
        <v>76</v>
      </c>
      <c r="AC715" s="31">
        <f t="shared" ca="1" si="211"/>
        <v>8</v>
      </c>
      <c r="AD715" s="31">
        <f t="shared" ca="1" si="212"/>
        <v>23</v>
      </c>
      <c r="AE715" s="31">
        <f t="shared" ca="1" si="213"/>
        <v>67</v>
      </c>
      <c r="AF715" s="31">
        <f t="shared" ca="1" si="214"/>
        <v>148</v>
      </c>
      <c r="AG715" s="31">
        <f t="shared" ca="1" si="215"/>
        <v>62</v>
      </c>
      <c r="AH715" s="31">
        <f t="shared" ca="1" si="216"/>
        <v>53</v>
      </c>
      <c r="AI715" s="31">
        <f t="shared" ca="1" si="217"/>
        <v>21</v>
      </c>
      <c r="AJ715" s="31">
        <f t="shared" ca="1" si="218"/>
        <v>21</v>
      </c>
      <c r="AK715" s="31">
        <f t="shared" ca="1" si="219"/>
        <v>15</v>
      </c>
      <c r="AL715" s="31">
        <f t="shared" ca="1" si="220"/>
        <v>5</v>
      </c>
      <c r="AM715" s="31">
        <f t="shared" ca="1" si="221"/>
        <v>2</v>
      </c>
    </row>
    <row r="716" spans="14:39">
      <c r="N716" s="26">
        <v>708</v>
      </c>
      <c r="O716" s="30">
        <f t="shared" ca="1" si="210"/>
        <v>21.669576320408567</v>
      </c>
      <c r="P716" s="30">
        <f t="shared" ca="1" si="210"/>
        <v>1.9324758437232548</v>
      </c>
      <c r="Q716" s="30">
        <f t="shared" ca="1" si="210"/>
        <v>13.403040126903013</v>
      </c>
      <c r="R716" s="30">
        <f t="shared" ca="1" si="210"/>
        <v>25.357505290268985</v>
      </c>
      <c r="S716" s="30">
        <f t="shared" ca="1" si="210"/>
        <v>23.870988416971372</v>
      </c>
      <c r="T716" s="30">
        <f t="shared" ca="1" si="210"/>
        <v>27.754068967895673</v>
      </c>
      <c r="U716" s="30">
        <f t="shared" ca="1" si="210"/>
        <v>12.039051781224204</v>
      </c>
      <c r="V716" s="30">
        <f t="shared" ca="1" si="210"/>
        <v>29.70671044909075</v>
      </c>
      <c r="W716" s="30">
        <f t="shared" ca="1" si="210"/>
        <v>4.4242419179668113</v>
      </c>
      <c r="X716" s="30">
        <f t="shared" ca="1" si="210"/>
        <v>18.489678343399969</v>
      </c>
      <c r="Y716" s="30">
        <f t="shared" ca="1" si="210"/>
        <v>12.962049352881785</v>
      </c>
      <c r="Z716" s="30">
        <f t="shared" ca="1" si="210"/>
        <v>26.336288415571492</v>
      </c>
      <c r="AA716" s="26">
        <v>708</v>
      </c>
      <c r="AB716" s="31">
        <f t="shared" ca="1" si="222"/>
        <v>35</v>
      </c>
      <c r="AC716" s="31">
        <f t="shared" ca="1" si="211"/>
        <v>2</v>
      </c>
      <c r="AD716" s="31">
        <f t="shared" ca="1" si="212"/>
        <v>17</v>
      </c>
      <c r="AE716" s="31">
        <f t="shared" ca="1" si="213"/>
        <v>47</v>
      </c>
      <c r="AF716" s="31">
        <f t="shared" ca="1" si="214"/>
        <v>42</v>
      </c>
      <c r="AG716" s="31">
        <f t="shared" ca="1" si="215"/>
        <v>59</v>
      </c>
      <c r="AH716" s="31">
        <f t="shared" ca="1" si="216"/>
        <v>15</v>
      </c>
      <c r="AI716" s="31">
        <f t="shared" ca="1" si="217"/>
        <v>73</v>
      </c>
      <c r="AJ716" s="31">
        <f t="shared" ca="1" si="218"/>
        <v>5</v>
      </c>
      <c r="AK716" s="31">
        <f t="shared" ca="1" si="219"/>
        <v>27</v>
      </c>
      <c r="AL716" s="31">
        <f t="shared" ca="1" si="220"/>
        <v>17</v>
      </c>
      <c r="AM716" s="31">
        <f t="shared" ca="1" si="221"/>
        <v>52</v>
      </c>
    </row>
    <row r="717" spans="14:39">
      <c r="N717" s="26">
        <v>709</v>
      </c>
      <c r="O717" s="30">
        <f t="shared" ca="1" si="210"/>
        <v>23.102204794697954</v>
      </c>
      <c r="P717" s="30">
        <f t="shared" ca="1" si="210"/>
        <v>22.389222501908318</v>
      </c>
      <c r="Q717" s="30">
        <f t="shared" ca="1" si="210"/>
        <v>27.791288133733755</v>
      </c>
      <c r="R717" s="30">
        <f t="shared" ca="1" si="210"/>
        <v>3.2316324926429063</v>
      </c>
      <c r="S717" s="30">
        <f t="shared" ca="1" si="210"/>
        <v>2.1059758739600123</v>
      </c>
      <c r="T717" s="30">
        <f t="shared" ca="1" si="210"/>
        <v>6.6880317010478763</v>
      </c>
      <c r="U717" s="30">
        <f t="shared" ca="1" si="210"/>
        <v>16.579403509574128</v>
      </c>
      <c r="V717" s="30">
        <f t="shared" ca="1" si="210"/>
        <v>17.296888655563478</v>
      </c>
      <c r="W717" s="30">
        <f t="shared" ca="1" si="210"/>
        <v>11.401619883431655</v>
      </c>
      <c r="X717" s="30">
        <f t="shared" ca="1" si="210"/>
        <v>12.053129457595043</v>
      </c>
      <c r="Y717" s="30">
        <f t="shared" ca="1" si="210"/>
        <v>5.9217170078089598</v>
      </c>
      <c r="Z717" s="30">
        <f t="shared" ca="1" si="210"/>
        <v>28.961855232414376</v>
      </c>
      <c r="AA717" s="26">
        <v>709</v>
      </c>
      <c r="AB717" s="31">
        <f t="shared" ca="1" si="222"/>
        <v>39</v>
      </c>
      <c r="AC717" s="31">
        <f t="shared" ca="1" si="211"/>
        <v>37</v>
      </c>
      <c r="AD717" s="31">
        <f t="shared" ca="1" si="212"/>
        <v>59</v>
      </c>
      <c r="AE717" s="31">
        <f t="shared" ca="1" si="213"/>
        <v>4</v>
      </c>
      <c r="AF717" s="31">
        <f t="shared" ca="1" si="214"/>
        <v>3</v>
      </c>
      <c r="AG717" s="31">
        <f t="shared" ca="1" si="215"/>
        <v>8</v>
      </c>
      <c r="AH717" s="31">
        <f t="shared" ca="1" si="216"/>
        <v>23</v>
      </c>
      <c r="AI717" s="31">
        <f t="shared" ca="1" si="217"/>
        <v>25</v>
      </c>
      <c r="AJ717" s="31">
        <f t="shared" ca="1" si="218"/>
        <v>14</v>
      </c>
      <c r="AK717" s="31">
        <f t="shared" ca="1" si="219"/>
        <v>15</v>
      </c>
      <c r="AL717" s="31">
        <f t="shared" ca="1" si="220"/>
        <v>7</v>
      </c>
      <c r="AM717" s="31">
        <f t="shared" ca="1" si="221"/>
        <v>67</v>
      </c>
    </row>
    <row r="718" spans="14:39">
      <c r="N718" s="26">
        <v>710</v>
      </c>
      <c r="O718" s="30">
        <f t="shared" ca="1" si="210"/>
        <v>20.218776612647542</v>
      </c>
      <c r="P718" s="30">
        <f t="shared" ca="1" si="210"/>
        <v>19.977481106421884</v>
      </c>
      <c r="Q718" s="30">
        <f t="shared" ca="1" si="210"/>
        <v>23.993426245573673</v>
      </c>
      <c r="R718" s="30">
        <f t="shared" ca="1" si="210"/>
        <v>29.758861495805995</v>
      </c>
      <c r="S718" s="30">
        <f t="shared" ca="1" si="210"/>
        <v>11.102852885258489</v>
      </c>
      <c r="T718" s="30">
        <f t="shared" ca="1" si="210"/>
        <v>32.745981346271613</v>
      </c>
      <c r="U718" s="30">
        <f t="shared" ca="1" si="210"/>
        <v>19.15716667991471</v>
      </c>
      <c r="V718" s="30">
        <f t="shared" ca="1" si="210"/>
        <v>6.5032332916425863</v>
      </c>
      <c r="W718" s="30">
        <f t="shared" ca="1" si="210"/>
        <v>8.4715817471287647</v>
      </c>
      <c r="X718" s="30">
        <f t="shared" ca="1" si="210"/>
        <v>21.580978320805016</v>
      </c>
      <c r="Y718" s="30">
        <f t="shared" ca="1" si="210"/>
        <v>30.747280669217908</v>
      </c>
      <c r="Z718" s="30">
        <f t="shared" ca="1" si="210"/>
        <v>25.325060443018746</v>
      </c>
      <c r="AA718" s="26">
        <v>710</v>
      </c>
      <c r="AB718" s="31">
        <f t="shared" ca="1" si="222"/>
        <v>31</v>
      </c>
      <c r="AC718" s="31">
        <f t="shared" ca="1" si="211"/>
        <v>31</v>
      </c>
      <c r="AD718" s="31">
        <f t="shared" ca="1" si="212"/>
        <v>42</v>
      </c>
      <c r="AE718" s="31">
        <f t="shared" ca="1" si="213"/>
        <v>74</v>
      </c>
      <c r="AF718" s="31">
        <f t="shared" ca="1" si="214"/>
        <v>14</v>
      </c>
      <c r="AG718" s="31">
        <f t="shared" ca="1" si="215"/>
        <v>133</v>
      </c>
      <c r="AH718" s="31">
        <f t="shared" ca="1" si="216"/>
        <v>29</v>
      </c>
      <c r="AI718" s="31">
        <f t="shared" ca="1" si="217"/>
        <v>8</v>
      </c>
      <c r="AJ718" s="31">
        <f t="shared" ca="1" si="218"/>
        <v>10</v>
      </c>
      <c r="AK718" s="31">
        <f t="shared" ca="1" si="219"/>
        <v>35</v>
      </c>
      <c r="AL718" s="31">
        <f t="shared" ca="1" si="220"/>
        <v>84</v>
      </c>
      <c r="AM718" s="31">
        <f t="shared" ca="1" si="221"/>
        <v>47</v>
      </c>
    </row>
    <row r="719" spans="14:39">
      <c r="N719" s="26">
        <v>711</v>
      </c>
      <c r="O719" s="30">
        <f t="shared" ref="O719:Z728" ca="1" si="223">RAND()*sumweights</f>
        <v>5.0982786390000303</v>
      </c>
      <c r="P719" s="30">
        <f t="shared" ca="1" si="223"/>
        <v>20.822485441875841</v>
      </c>
      <c r="Q719" s="30">
        <f t="shared" ca="1" si="223"/>
        <v>0.25621999519862865</v>
      </c>
      <c r="R719" s="30">
        <f t="shared" ca="1" si="223"/>
        <v>5.4605179722191757</v>
      </c>
      <c r="S719" s="30">
        <f t="shared" ca="1" si="223"/>
        <v>16.577523138033015</v>
      </c>
      <c r="T719" s="30">
        <f t="shared" ca="1" si="223"/>
        <v>12.958948763132122</v>
      </c>
      <c r="U719" s="30">
        <f t="shared" ca="1" si="223"/>
        <v>30.296897521824246</v>
      </c>
      <c r="V719" s="30">
        <f t="shared" ca="1" si="223"/>
        <v>21.694418736750265</v>
      </c>
      <c r="W719" s="30">
        <f t="shared" ca="1" si="223"/>
        <v>13.552408511629494</v>
      </c>
      <c r="X719" s="30">
        <f t="shared" ca="1" si="223"/>
        <v>27.201259681128434</v>
      </c>
      <c r="Y719" s="30">
        <f t="shared" ca="1" si="223"/>
        <v>18.287583451385441</v>
      </c>
      <c r="Z719" s="30">
        <f t="shared" ca="1" si="223"/>
        <v>27.042903580252791</v>
      </c>
      <c r="AA719" s="26">
        <v>711</v>
      </c>
      <c r="AB719" s="31">
        <f t="shared" ca="1" si="222"/>
        <v>6</v>
      </c>
      <c r="AC719" s="31">
        <f t="shared" ca="1" si="211"/>
        <v>33</v>
      </c>
      <c r="AD719" s="31">
        <f t="shared" ca="1" si="212"/>
        <v>1</v>
      </c>
      <c r="AE719" s="31">
        <f t="shared" ca="1" si="213"/>
        <v>6</v>
      </c>
      <c r="AF719" s="31">
        <f t="shared" ca="1" si="214"/>
        <v>23</v>
      </c>
      <c r="AG719" s="31">
        <f t="shared" ca="1" si="215"/>
        <v>17</v>
      </c>
      <c r="AH719" s="31">
        <f t="shared" ca="1" si="216"/>
        <v>79</v>
      </c>
      <c r="AI719" s="31">
        <f t="shared" ca="1" si="217"/>
        <v>35</v>
      </c>
      <c r="AJ719" s="31">
        <f t="shared" ca="1" si="218"/>
        <v>18</v>
      </c>
      <c r="AK719" s="31">
        <f t="shared" ca="1" si="219"/>
        <v>56</v>
      </c>
      <c r="AL719" s="31">
        <f t="shared" ca="1" si="220"/>
        <v>27</v>
      </c>
      <c r="AM719" s="31">
        <f t="shared" ca="1" si="221"/>
        <v>55</v>
      </c>
    </row>
    <row r="720" spans="14:39">
      <c r="N720" s="26">
        <v>712</v>
      </c>
      <c r="O720" s="30">
        <f t="shared" ca="1" si="223"/>
        <v>21.525985551589294</v>
      </c>
      <c r="P720" s="30">
        <f t="shared" ca="1" si="223"/>
        <v>5.9924578533270356</v>
      </c>
      <c r="Q720" s="30">
        <f t="shared" ca="1" si="223"/>
        <v>3.8596289141614948</v>
      </c>
      <c r="R720" s="30">
        <f t="shared" ca="1" si="223"/>
        <v>29.347242391714779</v>
      </c>
      <c r="S720" s="30">
        <f t="shared" ca="1" si="223"/>
        <v>10.282606927636653</v>
      </c>
      <c r="T720" s="30">
        <f t="shared" ca="1" si="223"/>
        <v>14.628116484542844</v>
      </c>
      <c r="U720" s="30">
        <f t="shared" ca="1" si="223"/>
        <v>0.82933031978831995</v>
      </c>
      <c r="V720" s="30">
        <f t="shared" ca="1" si="223"/>
        <v>19.193869645283364</v>
      </c>
      <c r="W720" s="30">
        <f t="shared" ca="1" si="223"/>
        <v>5.8762139655845793</v>
      </c>
      <c r="X720" s="30">
        <f t="shared" ca="1" si="223"/>
        <v>30.142309008101932</v>
      </c>
      <c r="Y720" s="30">
        <f t="shared" ca="1" si="223"/>
        <v>25.085428883394471</v>
      </c>
      <c r="Z720" s="30">
        <f t="shared" ca="1" si="223"/>
        <v>32.071702645570163</v>
      </c>
      <c r="AA720" s="26">
        <v>712</v>
      </c>
      <c r="AB720" s="31">
        <f t="shared" ca="1" si="222"/>
        <v>35</v>
      </c>
      <c r="AC720" s="31">
        <f t="shared" ca="1" si="211"/>
        <v>7</v>
      </c>
      <c r="AD720" s="31">
        <f t="shared" ca="1" si="212"/>
        <v>5</v>
      </c>
      <c r="AE720" s="31">
        <f t="shared" ca="1" si="213"/>
        <v>70</v>
      </c>
      <c r="AF720" s="31">
        <f t="shared" ca="1" si="214"/>
        <v>13</v>
      </c>
      <c r="AG720" s="31">
        <f t="shared" ca="1" si="215"/>
        <v>19</v>
      </c>
      <c r="AH720" s="31">
        <f t="shared" ca="1" si="216"/>
        <v>1</v>
      </c>
      <c r="AI720" s="31">
        <f t="shared" ca="1" si="217"/>
        <v>29</v>
      </c>
      <c r="AJ720" s="31">
        <f t="shared" ca="1" si="218"/>
        <v>7</v>
      </c>
      <c r="AK720" s="31">
        <f t="shared" ca="1" si="219"/>
        <v>78</v>
      </c>
      <c r="AL720" s="31">
        <f t="shared" ca="1" si="220"/>
        <v>46</v>
      </c>
      <c r="AM720" s="31">
        <f t="shared" ca="1" si="221"/>
        <v>108</v>
      </c>
    </row>
    <row r="721" spans="14:39">
      <c r="N721" s="26">
        <v>713</v>
      </c>
      <c r="O721" s="30">
        <f t="shared" ca="1" si="223"/>
        <v>10.5841748014918</v>
      </c>
      <c r="P721" s="30">
        <f t="shared" ca="1" si="223"/>
        <v>28.309053458746849</v>
      </c>
      <c r="Q721" s="30">
        <f t="shared" ca="1" si="223"/>
        <v>17.707127727265227</v>
      </c>
      <c r="R721" s="30">
        <f t="shared" ca="1" si="223"/>
        <v>29.483015773046986</v>
      </c>
      <c r="S721" s="30">
        <f t="shared" ca="1" si="223"/>
        <v>24.681078128892455</v>
      </c>
      <c r="T721" s="30">
        <f t="shared" ca="1" si="223"/>
        <v>29.232206492501998</v>
      </c>
      <c r="U721" s="30">
        <f t="shared" ca="1" si="223"/>
        <v>28.338608990830082</v>
      </c>
      <c r="V721" s="30">
        <f t="shared" ca="1" si="223"/>
        <v>30.638039658221182</v>
      </c>
      <c r="W721" s="30">
        <f t="shared" ca="1" si="223"/>
        <v>23.551421337740408</v>
      </c>
      <c r="X721" s="30">
        <f t="shared" ca="1" si="223"/>
        <v>26.092745565544934</v>
      </c>
      <c r="Y721" s="30">
        <f t="shared" ca="1" si="223"/>
        <v>7.0195674198924873</v>
      </c>
      <c r="Z721" s="30">
        <f t="shared" ca="1" si="223"/>
        <v>16.733944924833061</v>
      </c>
      <c r="AA721" s="26">
        <v>713</v>
      </c>
      <c r="AB721" s="31">
        <f t="shared" ca="1" si="222"/>
        <v>13</v>
      </c>
      <c r="AC721" s="31">
        <f t="shared" ca="1" si="211"/>
        <v>63</v>
      </c>
      <c r="AD721" s="31">
        <f t="shared" ca="1" si="212"/>
        <v>25</v>
      </c>
      <c r="AE721" s="31">
        <f t="shared" ca="1" si="213"/>
        <v>71</v>
      </c>
      <c r="AF721" s="31">
        <f t="shared" ca="1" si="214"/>
        <v>45</v>
      </c>
      <c r="AG721" s="31">
        <f t="shared" ca="1" si="215"/>
        <v>69</v>
      </c>
      <c r="AH721" s="31">
        <f t="shared" ca="1" si="216"/>
        <v>63</v>
      </c>
      <c r="AI721" s="31">
        <f t="shared" ca="1" si="217"/>
        <v>83</v>
      </c>
      <c r="AJ721" s="31">
        <f t="shared" ca="1" si="218"/>
        <v>41</v>
      </c>
      <c r="AK721" s="31">
        <f t="shared" ca="1" si="219"/>
        <v>51</v>
      </c>
      <c r="AL721" s="31">
        <f t="shared" ca="1" si="220"/>
        <v>8</v>
      </c>
      <c r="AM721" s="31">
        <f t="shared" ca="1" si="221"/>
        <v>23</v>
      </c>
    </row>
    <row r="722" spans="14:39">
      <c r="N722" s="26">
        <v>714</v>
      </c>
      <c r="O722" s="30">
        <f t="shared" ca="1" si="223"/>
        <v>11.617040075558448</v>
      </c>
      <c r="P722" s="30">
        <f t="shared" ca="1" si="223"/>
        <v>15.642767953739703</v>
      </c>
      <c r="Q722" s="30">
        <f t="shared" ca="1" si="223"/>
        <v>9.7070892300461917</v>
      </c>
      <c r="R722" s="30">
        <f t="shared" ca="1" si="223"/>
        <v>21.846504449966833</v>
      </c>
      <c r="S722" s="30">
        <f t="shared" ca="1" si="223"/>
        <v>3.0365366004698622</v>
      </c>
      <c r="T722" s="30">
        <f t="shared" ca="1" si="223"/>
        <v>13.190947144089048</v>
      </c>
      <c r="U722" s="30">
        <f t="shared" ca="1" si="223"/>
        <v>12.674393755560899</v>
      </c>
      <c r="V722" s="30">
        <f t="shared" ca="1" si="223"/>
        <v>14.555910907241406</v>
      </c>
      <c r="W722" s="30">
        <f t="shared" ca="1" si="223"/>
        <v>32.875165453239148</v>
      </c>
      <c r="X722" s="30">
        <f t="shared" ca="1" si="223"/>
        <v>8.1778537467131986</v>
      </c>
      <c r="Y722" s="30">
        <f t="shared" ca="1" si="223"/>
        <v>29.534639195353936</v>
      </c>
      <c r="Z722" s="30">
        <f t="shared" ca="1" si="223"/>
        <v>23.293911293881226</v>
      </c>
      <c r="AA722" s="26">
        <v>714</v>
      </c>
      <c r="AB722" s="31">
        <f t="shared" ca="1" si="222"/>
        <v>15</v>
      </c>
      <c r="AC722" s="31">
        <f t="shared" ca="1" si="211"/>
        <v>21</v>
      </c>
      <c r="AD722" s="31">
        <f t="shared" ca="1" si="212"/>
        <v>12</v>
      </c>
      <c r="AE722" s="31">
        <f t="shared" ca="1" si="213"/>
        <v>35</v>
      </c>
      <c r="AF722" s="31">
        <f t="shared" ca="1" si="214"/>
        <v>4</v>
      </c>
      <c r="AG722" s="31">
        <f t="shared" ca="1" si="215"/>
        <v>17</v>
      </c>
      <c r="AH722" s="31">
        <f t="shared" ca="1" si="216"/>
        <v>16</v>
      </c>
      <c r="AI722" s="31">
        <f t="shared" ca="1" si="217"/>
        <v>19</v>
      </c>
      <c r="AJ722" s="31">
        <f t="shared" ca="1" si="218"/>
        <v>141</v>
      </c>
      <c r="AK722" s="31">
        <f t="shared" ca="1" si="219"/>
        <v>10</v>
      </c>
      <c r="AL722" s="31">
        <f t="shared" ca="1" si="220"/>
        <v>72</v>
      </c>
      <c r="AM722" s="31">
        <f t="shared" ca="1" si="221"/>
        <v>40</v>
      </c>
    </row>
    <row r="723" spans="14:39">
      <c r="N723" s="26">
        <v>715</v>
      </c>
      <c r="O723" s="30">
        <f t="shared" ca="1" si="223"/>
        <v>27.613074374511431</v>
      </c>
      <c r="P723" s="30">
        <f t="shared" ca="1" si="223"/>
        <v>13.611117633309158</v>
      </c>
      <c r="Q723" s="30">
        <f t="shared" ca="1" si="223"/>
        <v>31.36014794574027</v>
      </c>
      <c r="R723" s="30">
        <f t="shared" ca="1" si="223"/>
        <v>31.589083270661614</v>
      </c>
      <c r="S723" s="30">
        <f t="shared" ca="1" si="223"/>
        <v>2.3419885631695134</v>
      </c>
      <c r="T723" s="30">
        <f t="shared" ca="1" si="223"/>
        <v>11.040321218956064</v>
      </c>
      <c r="U723" s="30">
        <f t="shared" ca="1" si="223"/>
        <v>31.149942196353294</v>
      </c>
      <c r="V723" s="30">
        <f t="shared" ca="1" si="223"/>
        <v>9.6815803664098965</v>
      </c>
      <c r="W723" s="30">
        <f t="shared" ca="1" si="223"/>
        <v>27.001289740600566</v>
      </c>
      <c r="X723" s="30">
        <f t="shared" ca="1" si="223"/>
        <v>4.8724621592860968</v>
      </c>
      <c r="Y723" s="30">
        <f t="shared" ca="1" si="223"/>
        <v>24.400710690437808</v>
      </c>
      <c r="Z723" s="30">
        <f t="shared" ca="1" si="223"/>
        <v>19.81385111297455</v>
      </c>
      <c r="AA723" s="26">
        <v>715</v>
      </c>
      <c r="AB723" s="31">
        <f t="shared" ca="1" si="222"/>
        <v>58</v>
      </c>
      <c r="AC723" s="31">
        <f t="shared" ca="1" si="211"/>
        <v>18</v>
      </c>
      <c r="AD723" s="31">
        <f t="shared" ca="1" si="212"/>
        <v>93</v>
      </c>
      <c r="AE723" s="31">
        <f t="shared" ca="1" si="213"/>
        <v>97</v>
      </c>
      <c r="AF723" s="31">
        <f t="shared" ca="1" si="214"/>
        <v>3</v>
      </c>
      <c r="AG723" s="31">
        <f t="shared" ca="1" si="215"/>
        <v>14</v>
      </c>
      <c r="AH723" s="31">
        <f t="shared" ca="1" si="216"/>
        <v>90</v>
      </c>
      <c r="AI723" s="31">
        <f t="shared" ca="1" si="217"/>
        <v>12</v>
      </c>
      <c r="AJ723" s="31">
        <f t="shared" ca="1" si="218"/>
        <v>55</v>
      </c>
      <c r="AK723" s="31">
        <f t="shared" ca="1" si="219"/>
        <v>6</v>
      </c>
      <c r="AL723" s="31">
        <f t="shared" ca="1" si="220"/>
        <v>44</v>
      </c>
      <c r="AM723" s="31">
        <f t="shared" ca="1" si="221"/>
        <v>30</v>
      </c>
    </row>
    <row r="724" spans="14:39">
      <c r="N724" s="26">
        <v>716</v>
      </c>
      <c r="O724" s="30">
        <f t="shared" ca="1" si="223"/>
        <v>19.646173008843043</v>
      </c>
      <c r="P724" s="30">
        <f t="shared" ca="1" si="223"/>
        <v>23.97394558427229</v>
      </c>
      <c r="Q724" s="30">
        <f t="shared" ca="1" si="223"/>
        <v>17.756794815814828</v>
      </c>
      <c r="R724" s="30">
        <f t="shared" ca="1" si="223"/>
        <v>18.301531528375754</v>
      </c>
      <c r="S724" s="30">
        <f t="shared" ca="1" si="223"/>
        <v>8.2674980892531487</v>
      </c>
      <c r="T724" s="30">
        <f t="shared" ca="1" si="223"/>
        <v>8.8462589371381757</v>
      </c>
      <c r="U724" s="30">
        <f t="shared" ca="1" si="223"/>
        <v>13.086873337782972</v>
      </c>
      <c r="V724" s="30">
        <f t="shared" ca="1" si="223"/>
        <v>16.381433160492769</v>
      </c>
      <c r="W724" s="30">
        <f t="shared" ca="1" si="223"/>
        <v>25.459220686025997</v>
      </c>
      <c r="X724" s="30">
        <f t="shared" ca="1" si="223"/>
        <v>3.7132816279623015</v>
      </c>
      <c r="Y724" s="30">
        <f t="shared" ca="1" si="223"/>
        <v>23.07090013726431</v>
      </c>
      <c r="Z724" s="30">
        <f t="shared" ca="1" si="223"/>
        <v>0.71087879066601423</v>
      </c>
      <c r="AA724" s="26">
        <v>716</v>
      </c>
      <c r="AB724" s="31">
        <f t="shared" ca="1" si="222"/>
        <v>30</v>
      </c>
      <c r="AC724" s="31">
        <f t="shared" ca="1" si="211"/>
        <v>42</v>
      </c>
      <c r="AD724" s="31">
        <f t="shared" ca="1" si="212"/>
        <v>25</v>
      </c>
      <c r="AE724" s="31">
        <f t="shared" ca="1" si="213"/>
        <v>27</v>
      </c>
      <c r="AF724" s="31">
        <f t="shared" ca="1" si="214"/>
        <v>10</v>
      </c>
      <c r="AG724" s="31">
        <f t="shared" ca="1" si="215"/>
        <v>11</v>
      </c>
      <c r="AH724" s="31">
        <f t="shared" ca="1" si="216"/>
        <v>17</v>
      </c>
      <c r="AI724" s="31">
        <f t="shared" ca="1" si="217"/>
        <v>23</v>
      </c>
      <c r="AJ724" s="31">
        <f t="shared" ca="1" si="218"/>
        <v>48</v>
      </c>
      <c r="AK724" s="31">
        <f t="shared" ca="1" si="219"/>
        <v>4</v>
      </c>
      <c r="AL724" s="31">
        <f t="shared" ca="1" si="220"/>
        <v>39</v>
      </c>
      <c r="AM724" s="31">
        <f t="shared" ca="1" si="221"/>
        <v>1</v>
      </c>
    </row>
    <row r="725" spans="14:39">
      <c r="N725" s="26">
        <v>717</v>
      </c>
      <c r="O725" s="30">
        <f t="shared" ca="1" si="223"/>
        <v>30.849426805645344</v>
      </c>
      <c r="P725" s="30">
        <f t="shared" ca="1" si="223"/>
        <v>27.770304627522666</v>
      </c>
      <c r="Q725" s="30">
        <f t="shared" ca="1" si="223"/>
        <v>21.316200528926778</v>
      </c>
      <c r="R725" s="30">
        <f t="shared" ca="1" si="223"/>
        <v>8.1243316869443749</v>
      </c>
      <c r="S725" s="30">
        <f t="shared" ca="1" si="223"/>
        <v>32.572977688980629</v>
      </c>
      <c r="T725" s="30">
        <f t="shared" ca="1" si="223"/>
        <v>24.915519351452733</v>
      </c>
      <c r="U725" s="30">
        <f t="shared" ca="1" si="223"/>
        <v>6.4510185145170267</v>
      </c>
      <c r="V725" s="30">
        <f t="shared" ca="1" si="223"/>
        <v>19.946435098535058</v>
      </c>
      <c r="W725" s="30">
        <f t="shared" ca="1" si="223"/>
        <v>25.921753390882323</v>
      </c>
      <c r="X725" s="30">
        <f t="shared" ca="1" si="223"/>
        <v>11.865252112459084</v>
      </c>
      <c r="Y725" s="30">
        <f t="shared" ca="1" si="223"/>
        <v>31.081083414496721</v>
      </c>
      <c r="Z725" s="30">
        <f t="shared" ca="1" si="223"/>
        <v>3.3435563489206781</v>
      </c>
      <c r="AA725" s="26">
        <v>717</v>
      </c>
      <c r="AB725" s="31">
        <f t="shared" ca="1" si="222"/>
        <v>86</v>
      </c>
      <c r="AC725" s="31">
        <f t="shared" ca="1" si="211"/>
        <v>59</v>
      </c>
      <c r="AD725" s="31">
        <f t="shared" ca="1" si="212"/>
        <v>34</v>
      </c>
      <c r="AE725" s="31">
        <f t="shared" ca="1" si="213"/>
        <v>10</v>
      </c>
      <c r="AF725" s="31">
        <f t="shared" ca="1" si="214"/>
        <v>125</v>
      </c>
      <c r="AG725" s="31">
        <f t="shared" ca="1" si="215"/>
        <v>46</v>
      </c>
      <c r="AH725" s="31">
        <f t="shared" ca="1" si="216"/>
        <v>8</v>
      </c>
      <c r="AI725" s="31">
        <f t="shared" ca="1" si="217"/>
        <v>30</v>
      </c>
      <c r="AJ725" s="31">
        <f t="shared" ca="1" si="218"/>
        <v>50</v>
      </c>
      <c r="AK725" s="31">
        <f t="shared" ca="1" si="219"/>
        <v>15</v>
      </c>
      <c r="AL725" s="31">
        <f t="shared" ca="1" si="220"/>
        <v>89</v>
      </c>
      <c r="AM725" s="31">
        <f t="shared" ca="1" si="221"/>
        <v>4</v>
      </c>
    </row>
    <row r="726" spans="14:39">
      <c r="N726" s="26">
        <v>718</v>
      </c>
      <c r="O726" s="30">
        <f t="shared" ca="1" si="223"/>
        <v>0.57129419486312394</v>
      </c>
      <c r="P726" s="30">
        <f t="shared" ca="1" si="223"/>
        <v>30.585119874952767</v>
      </c>
      <c r="Q726" s="30">
        <f t="shared" ca="1" si="223"/>
        <v>20.449782170304296</v>
      </c>
      <c r="R726" s="30">
        <f t="shared" ca="1" si="223"/>
        <v>32.843146497815709</v>
      </c>
      <c r="S726" s="30">
        <f t="shared" ca="1" si="223"/>
        <v>31.229798053951281</v>
      </c>
      <c r="T726" s="30">
        <f t="shared" ca="1" si="223"/>
        <v>16.29090412000723</v>
      </c>
      <c r="U726" s="30">
        <f t="shared" ca="1" si="223"/>
        <v>13.158970548258852</v>
      </c>
      <c r="V726" s="30">
        <f t="shared" ca="1" si="223"/>
        <v>10.217149262238935</v>
      </c>
      <c r="W726" s="30">
        <f t="shared" ca="1" si="223"/>
        <v>18.373411230027802</v>
      </c>
      <c r="X726" s="30">
        <f t="shared" ca="1" si="223"/>
        <v>9.8089146893866523</v>
      </c>
      <c r="Y726" s="30">
        <f t="shared" ca="1" si="223"/>
        <v>18.546109236262385</v>
      </c>
      <c r="Z726" s="30">
        <f t="shared" ca="1" si="223"/>
        <v>26.658294033990636</v>
      </c>
      <c r="AA726" s="26">
        <v>718</v>
      </c>
      <c r="AB726" s="31">
        <f t="shared" ca="1" si="222"/>
        <v>1</v>
      </c>
      <c r="AC726" s="31">
        <f t="shared" ca="1" si="211"/>
        <v>82</v>
      </c>
      <c r="AD726" s="31">
        <f t="shared" ca="1" si="212"/>
        <v>32</v>
      </c>
      <c r="AE726" s="31">
        <f t="shared" ca="1" si="213"/>
        <v>139</v>
      </c>
      <c r="AF726" s="31">
        <f t="shared" ca="1" si="214"/>
        <v>91</v>
      </c>
      <c r="AG726" s="31">
        <f t="shared" ca="1" si="215"/>
        <v>23</v>
      </c>
      <c r="AH726" s="31">
        <f t="shared" ca="1" si="216"/>
        <v>17</v>
      </c>
      <c r="AI726" s="31">
        <f t="shared" ca="1" si="217"/>
        <v>13</v>
      </c>
      <c r="AJ726" s="31">
        <f t="shared" ca="1" si="218"/>
        <v>27</v>
      </c>
      <c r="AK726" s="31">
        <f t="shared" ca="1" si="219"/>
        <v>12</v>
      </c>
      <c r="AL726" s="31">
        <f t="shared" ca="1" si="220"/>
        <v>27</v>
      </c>
      <c r="AM726" s="31">
        <f t="shared" ca="1" si="221"/>
        <v>53</v>
      </c>
    </row>
    <row r="727" spans="14:39">
      <c r="N727" s="26">
        <v>719</v>
      </c>
      <c r="O727" s="30">
        <f t="shared" ca="1" si="223"/>
        <v>2.4349725100538877</v>
      </c>
      <c r="P727" s="30">
        <f t="shared" ca="1" si="223"/>
        <v>29.353005941453237</v>
      </c>
      <c r="Q727" s="30">
        <f t="shared" ca="1" si="223"/>
        <v>4.7619710066666485</v>
      </c>
      <c r="R727" s="30">
        <f t="shared" ca="1" si="223"/>
        <v>9.462767541933756</v>
      </c>
      <c r="S727" s="30">
        <f t="shared" ca="1" si="223"/>
        <v>23.479429539956435</v>
      </c>
      <c r="T727" s="30">
        <f t="shared" ca="1" si="223"/>
        <v>11.847318067581208</v>
      </c>
      <c r="U727" s="30">
        <f t="shared" ca="1" si="223"/>
        <v>28.092400198754849</v>
      </c>
      <c r="V727" s="30">
        <f t="shared" ca="1" si="223"/>
        <v>2.2200992019394854</v>
      </c>
      <c r="W727" s="30">
        <f t="shared" ca="1" si="223"/>
        <v>1.7093093195810505</v>
      </c>
      <c r="X727" s="30">
        <f t="shared" ca="1" si="223"/>
        <v>22.847990279764357</v>
      </c>
      <c r="Y727" s="30">
        <f t="shared" ca="1" si="223"/>
        <v>21.52069108770149</v>
      </c>
      <c r="Z727" s="30">
        <f t="shared" ca="1" si="223"/>
        <v>18.780869609600995</v>
      </c>
      <c r="AA727" s="26">
        <v>719</v>
      </c>
      <c r="AB727" s="31">
        <f t="shared" ca="1" si="222"/>
        <v>3</v>
      </c>
      <c r="AC727" s="31">
        <f t="shared" ca="1" si="211"/>
        <v>70</v>
      </c>
      <c r="AD727" s="31">
        <f t="shared" ca="1" si="212"/>
        <v>6</v>
      </c>
      <c r="AE727" s="31">
        <f t="shared" ca="1" si="213"/>
        <v>11</v>
      </c>
      <c r="AF727" s="31">
        <f t="shared" ca="1" si="214"/>
        <v>41</v>
      </c>
      <c r="AG727" s="31">
        <f t="shared" ca="1" si="215"/>
        <v>15</v>
      </c>
      <c r="AH727" s="31">
        <f t="shared" ca="1" si="216"/>
        <v>61</v>
      </c>
      <c r="AI727" s="31">
        <f t="shared" ca="1" si="217"/>
        <v>3</v>
      </c>
      <c r="AJ727" s="31">
        <f t="shared" ca="1" si="218"/>
        <v>2</v>
      </c>
      <c r="AK727" s="31">
        <f t="shared" ca="1" si="219"/>
        <v>38</v>
      </c>
      <c r="AL727" s="31">
        <f t="shared" ca="1" si="220"/>
        <v>35</v>
      </c>
      <c r="AM727" s="31">
        <f t="shared" ca="1" si="221"/>
        <v>28</v>
      </c>
    </row>
    <row r="728" spans="14:39">
      <c r="N728" s="26">
        <v>720</v>
      </c>
      <c r="O728" s="30">
        <f t="shared" ca="1" si="223"/>
        <v>29.897450959061892</v>
      </c>
      <c r="P728" s="30">
        <f t="shared" ca="1" si="223"/>
        <v>31.083210384449796</v>
      </c>
      <c r="Q728" s="30">
        <f t="shared" ca="1" si="223"/>
        <v>1.7762830343507203</v>
      </c>
      <c r="R728" s="30">
        <f t="shared" ca="1" si="223"/>
        <v>31.869032654242343</v>
      </c>
      <c r="S728" s="30">
        <f t="shared" ca="1" si="223"/>
        <v>13.278727010889124</v>
      </c>
      <c r="T728" s="30">
        <f t="shared" ca="1" si="223"/>
        <v>12.775027209617084</v>
      </c>
      <c r="U728" s="30">
        <f t="shared" ca="1" si="223"/>
        <v>7.8646282554473625</v>
      </c>
      <c r="V728" s="30">
        <f t="shared" ca="1" si="223"/>
        <v>17.749555755259919</v>
      </c>
      <c r="W728" s="30">
        <f t="shared" ca="1" si="223"/>
        <v>16.31302455640564</v>
      </c>
      <c r="X728" s="30">
        <f t="shared" ca="1" si="223"/>
        <v>13.70460457545188</v>
      </c>
      <c r="Y728" s="30">
        <f t="shared" ca="1" si="223"/>
        <v>0.85153518267628758</v>
      </c>
      <c r="Z728" s="30">
        <f t="shared" ca="1" si="223"/>
        <v>15.804886859383368</v>
      </c>
      <c r="AA728" s="26">
        <v>720</v>
      </c>
      <c r="AB728" s="31">
        <f t="shared" ca="1" si="222"/>
        <v>75</v>
      </c>
      <c r="AC728" s="31">
        <f t="shared" ca="1" si="211"/>
        <v>89</v>
      </c>
      <c r="AD728" s="31">
        <f t="shared" ca="1" si="212"/>
        <v>2</v>
      </c>
      <c r="AE728" s="31">
        <f t="shared" ca="1" si="213"/>
        <v>103</v>
      </c>
      <c r="AF728" s="31">
        <f t="shared" ca="1" si="214"/>
        <v>17</v>
      </c>
      <c r="AG728" s="31">
        <f t="shared" ca="1" si="215"/>
        <v>16</v>
      </c>
      <c r="AH728" s="31">
        <f t="shared" ca="1" si="216"/>
        <v>9</v>
      </c>
      <c r="AI728" s="31">
        <f t="shared" ca="1" si="217"/>
        <v>25</v>
      </c>
      <c r="AJ728" s="31">
        <f t="shared" ca="1" si="218"/>
        <v>23</v>
      </c>
      <c r="AK728" s="31">
        <f t="shared" ca="1" si="219"/>
        <v>18</v>
      </c>
      <c r="AL728" s="31">
        <f t="shared" ca="1" si="220"/>
        <v>1</v>
      </c>
      <c r="AM728" s="31">
        <f t="shared" ca="1" si="221"/>
        <v>22</v>
      </c>
    </row>
    <row r="729" spans="14:39">
      <c r="N729" s="26">
        <v>721</v>
      </c>
      <c r="O729" s="30">
        <f t="shared" ref="O729:Z738" ca="1" si="224">RAND()*sumweights</f>
        <v>19.418914009456024</v>
      </c>
      <c r="P729" s="30">
        <f t="shared" ca="1" si="224"/>
        <v>28.761388467549725</v>
      </c>
      <c r="Q729" s="30">
        <f t="shared" ca="1" si="224"/>
        <v>15.182260660003827</v>
      </c>
      <c r="R729" s="30">
        <f t="shared" ca="1" si="224"/>
        <v>12.155290851727525</v>
      </c>
      <c r="S729" s="30">
        <f t="shared" ca="1" si="224"/>
        <v>19.085493220214328</v>
      </c>
      <c r="T729" s="30">
        <f t="shared" ca="1" si="224"/>
        <v>3.6676518995470202</v>
      </c>
      <c r="U729" s="30">
        <f t="shared" ca="1" si="224"/>
        <v>22.571422675251249</v>
      </c>
      <c r="V729" s="30">
        <f t="shared" ca="1" si="224"/>
        <v>31.340538392323126</v>
      </c>
      <c r="W729" s="30">
        <f t="shared" ca="1" si="224"/>
        <v>15.662672430809156</v>
      </c>
      <c r="X729" s="30">
        <f t="shared" ca="1" si="224"/>
        <v>15.665468246504178</v>
      </c>
      <c r="Y729" s="30">
        <f t="shared" ca="1" si="224"/>
        <v>31.328436261907765</v>
      </c>
      <c r="Z729" s="30">
        <f t="shared" ca="1" si="224"/>
        <v>22.273201562692403</v>
      </c>
      <c r="AA729" s="26">
        <v>721</v>
      </c>
      <c r="AB729" s="31">
        <f t="shared" ca="1" si="222"/>
        <v>29</v>
      </c>
      <c r="AC729" s="31">
        <f t="shared" ca="1" si="211"/>
        <v>66</v>
      </c>
      <c r="AD729" s="31">
        <f t="shared" ca="1" si="212"/>
        <v>20</v>
      </c>
      <c r="AE729" s="31">
        <f t="shared" ca="1" si="213"/>
        <v>15</v>
      </c>
      <c r="AF729" s="31">
        <f t="shared" ca="1" si="214"/>
        <v>28</v>
      </c>
      <c r="AG729" s="31">
        <f t="shared" ca="1" si="215"/>
        <v>4</v>
      </c>
      <c r="AH729" s="31">
        <f t="shared" ca="1" si="216"/>
        <v>38</v>
      </c>
      <c r="AI729" s="31">
        <f t="shared" ca="1" si="217"/>
        <v>93</v>
      </c>
      <c r="AJ729" s="31">
        <f t="shared" ca="1" si="218"/>
        <v>21</v>
      </c>
      <c r="AK729" s="31">
        <f t="shared" ca="1" si="219"/>
        <v>21</v>
      </c>
      <c r="AL729" s="31">
        <f t="shared" ca="1" si="220"/>
        <v>93</v>
      </c>
      <c r="AM729" s="31">
        <f t="shared" ca="1" si="221"/>
        <v>37</v>
      </c>
    </row>
    <row r="730" spans="14:39">
      <c r="N730" s="26">
        <v>722</v>
      </c>
      <c r="O730" s="30">
        <f t="shared" ca="1" si="224"/>
        <v>28.425428200520461</v>
      </c>
      <c r="P730" s="30">
        <f t="shared" ca="1" si="224"/>
        <v>4.6573717877563379</v>
      </c>
      <c r="Q730" s="30">
        <f t="shared" ca="1" si="224"/>
        <v>9.4150231982531576</v>
      </c>
      <c r="R730" s="30">
        <f t="shared" ca="1" si="224"/>
        <v>5.3871574077205606</v>
      </c>
      <c r="S730" s="30">
        <f t="shared" ca="1" si="224"/>
        <v>4.7913147671319738</v>
      </c>
      <c r="T730" s="30">
        <f t="shared" ca="1" si="224"/>
        <v>20.109487510979164</v>
      </c>
      <c r="U730" s="30">
        <f t="shared" ca="1" si="224"/>
        <v>3.845219687337976</v>
      </c>
      <c r="V730" s="30">
        <f t="shared" ca="1" si="224"/>
        <v>15.081668944327614</v>
      </c>
      <c r="W730" s="30">
        <f t="shared" ca="1" si="224"/>
        <v>11.214427534271966</v>
      </c>
      <c r="X730" s="30">
        <f t="shared" ca="1" si="224"/>
        <v>10.0134050393997</v>
      </c>
      <c r="Y730" s="30">
        <f t="shared" ca="1" si="224"/>
        <v>29.274244822264194</v>
      </c>
      <c r="Z730" s="30">
        <f t="shared" ca="1" si="224"/>
        <v>19.057412447122001</v>
      </c>
      <c r="AA730" s="26">
        <v>722</v>
      </c>
      <c r="AB730" s="31">
        <f t="shared" ca="1" si="222"/>
        <v>63</v>
      </c>
      <c r="AC730" s="31">
        <f t="shared" ca="1" si="211"/>
        <v>5</v>
      </c>
      <c r="AD730" s="31">
        <f t="shared" ca="1" si="212"/>
        <v>11</v>
      </c>
      <c r="AE730" s="31">
        <f t="shared" ca="1" si="213"/>
        <v>6</v>
      </c>
      <c r="AF730" s="31">
        <f t="shared" ca="1" si="214"/>
        <v>6</v>
      </c>
      <c r="AG730" s="31">
        <f t="shared" ca="1" si="215"/>
        <v>31</v>
      </c>
      <c r="AH730" s="31">
        <f t="shared" ca="1" si="216"/>
        <v>5</v>
      </c>
      <c r="AI730" s="31">
        <f t="shared" ca="1" si="217"/>
        <v>20</v>
      </c>
      <c r="AJ730" s="31">
        <f t="shared" ca="1" si="218"/>
        <v>14</v>
      </c>
      <c r="AK730" s="31">
        <f t="shared" ca="1" si="219"/>
        <v>12</v>
      </c>
      <c r="AL730" s="31">
        <f t="shared" ca="1" si="220"/>
        <v>70</v>
      </c>
      <c r="AM730" s="31">
        <f t="shared" ca="1" si="221"/>
        <v>28</v>
      </c>
    </row>
    <row r="731" spans="14:39">
      <c r="N731" s="26">
        <v>723</v>
      </c>
      <c r="O731" s="30">
        <f t="shared" ca="1" si="224"/>
        <v>27.639697626469061</v>
      </c>
      <c r="P731" s="30">
        <f t="shared" ca="1" si="224"/>
        <v>15.261307396164993</v>
      </c>
      <c r="Q731" s="30">
        <f t="shared" ca="1" si="224"/>
        <v>5.3387080488693517</v>
      </c>
      <c r="R731" s="30">
        <f t="shared" ca="1" si="224"/>
        <v>26.852147151197261</v>
      </c>
      <c r="S731" s="30">
        <f t="shared" ca="1" si="224"/>
        <v>32.546972175638665</v>
      </c>
      <c r="T731" s="30">
        <f t="shared" ca="1" si="224"/>
        <v>1.8516434528119234</v>
      </c>
      <c r="U731" s="30">
        <f t="shared" ca="1" si="224"/>
        <v>9.8767530383331614</v>
      </c>
      <c r="V731" s="30">
        <f t="shared" ca="1" si="224"/>
        <v>17.663405984977366</v>
      </c>
      <c r="W731" s="30">
        <f t="shared" ca="1" si="224"/>
        <v>9.3726123958072982</v>
      </c>
      <c r="X731" s="30">
        <f t="shared" ca="1" si="224"/>
        <v>18.860901878708408</v>
      </c>
      <c r="Y731" s="30">
        <f t="shared" ca="1" si="224"/>
        <v>6.9644417144120549E-2</v>
      </c>
      <c r="Z731" s="30">
        <f t="shared" ca="1" si="224"/>
        <v>11.18089943551616</v>
      </c>
      <c r="AA731" s="26">
        <v>723</v>
      </c>
      <c r="AB731" s="31">
        <f t="shared" ca="1" si="222"/>
        <v>59</v>
      </c>
      <c r="AC731" s="31">
        <f t="shared" ca="1" si="211"/>
        <v>21</v>
      </c>
      <c r="AD731" s="31">
        <f t="shared" ca="1" si="212"/>
        <v>6</v>
      </c>
      <c r="AE731" s="31">
        <f t="shared" ca="1" si="213"/>
        <v>54</v>
      </c>
      <c r="AF731" s="31">
        <f t="shared" ca="1" si="214"/>
        <v>124</v>
      </c>
      <c r="AG731" s="31">
        <f t="shared" ca="1" si="215"/>
        <v>2</v>
      </c>
      <c r="AH731" s="31">
        <f t="shared" ca="1" si="216"/>
        <v>12</v>
      </c>
      <c r="AI731" s="31">
        <f t="shared" ca="1" si="217"/>
        <v>25</v>
      </c>
      <c r="AJ731" s="31">
        <f t="shared" ca="1" si="218"/>
        <v>11</v>
      </c>
      <c r="AK731" s="31">
        <f t="shared" ca="1" si="219"/>
        <v>28</v>
      </c>
      <c r="AL731" s="31">
        <f t="shared" ca="1" si="220"/>
        <v>1</v>
      </c>
      <c r="AM731" s="31">
        <f t="shared" ca="1" si="221"/>
        <v>14</v>
      </c>
    </row>
    <row r="732" spans="14:39">
      <c r="N732" s="26">
        <v>724</v>
      </c>
      <c r="O732" s="30">
        <f t="shared" ca="1" si="224"/>
        <v>5.4945402359183326</v>
      </c>
      <c r="P732" s="30">
        <f t="shared" ca="1" si="224"/>
        <v>2.0481479247585441</v>
      </c>
      <c r="Q732" s="30">
        <f t="shared" ca="1" si="224"/>
        <v>11.033118052920949</v>
      </c>
      <c r="R732" s="30">
        <f t="shared" ca="1" si="224"/>
        <v>4.8808885815699634</v>
      </c>
      <c r="S732" s="30">
        <f t="shared" ca="1" si="224"/>
        <v>8.0479009900400023</v>
      </c>
      <c r="T732" s="30">
        <f t="shared" ca="1" si="224"/>
        <v>24.237223398844954</v>
      </c>
      <c r="U732" s="30">
        <f t="shared" ca="1" si="224"/>
        <v>25.788235499630176</v>
      </c>
      <c r="V732" s="30">
        <f t="shared" ca="1" si="224"/>
        <v>8.9680576422369036</v>
      </c>
      <c r="W732" s="30">
        <f t="shared" ca="1" si="224"/>
        <v>20.724814606834045</v>
      </c>
      <c r="X732" s="30">
        <f t="shared" ca="1" si="224"/>
        <v>25.12732406213469</v>
      </c>
      <c r="Y732" s="30">
        <f t="shared" ca="1" si="224"/>
        <v>0.10253281660496466</v>
      </c>
      <c r="Z732" s="30">
        <f t="shared" ca="1" si="224"/>
        <v>15.819425761728992</v>
      </c>
      <c r="AA732" s="26">
        <v>724</v>
      </c>
      <c r="AB732" s="31">
        <f t="shared" ca="1" si="222"/>
        <v>6</v>
      </c>
      <c r="AC732" s="31">
        <f t="shared" ca="1" si="211"/>
        <v>3</v>
      </c>
      <c r="AD732" s="31">
        <f t="shared" ca="1" si="212"/>
        <v>14</v>
      </c>
      <c r="AE732" s="31">
        <f t="shared" ca="1" si="213"/>
        <v>6</v>
      </c>
      <c r="AF732" s="31">
        <f t="shared" ca="1" si="214"/>
        <v>10</v>
      </c>
      <c r="AG732" s="31">
        <f t="shared" ca="1" si="215"/>
        <v>43</v>
      </c>
      <c r="AH732" s="31">
        <f t="shared" ca="1" si="216"/>
        <v>49</v>
      </c>
      <c r="AI732" s="31">
        <f t="shared" ca="1" si="217"/>
        <v>11</v>
      </c>
      <c r="AJ732" s="31">
        <f t="shared" ca="1" si="218"/>
        <v>32</v>
      </c>
      <c r="AK732" s="31">
        <f t="shared" ca="1" si="219"/>
        <v>47</v>
      </c>
      <c r="AL732" s="31">
        <f t="shared" ca="1" si="220"/>
        <v>1</v>
      </c>
      <c r="AM732" s="31">
        <f t="shared" ca="1" si="221"/>
        <v>22</v>
      </c>
    </row>
    <row r="733" spans="14:39">
      <c r="N733" s="26">
        <v>725</v>
      </c>
      <c r="O733" s="30">
        <f t="shared" ca="1" si="224"/>
        <v>11.741246573384155</v>
      </c>
      <c r="P733" s="30">
        <f t="shared" ca="1" si="224"/>
        <v>7.9187498223011898</v>
      </c>
      <c r="Q733" s="30">
        <f t="shared" ca="1" si="224"/>
        <v>16.406306625097937</v>
      </c>
      <c r="R733" s="30">
        <f t="shared" ca="1" si="224"/>
        <v>24.521607939754141</v>
      </c>
      <c r="S733" s="30">
        <f t="shared" ca="1" si="224"/>
        <v>12.500762694575522</v>
      </c>
      <c r="T733" s="30">
        <f t="shared" ca="1" si="224"/>
        <v>24.173119306064041</v>
      </c>
      <c r="U733" s="30">
        <f t="shared" ca="1" si="224"/>
        <v>29.680667363496759</v>
      </c>
      <c r="V733" s="30">
        <f t="shared" ca="1" si="224"/>
        <v>10.028831442042147</v>
      </c>
      <c r="W733" s="30">
        <f t="shared" ca="1" si="224"/>
        <v>3.8131845586570092</v>
      </c>
      <c r="X733" s="30">
        <f t="shared" ca="1" si="224"/>
        <v>7.2202422559878698</v>
      </c>
      <c r="Y733" s="30">
        <f t="shared" ca="1" si="224"/>
        <v>31.930780938678659</v>
      </c>
      <c r="Z733" s="30">
        <f t="shared" ca="1" si="224"/>
        <v>22.537349935475746</v>
      </c>
      <c r="AA733" s="26">
        <v>725</v>
      </c>
      <c r="AB733" s="31">
        <f t="shared" ca="1" si="222"/>
        <v>15</v>
      </c>
      <c r="AC733" s="31">
        <f t="shared" ca="1" si="211"/>
        <v>9</v>
      </c>
      <c r="AD733" s="31">
        <f t="shared" ca="1" si="212"/>
        <v>23</v>
      </c>
      <c r="AE733" s="31">
        <f t="shared" ca="1" si="213"/>
        <v>44</v>
      </c>
      <c r="AF733" s="31">
        <f t="shared" ca="1" si="214"/>
        <v>16</v>
      </c>
      <c r="AG733" s="31">
        <f t="shared" ca="1" si="215"/>
        <v>43</v>
      </c>
      <c r="AH733" s="31">
        <f t="shared" ca="1" si="216"/>
        <v>73</v>
      </c>
      <c r="AI733" s="31">
        <f t="shared" ca="1" si="217"/>
        <v>12</v>
      </c>
      <c r="AJ733" s="31">
        <f t="shared" ca="1" si="218"/>
        <v>4</v>
      </c>
      <c r="AK733" s="31">
        <f t="shared" ca="1" si="219"/>
        <v>9</v>
      </c>
      <c r="AL733" s="31">
        <f t="shared" ca="1" si="220"/>
        <v>105</v>
      </c>
      <c r="AM733" s="31">
        <f t="shared" ca="1" si="221"/>
        <v>38</v>
      </c>
    </row>
    <row r="734" spans="14:39">
      <c r="N734" s="26">
        <v>726</v>
      </c>
      <c r="O734" s="30">
        <f t="shared" ca="1" si="224"/>
        <v>17.922098333821982</v>
      </c>
      <c r="P734" s="30">
        <f t="shared" ca="1" si="224"/>
        <v>7.2328078627658758</v>
      </c>
      <c r="Q734" s="30">
        <f t="shared" ca="1" si="224"/>
        <v>15.012366067352605</v>
      </c>
      <c r="R734" s="30">
        <f t="shared" ca="1" si="224"/>
        <v>8.1794066297822656</v>
      </c>
      <c r="S734" s="30">
        <f t="shared" ca="1" si="224"/>
        <v>18.375002813738426</v>
      </c>
      <c r="T734" s="30">
        <f t="shared" ca="1" si="224"/>
        <v>31.807348174326393</v>
      </c>
      <c r="U734" s="30">
        <f t="shared" ca="1" si="224"/>
        <v>10.900460788385415</v>
      </c>
      <c r="V734" s="30">
        <f t="shared" ca="1" si="224"/>
        <v>5.0800408894590712</v>
      </c>
      <c r="W734" s="30">
        <f t="shared" ca="1" si="224"/>
        <v>15.018474233734299</v>
      </c>
      <c r="X734" s="30">
        <f t="shared" ca="1" si="224"/>
        <v>10.444327019667433</v>
      </c>
      <c r="Y734" s="30">
        <f t="shared" ca="1" si="224"/>
        <v>4.680042693706401</v>
      </c>
      <c r="Z734" s="30">
        <f t="shared" ca="1" si="224"/>
        <v>26.355444383685921</v>
      </c>
      <c r="AA734" s="26">
        <v>726</v>
      </c>
      <c r="AB734" s="31">
        <f t="shared" ca="1" si="222"/>
        <v>26</v>
      </c>
      <c r="AC734" s="31">
        <f t="shared" ca="1" si="211"/>
        <v>9</v>
      </c>
      <c r="AD734" s="31">
        <f t="shared" ca="1" si="212"/>
        <v>20</v>
      </c>
      <c r="AE734" s="31">
        <f t="shared" ca="1" si="213"/>
        <v>10</v>
      </c>
      <c r="AF734" s="31">
        <f t="shared" ca="1" si="214"/>
        <v>27</v>
      </c>
      <c r="AG734" s="31">
        <f t="shared" ca="1" si="215"/>
        <v>102</v>
      </c>
      <c r="AH734" s="31">
        <f t="shared" ca="1" si="216"/>
        <v>14</v>
      </c>
      <c r="AI734" s="31">
        <f t="shared" ca="1" si="217"/>
        <v>6</v>
      </c>
      <c r="AJ734" s="31">
        <f t="shared" ca="1" si="218"/>
        <v>20</v>
      </c>
      <c r="AK734" s="31">
        <f t="shared" ca="1" si="219"/>
        <v>13</v>
      </c>
      <c r="AL734" s="31">
        <f t="shared" ca="1" si="220"/>
        <v>5</v>
      </c>
      <c r="AM734" s="31">
        <f t="shared" ca="1" si="221"/>
        <v>52</v>
      </c>
    </row>
    <row r="735" spans="14:39">
      <c r="N735" s="26">
        <v>727</v>
      </c>
      <c r="O735" s="30">
        <f t="shared" ca="1" si="224"/>
        <v>4.106654246600276</v>
      </c>
      <c r="P735" s="30">
        <f t="shared" ca="1" si="224"/>
        <v>27.796920470513371</v>
      </c>
      <c r="Q735" s="30">
        <f t="shared" ca="1" si="224"/>
        <v>29.892389700200631</v>
      </c>
      <c r="R735" s="30">
        <f t="shared" ca="1" si="224"/>
        <v>11.619037122066279</v>
      </c>
      <c r="S735" s="30">
        <f t="shared" ca="1" si="224"/>
        <v>7.9802741674794948</v>
      </c>
      <c r="T735" s="30">
        <f t="shared" ca="1" si="224"/>
        <v>20.071472535456497</v>
      </c>
      <c r="U735" s="30">
        <f t="shared" ca="1" si="224"/>
        <v>0.67198085319646128</v>
      </c>
      <c r="V735" s="30">
        <f t="shared" ca="1" si="224"/>
        <v>29.567973503502103</v>
      </c>
      <c r="W735" s="30">
        <f t="shared" ca="1" si="224"/>
        <v>28.490970007760808</v>
      </c>
      <c r="X735" s="30">
        <f t="shared" ca="1" si="224"/>
        <v>19.993858930698067</v>
      </c>
      <c r="Y735" s="30">
        <f t="shared" ca="1" si="224"/>
        <v>29.01916129475336</v>
      </c>
      <c r="Z735" s="30">
        <f t="shared" ca="1" si="224"/>
        <v>26.545764420142635</v>
      </c>
      <c r="AA735" s="26">
        <v>727</v>
      </c>
      <c r="AB735" s="31">
        <f t="shared" ca="1" si="222"/>
        <v>5</v>
      </c>
      <c r="AC735" s="31">
        <f t="shared" ca="1" si="211"/>
        <v>59</v>
      </c>
      <c r="AD735" s="31">
        <f t="shared" ca="1" si="212"/>
        <v>75</v>
      </c>
      <c r="AE735" s="31">
        <f t="shared" ca="1" si="213"/>
        <v>15</v>
      </c>
      <c r="AF735" s="31">
        <f t="shared" ca="1" si="214"/>
        <v>9</v>
      </c>
      <c r="AG735" s="31">
        <f t="shared" ca="1" si="215"/>
        <v>31</v>
      </c>
      <c r="AH735" s="31">
        <f t="shared" ca="1" si="216"/>
        <v>1</v>
      </c>
      <c r="AI735" s="31">
        <f t="shared" ca="1" si="217"/>
        <v>72</v>
      </c>
      <c r="AJ735" s="31">
        <f t="shared" ca="1" si="218"/>
        <v>64</v>
      </c>
      <c r="AK735" s="31">
        <f t="shared" ca="1" si="219"/>
        <v>31</v>
      </c>
      <c r="AL735" s="31">
        <f t="shared" ca="1" si="220"/>
        <v>68</v>
      </c>
      <c r="AM735" s="31">
        <f t="shared" ca="1" si="221"/>
        <v>53</v>
      </c>
    </row>
    <row r="736" spans="14:39">
      <c r="N736" s="26">
        <v>728</v>
      </c>
      <c r="O736" s="30">
        <f t="shared" ca="1" si="224"/>
        <v>7.0077695775582898</v>
      </c>
      <c r="P736" s="30">
        <f t="shared" ca="1" si="224"/>
        <v>13.672762156469245</v>
      </c>
      <c r="Q736" s="30">
        <f t="shared" ca="1" si="224"/>
        <v>23.658952506890667</v>
      </c>
      <c r="R736" s="30">
        <f t="shared" ca="1" si="224"/>
        <v>9.7452914154576291</v>
      </c>
      <c r="S736" s="30">
        <f t="shared" ca="1" si="224"/>
        <v>33.182742944537985</v>
      </c>
      <c r="T736" s="30">
        <f t="shared" ca="1" si="224"/>
        <v>19.471813739763316</v>
      </c>
      <c r="U736" s="30">
        <f t="shared" ca="1" si="224"/>
        <v>1.2890796714457184</v>
      </c>
      <c r="V736" s="30">
        <f t="shared" ca="1" si="224"/>
        <v>30.508317516846947</v>
      </c>
      <c r="W736" s="30">
        <f t="shared" ca="1" si="224"/>
        <v>18.873166380681411</v>
      </c>
      <c r="X736" s="30">
        <f t="shared" ca="1" si="224"/>
        <v>7.165958185016037</v>
      </c>
      <c r="Y736" s="30">
        <f t="shared" ca="1" si="224"/>
        <v>8.2264993487565974</v>
      </c>
      <c r="Z736" s="30">
        <f t="shared" ca="1" si="224"/>
        <v>21.509299312693479</v>
      </c>
      <c r="AA736" s="26">
        <v>728</v>
      </c>
      <c r="AB736" s="31">
        <f t="shared" ca="1" si="222"/>
        <v>8</v>
      </c>
      <c r="AC736" s="31">
        <f t="shared" ca="1" si="211"/>
        <v>18</v>
      </c>
      <c r="AD736" s="31">
        <f t="shared" ca="1" si="212"/>
        <v>41</v>
      </c>
      <c r="AE736" s="31">
        <f t="shared" ca="1" si="213"/>
        <v>12</v>
      </c>
      <c r="AF736" s="31">
        <f t="shared" ca="1" si="214"/>
        <v>178</v>
      </c>
      <c r="AG736" s="31">
        <f t="shared" ca="1" si="215"/>
        <v>29</v>
      </c>
      <c r="AH736" s="31">
        <f t="shared" ca="1" si="216"/>
        <v>2</v>
      </c>
      <c r="AI736" s="31">
        <f t="shared" ca="1" si="217"/>
        <v>82</v>
      </c>
      <c r="AJ736" s="31">
        <f t="shared" ca="1" si="218"/>
        <v>28</v>
      </c>
      <c r="AK736" s="31">
        <f t="shared" ca="1" si="219"/>
        <v>8</v>
      </c>
      <c r="AL736" s="31">
        <f t="shared" ca="1" si="220"/>
        <v>10</v>
      </c>
      <c r="AM736" s="31">
        <f t="shared" ca="1" si="221"/>
        <v>35</v>
      </c>
    </row>
    <row r="737" spans="14:39">
      <c r="N737" s="26">
        <v>729</v>
      </c>
      <c r="O737" s="30">
        <f t="shared" ca="1" si="224"/>
        <v>1.3507742252826394</v>
      </c>
      <c r="P737" s="30">
        <f t="shared" ca="1" si="224"/>
        <v>9.1978677949665641</v>
      </c>
      <c r="Q737" s="30">
        <f t="shared" ca="1" si="224"/>
        <v>4.2251272513513092</v>
      </c>
      <c r="R737" s="30">
        <f t="shared" ca="1" si="224"/>
        <v>16.389950018135988</v>
      </c>
      <c r="S737" s="30">
        <f t="shared" ca="1" si="224"/>
        <v>4.9468813573521118</v>
      </c>
      <c r="T737" s="30">
        <f t="shared" ca="1" si="224"/>
        <v>15.773088949504608</v>
      </c>
      <c r="U737" s="30">
        <f t="shared" ca="1" si="224"/>
        <v>8.334712869791586</v>
      </c>
      <c r="V737" s="30">
        <f t="shared" ca="1" si="224"/>
        <v>19.131113771412437</v>
      </c>
      <c r="W737" s="30">
        <f t="shared" ca="1" si="224"/>
        <v>16.009822173684626</v>
      </c>
      <c r="X737" s="30">
        <f t="shared" ca="1" si="224"/>
        <v>9.6306542702971374</v>
      </c>
      <c r="Y737" s="30">
        <f t="shared" ca="1" si="224"/>
        <v>4.2045446920430294</v>
      </c>
      <c r="Z737" s="30">
        <f t="shared" ca="1" si="224"/>
        <v>29.09514289092229</v>
      </c>
      <c r="AA737" s="26">
        <v>729</v>
      </c>
      <c r="AB737" s="31">
        <f t="shared" ca="1" si="222"/>
        <v>2</v>
      </c>
      <c r="AC737" s="31">
        <f t="shared" ca="1" si="211"/>
        <v>11</v>
      </c>
      <c r="AD737" s="31">
        <f t="shared" ca="1" si="212"/>
        <v>5</v>
      </c>
      <c r="AE737" s="31">
        <f t="shared" ca="1" si="213"/>
        <v>23</v>
      </c>
      <c r="AF737" s="31">
        <f t="shared" ca="1" si="214"/>
        <v>6</v>
      </c>
      <c r="AG737" s="31">
        <f t="shared" ca="1" si="215"/>
        <v>22</v>
      </c>
      <c r="AH737" s="31">
        <f t="shared" ca="1" si="216"/>
        <v>10</v>
      </c>
      <c r="AI737" s="31">
        <f t="shared" ca="1" si="217"/>
        <v>29</v>
      </c>
      <c r="AJ737" s="31">
        <f t="shared" ca="1" si="218"/>
        <v>22</v>
      </c>
      <c r="AK737" s="31">
        <f t="shared" ca="1" si="219"/>
        <v>12</v>
      </c>
      <c r="AL737" s="31">
        <f t="shared" ca="1" si="220"/>
        <v>5</v>
      </c>
      <c r="AM737" s="31">
        <f t="shared" ca="1" si="221"/>
        <v>68</v>
      </c>
    </row>
    <row r="738" spans="14:39">
      <c r="N738" s="26">
        <v>730</v>
      </c>
      <c r="O738" s="30">
        <f t="shared" ca="1" si="224"/>
        <v>27.214706557612452</v>
      </c>
      <c r="P738" s="30">
        <f t="shared" ca="1" si="224"/>
        <v>25.69741159243269</v>
      </c>
      <c r="Q738" s="30">
        <f t="shared" ca="1" si="224"/>
        <v>0.52083277943962814</v>
      </c>
      <c r="R738" s="30">
        <f t="shared" ca="1" si="224"/>
        <v>31.203597577544418</v>
      </c>
      <c r="S738" s="30">
        <f t="shared" ca="1" si="224"/>
        <v>13.560048729268269</v>
      </c>
      <c r="T738" s="30">
        <f t="shared" ca="1" si="224"/>
        <v>7.9222937531104618</v>
      </c>
      <c r="U738" s="30">
        <f t="shared" ca="1" si="224"/>
        <v>10.21292105143473</v>
      </c>
      <c r="V738" s="30">
        <f t="shared" ca="1" si="224"/>
        <v>9.2728059682410109</v>
      </c>
      <c r="W738" s="30">
        <f t="shared" ca="1" si="224"/>
        <v>16.442897599063016</v>
      </c>
      <c r="X738" s="30">
        <f t="shared" ca="1" si="224"/>
        <v>25.02017468914352</v>
      </c>
      <c r="Y738" s="30">
        <f t="shared" ca="1" si="224"/>
        <v>0.9418407329562587</v>
      </c>
      <c r="Z738" s="30">
        <f t="shared" ca="1" si="224"/>
        <v>28.982098799444053</v>
      </c>
      <c r="AA738" s="26">
        <v>730</v>
      </c>
      <c r="AB738" s="31">
        <f t="shared" ca="1" si="222"/>
        <v>56</v>
      </c>
      <c r="AC738" s="31">
        <f t="shared" ca="1" si="211"/>
        <v>49</v>
      </c>
      <c r="AD738" s="31">
        <f t="shared" ca="1" si="212"/>
        <v>1</v>
      </c>
      <c r="AE738" s="31">
        <f t="shared" ca="1" si="213"/>
        <v>91</v>
      </c>
      <c r="AF738" s="31">
        <f t="shared" ca="1" si="214"/>
        <v>18</v>
      </c>
      <c r="AG738" s="31">
        <f t="shared" ca="1" si="215"/>
        <v>9</v>
      </c>
      <c r="AH738" s="31">
        <f t="shared" ca="1" si="216"/>
        <v>13</v>
      </c>
      <c r="AI738" s="31">
        <f t="shared" ca="1" si="217"/>
        <v>11</v>
      </c>
      <c r="AJ738" s="31">
        <f t="shared" ca="1" si="218"/>
        <v>23</v>
      </c>
      <c r="AK738" s="31">
        <f t="shared" ca="1" si="219"/>
        <v>46</v>
      </c>
      <c r="AL738" s="31">
        <f t="shared" ca="1" si="220"/>
        <v>1</v>
      </c>
      <c r="AM738" s="31">
        <f t="shared" ca="1" si="221"/>
        <v>67</v>
      </c>
    </row>
    <row r="739" spans="14:39">
      <c r="N739" s="26">
        <v>731</v>
      </c>
      <c r="O739" s="30">
        <f t="shared" ref="O739:Z748" ca="1" si="225">RAND()*sumweights</f>
        <v>9.606736649548397</v>
      </c>
      <c r="P739" s="30">
        <f t="shared" ca="1" si="225"/>
        <v>4.4079704485668527</v>
      </c>
      <c r="Q739" s="30">
        <f t="shared" ca="1" si="225"/>
        <v>9.2829601284626584</v>
      </c>
      <c r="R739" s="30">
        <f t="shared" ca="1" si="225"/>
        <v>15.26692128949508</v>
      </c>
      <c r="S739" s="30">
        <f t="shared" ca="1" si="225"/>
        <v>16.228544514331144</v>
      </c>
      <c r="T739" s="30">
        <f t="shared" ca="1" si="225"/>
        <v>13.79316288163067</v>
      </c>
      <c r="U739" s="30">
        <f t="shared" ca="1" si="225"/>
        <v>5.065313387293374</v>
      </c>
      <c r="V739" s="30">
        <f t="shared" ca="1" si="225"/>
        <v>8.6044988094498684</v>
      </c>
      <c r="W739" s="30">
        <f t="shared" ca="1" si="225"/>
        <v>16.951111508604235</v>
      </c>
      <c r="X739" s="30">
        <f t="shared" ca="1" si="225"/>
        <v>6.4564361842112907</v>
      </c>
      <c r="Y739" s="30">
        <f t="shared" ca="1" si="225"/>
        <v>0.95211096522913863</v>
      </c>
      <c r="Z739" s="30">
        <f t="shared" ca="1" si="225"/>
        <v>17.033737397929567</v>
      </c>
      <c r="AA739" s="26">
        <v>731</v>
      </c>
      <c r="AB739" s="31">
        <f t="shared" ca="1" si="222"/>
        <v>12</v>
      </c>
      <c r="AC739" s="31">
        <f t="shared" ca="1" si="211"/>
        <v>5</v>
      </c>
      <c r="AD739" s="31">
        <f t="shared" ca="1" si="212"/>
        <v>11</v>
      </c>
      <c r="AE739" s="31">
        <f t="shared" ca="1" si="213"/>
        <v>21</v>
      </c>
      <c r="AF739" s="31">
        <f t="shared" ca="1" si="214"/>
        <v>22</v>
      </c>
      <c r="AG739" s="31">
        <f t="shared" ca="1" si="215"/>
        <v>18</v>
      </c>
      <c r="AH739" s="31">
        <f t="shared" ca="1" si="216"/>
        <v>6</v>
      </c>
      <c r="AI739" s="31">
        <f t="shared" ca="1" si="217"/>
        <v>10</v>
      </c>
      <c r="AJ739" s="31">
        <f t="shared" ca="1" si="218"/>
        <v>24</v>
      </c>
      <c r="AK739" s="31">
        <f t="shared" ca="1" si="219"/>
        <v>8</v>
      </c>
      <c r="AL739" s="31">
        <f t="shared" ca="1" si="220"/>
        <v>1</v>
      </c>
      <c r="AM739" s="31">
        <f t="shared" ca="1" si="221"/>
        <v>24</v>
      </c>
    </row>
    <row r="740" spans="14:39">
      <c r="N740" s="26">
        <v>732</v>
      </c>
      <c r="O740" s="30">
        <f t="shared" ca="1" si="225"/>
        <v>10.867959132406563</v>
      </c>
      <c r="P740" s="30">
        <f t="shared" ca="1" si="225"/>
        <v>13.608227633211504</v>
      </c>
      <c r="Q740" s="30">
        <f t="shared" ca="1" si="225"/>
        <v>2.3621391377262624</v>
      </c>
      <c r="R740" s="30">
        <f t="shared" ca="1" si="225"/>
        <v>13.804017891348082</v>
      </c>
      <c r="S740" s="30">
        <f t="shared" ca="1" si="225"/>
        <v>1.6991963671030292</v>
      </c>
      <c r="T740" s="30">
        <f t="shared" ca="1" si="225"/>
        <v>26.930180496017947</v>
      </c>
      <c r="U740" s="30">
        <f t="shared" ca="1" si="225"/>
        <v>8.9246498012322615</v>
      </c>
      <c r="V740" s="30">
        <f t="shared" ca="1" si="225"/>
        <v>15.805740689031495</v>
      </c>
      <c r="W740" s="30">
        <f t="shared" ca="1" si="225"/>
        <v>19.542069979230007</v>
      </c>
      <c r="X740" s="30">
        <f t="shared" ca="1" si="225"/>
        <v>6.4371683422454691</v>
      </c>
      <c r="Y740" s="30">
        <f t="shared" ca="1" si="225"/>
        <v>15.14871935982773</v>
      </c>
      <c r="Z740" s="30">
        <f t="shared" ca="1" si="225"/>
        <v>10.99458788629741</v>
      </c>
      <c r="AA740" s="26">
        <v>732</v>
      </c>
      <c r="AB740" s="31">
        <f t="shared" ca="1" si="222"/>
        <v>13</v>
      </c>
      <c r="AC740" s="31">
        <f t="shared" ca="1" si="211"/>
        <v>18</v>
      </c>
      <c r="AD740" s="31">
        <f t="shared" ca="1" si="212"/>
        <v>3</v>
      </c>
      <c r="AE740" s="31">
        <f t="shared" ca="1" si="213"/>
        <v>18</v>
      </c>
      <c r="AF740" s="31">
        <f t="shared" ca="1" si="214"/>
        <v>2</v>
      </c>
      <c r="AG740" s="31">
        <f t="shared" ca="1" si="215"/>
        <v>55</v>
      </c>
      <c r="AH740" s="31">
        <f t="shared" ca="1" si="216"/>
        <v>11</v>
      </c>
      <c r="AI740" s="31">
        <f t="shared" ca="1" si="217"/>
        <v>22</v>
      </c>
      <c r="AJ740" s="31">
        <f t="shared" ca="1" si="218"/>
        <v>29</v>
      </c>
      <c r="AK740" s="31">
        <f t="shared" ca="1" si="219"/>
        <v>8</v>
      </c>
      <c r="AL740" s="31">
        <f t="shared" ca="1" si="220"/>
        <v>20</v>
      </c>
      <c r="AM740" s="31">
        <f t="shared" ca="1" si="221"/>
        <v>14</v>
      </c>
    </row>
    <row r="741" spans="14:39">
      <c r="N741" s="26">
        <v>733</v>
      </c>
      <c r="O741" s="30">
        <f t="shared" ca="1" si="225"/>
        <v>9.4338845631929704</v>
      </c>
      <c r="P741" s="30">
        <f t="shared" ca="1" si="225"/>
        <v>14.73219424048186</v>
      </c>
      <c r="Q741" s="30">
        <f t="shared" ca="1" si="225"/>
        <v>1.1272658938350042</v>
      </c>
      <c r="R741" s="30">
        <f t="shared" ca="1" si="225"/>
        <v>16.45350563619116</v>
      </c>
      <c r="S741" s="30">
        <f t="shared" ca="1" si="225"/>
        <v>16.585072865706852</v>
      </c>
      <c r="T741" s="30">
        <f t="shared" ca="1" si="225"/>
        <v>15.148844234968323</v>
      </c>
      <c r="U741" s="30">
        <f t="shared" ca="1" si="225"/>
        <v>24.907393688921776</v>
      </c>
      <c r="V741" s="30">
        <f t="shared" ca="1" si="225"/>
        <v>22.225789532348603</v>
      </c>
      <c r="W741" s="30">
        <f t="shared" ca="1" si="225"/>
        <v>22.332212295892038</v>
      </c>
      <c r="X741" s="30">
        <f t="shared" ca="1" si="225"/>
        <v>24.83103399639807</v>
      </c>
      <c r="Y741" s="30">
        <f t="shared" ca="1" si="225"/>
        <v>4.3431571178557951</v>
      </c>
      <c r="Z741" s="30">
        <f t="shared" ca="1" si="225"/>
        <v>26.345487427842812</v>
      </c>
      <c r="AA741" s="26">
        <v>733</v>
      </c>
      <c r="AB741" s="31">
        <f t="shared" ca="1" si="222"/>
        <v>11</v>
      </c>
      <c r="AC741" s="31">
        <f t="shared" ca="1" si="211"/>
        <v>20</v>
      </c>
      <c r="AD741" s="31">
        <f t="shared" ca="1" si="212"/>
        <v>2</v>
      </c>
      <c r="AE741" s="31">
        <f t="shared" ca="1" si="213"/>
        <v>23</v>
      </c>
      <c r="AF741" s="31">
        <f t="shared" ca="1" si="214"/>
        <v>23</v>
      </c>
      <c r="AG741" s="31">
        <f t="shared" ca="1" si="215"/>
        <v>20</v>
      </c>
      <c r="AH741" s="31">
        <f t="shared" ca="1" si="216"/>
        <v>46</v>
      </c>
      <c r="AI741" s="31">
        <f t="shared" ca="1" si="217"/>
        <v>37</v>
      </c>
      <c r="AJ741" s="31">
        <f t="shared" ca="1" si="218"/>
        <v>37</v>
      </c>
      <c r="AK741" s="31">
        <f t="shared" ca="1" si="219"/>
        <v>45</v>
      </c>
      <c r="AL741" s="31">
        <f t="shared" ca="1" si="220"/>
        <v>5</v>
      </c>
      <c r="AM741" s="31">
        <f t="shared" ca="1" si="221"/>
        <v>52</v>
      </c>
    </row>
    <row r="742" spans="14:39">
      <c r="N742" s="26">
        <v>734</v>
      </c>
      <c r="O742" s="30">
        <f t="shared" ca="1" si="225"/>
        <v>25.097069741840407</v>
      </c>
      <c r="P742" s="30">
        <f t="shared" ca="1" si="225"/>
        <v>2.2126016647947586</v>
      </c>
      <c r="Q742" s="30">
        <f t="shared" ca="1" si="225"/>
        <v>10.645621841217963</v>
      </c>
      <c r="R742" s="30">
        <f t="shared" ca="1" si="225"/>
        <v>19.493635123623168</v>
      </c>
      <c r="S742" s="30">
        <f t="shared" ca="1" si="225"/>
        <v>30.583122273140862</v>
      </c>
      <c r="T742" s="30">
        <f t="shared" ca="1" si="225"/>
        <v>10.43609195191236</v>
      </c>
      <c r="U742" s="30">
        <f t="shared" ca="1" si="225"/>
        <v>16.720865983356227</v>
      </c>
      <c r="V742" s="30">
        <f t="shared" ca="1" si="225"/>
        <v>11.37606964750529</v>
      </c>
      <c r="W742" s="30">
        <f t="shared" ca="1" si="225"/>
        <v>3.0296466419136845</v>
      </c>
      <c r="X742" s="30">
        <f t="shared" ca="1" si="225"/>
        <v>5.8518941137356756E-2</v>
      </c>
      <c r="Y742" s="30">
        <f t="shared" ca="1" si="225"/>
        <v>20.555879281823625</v>
      </c>
      <c r="Z742" s="30">
        <f t="shared" ca="1" si="225"/>
        <v>12.538135675600577</v>
      </c>
      <c r="AA742" s="26">
        <v>734</v>
      </c>
      <c r="AB742" s="31">
        <f t="shared" ca="1" si="222"/>
        <v>46</v>
      </c>
      <c r="AC742" s="31">
        <f t="shared" ca="1" si="211"/>
        <v>3</v>
      </c>
      <c r="AD742" s="31">
        <f t="shared" ca="1" si="212"/>
        <v>13</v>
      </c>
      <c r="AE742" s="31">
        <f t="shared" ca="1" si="213"/>
        <v>29</v>
      </c>
      <c r="AF742" s="31">
        <f t="shared" ca="1" si="214"/>
        <v>82</v>
      </c>
      <c r="AG742" s="31">
        <f t="shared" ca="1" si="215"/>
        <v>13</v>
      </c>
      <c r="AH742" s="31">
        <f t="shared" ca="1" si="216"/>
        <v>23</v>
      </c>
      <c r="AI742" s="31">
        <f t="shared" ca="1" si="217"/>
        <v>14</v>
      </c>
      <c r="AJ742" s="31">
        <f t="shared" ca="1" si="218"/>
        <v>4</v>
      </c>
      <c r="AK742" s="31">
        <f t="shared" ca="1" si="219"/>
        <v>1</v>
      </c>
      <c r="AL742" s="31">
        <f t="shared" ca="1" si="220"/>
        <v>32</v>
      </c>
      <c r="AM742" s="31">
        <f t="shared" ca="1" si="221"/>
        <v>16</v>
      </c>
    </row>
    <row r="743" spans="14:39">
      <c r="N743" s="26">
        <v>735</v>
      </c>
      <c r="O743" s="30">
        <f t="shared" ca="1" si="225"/>
        <v>25.794821334998705</v>
      </c>
      <c r="P743" s="30">
        <f t="shared" ca="1" si="225"/>
        <v>19.894323726376257</v>
      </c>
      <c r="Q743" s="30">
        <f t="shared" ca="1" si="225"/>
        <v>18.794082570736954</v>
      </c>
      <c r="R743" s="30">
        <f t="shared" ca="1" si="225"/>
        <v>24.734801331125908</v>
      </c>
      <c r="S743" s="30">
        <f t="shared" ca="1" si="225"/>
        <v>14.618951358722439</v>
      </c>
      <c r="T743" s="30">
        <f t="shared" ca="1" si="225"/>
        <v>13.965850028939569</v>
      </c>
      <c r="U743" s="30">
        <f t="shared" ca="1" si="225"/>
        <v>10.550871097320583</v>
      </c>
      <c r="V743" s="30">
        <f t="shared" ca="1" si="225"/>
        <v>5.2669194369264725</v>
      </c>
      <c r="W743" s="30">
        <f t="shared" ca="1" si="225"/>
        <v>13.122655258130486</v>
      </c>
      <c r="X743" s="30">
        <f t="shared" ca="1" si="225"/>
        <v>30.42396188294213</v>
      </c>
      <c r="Y743" s="30">
        <f t="shared" ca="1" si="225"/>
        <v>27.198802816020645</v>
      </c>
      <c r="Z743" s="30">
        <f t="shared" ca="1" si="225"/>
        <v>32.304784688802783</v>
      </c>
      <c r="AA743" s="26">
        <v>735</v>
      </c>
      <c r="AB743" s="31">
        <f t="shared" ca="1" si="222"/>
        <v>49</v>
      </c>
      <c r="AC743" s="31">
        <f t="shared" ca="1" si="211"/>
        <v>30</v>
      </c>
      <c r="AD743" s="31">
        <f t="shared" ca="1" si="212"/>
        <v>28</v>
      </c>
      <c r="AE743" s="31">
        <f t="shared" ca="1" si="213"/>
        <v>45</v>
      </c>
      <c r="AF743" s="31">
        <f t="shared" ca="1" si="214"/>
        <v>19</v>
      </c>
      <c r="AG743" s="31">
        <f t="shared" ca="1" si="215"/>
        <v>18</v>
      </c>
      <c r="AH743" s="31">
        <f t="shared" ca="1" si="216"/>
        <v>13</v>
      </c>
      <c r="AI743" s="31">
        <f t="shared" ca="1" si="217"/>
        <v>6</v>
      </c>
      <c r="AJ743" s="31">
        <f t="shared" ca="1" si="218"/>
        <v>17</v>
      </c>
      <c r="AK743" s="31">
        <f t="shared" ca="1" si="219"/>
        <v>81</v>
      </c>
      <c r="AL743" s="31">
        <f t="shared" ca="1" si="220"/>
        <v>56</v>
      </c>
      <c r="AM743" s="31">
        <f t="shared" ca="1" si="221"/>
        <v>115</v>
      </c>
    </row>
    <row r="744" spans="14:39">
      <c r="N744" s="26">
        <v>736</v>
      </c>
      <c r="O744" s="30">
        <f t="shared" ca="1" si="225"/>
        <v>28.89692419511162</v>
      </c>
      <c r="P744" s="30">
        <f t="shared" ca="1" si="225"/>
        <v>8.6515268412446495</v>
      </c>
      <c r="Q744" s="30">
        <f t="shared" ca="1" si="225"/>
        <v>6.8949068648314915</v>
      </c>
      <c r="R744" s="30">
        <f t="shared" ca="1" si="225"/>
        <v>23.065216082008419</v>
      </c>
      <c r="S744" s="30">
        <f t="shared" ca="1" si="225"/>
        <v>3.6902627234653709</v>
      </c>
      <c r="T744" s="30">
        <f t="shared" ca="1" si="225"/>
        <v>27.911866088615163</v>
      </c>
      <c r="U744" s="30">
        <f t="shared" ca="1" si="225"/>
        <v>29.761564533176699</v>
      </c>
      <c r="V744" s="30">
        <f t="shared" ca="1" si="225"/>
        <v>27.206162230712707</v>
      </c>
      <c r="W744" s="30">
        <f t="shared" ca="1" si="225"/>
        <v>5.0331637832329896</v>
      </c>
      <c r="X744" s="30">
        <f t="shared" ca="1" si="225"/>
        <v>25.303759890300128</v>
      </c>
      <c r="Y744" s="30">
        <f t="shared" ca="1" si="225"/>
        <v>3.8752952563228766</v>
      </c>
      <c r="Z744" s="30">
        <f t="shared" ca="1" si="225"/>
        <v>28.227072156997739</v>
      </c>
      <c r="AA744" s="26">
        <v>736</v>
      </c>
      <c r="AB744" s="31">
        <f t="shared" ca="1" si="222"/>
        <v>67</v>
      </c>
      <c r="AC744" s="31">
        <f t="shared" ca="1" si="211"/>
        <v>10</v>
      </c>
      <c r="AD744" s="31">
        <f t="shared" ca="1" si="212"/>
        <v>8</v>
      </c>
      <c r="AE744" s="31">
        <f t="shared" ca="1" si="213"/>
        <v>39</v>
      </c>
      <c r="AF744" s="31">
        <f t="shared" ca="1" si="214"/>
        <v>4</v>
      </c>
      <c r="AG744" s="31">
        <f t="shared" ca="1" si="215"/>
        <v>60</v>
      </c>
      <c r="AH744" s="31">
        <f t="shared" ca="1" si="216"/>
        <v>74</v>
      </c>
      <c r="AI744" s="31">
        <f t="shared" ca="1" si="217"/>
        <v>56</v>
      </c>
      <c r="AJ744" s="31">
        <f t="shared" ca="1" si="218"/>
        <v>6</v>
      </c>
      <c r="AK744" s="31">
        <f t="shared" ca="1" si="219"/>
        <v>47</v>
      </c>
      <c r="AL744" s="31">
        <f t="shared" ca="1" si="220"/>
        <v>5</v>
      </c>
      <c r="AM744" s="31">
        <f t="shared" ca="1" si="221"/>
        <v>62</v>
      </c>
    </row>
    <row r="745" spans="14:39">
      <c r="N745" s="26">
        <v>737</v>
      </c>
      <c r="O745" s="30">
        <f t="shared" ca="1" si="225"/>
        <v>1.0623261311108148</v>
      </c>
      <c r="P745" s="30">
        <f t="shared" ca="1" si="225"/>
        <v>13.248325222570472</v>
      </c>
      <c r="Q745" s="30">
        <f t="shared" ca="1" si="225"/>
        <v>6.8426063406497404</v>
      </c>
      <c r="R745" s="30">
        <f t="shared" ca="1" si="225"/>
        <v>19.637596182441275</v>
      </c>
      <c r="S745" s="30">
        <f t="shared" ca="1" si="225"/>
        <v>3.9777006119152336</v>
      </c>
      <c r="T745" s="30">
        <f t="shared" ca="1" si="225"/>
        <v>32.319271854245535</v>
      </c>
      <c r="U745" s="30">
        <f t="shared" ca="1" si="225"/>
        <v>8.1697685104406368</v>
      </c>
      <c r="V745" s="30">
        <f t="shared" ca="1" si="225"/>
        <v>7.5152848658295008</v>
      </c>
      <c r="W745" s="30">
        <f t="shared" ca="1" si="225"/>
        <v>26.111212396490288</v>
      </c>
      <c r="X745" s="30">
        <f t="shared" ca="1" si="225"/>
        <v>13.710717229717719</v>
      </c>
      <c r="Y745" s="30">
        <f t="shared" ca="1" si="225"/>
        <v>1.3617366919029217</v>
      </c>
      <c r="Z745" s="30">
        <f t="shared" ca="1" si="225"/>
        <v>22.426739463148067</v>
      </c>
      <c r="AA745" s="26">
        <v>737</v>
      </c>
      <c r="AB745" s="31">
        <f t="shared" ca="1" si="222"/>
        <v>2</v>
      </c>
      <c r="AC745" s="31">
        <f t="shared" ca="1" si="211"/>
        <v>17</v>
      </c>
      <c r="AD745" s="31">
        <f t="shared" ca="1" si="212"/>
        <v>8</v>
      </c>
      <c r="AE745" s="31">
        <f t="shared" ca="1" si="213"/>
        <v>30</v>
      </c>
      <c r="AF745" s="31">
        <f t="shared" ca="1" si="214"/>
        <v>5</v>
      </c>
      <c r="AG745" s="31">
        <f t="shared" ca="1" si="215"/>
        <v>115</v>
      </c>
      <c r="AH745" s="31">
        <f t="shared" ca="1" si="216"/>
        <v>10</v>
      </c>
      <c r="AI745" s="31">
        <f t="shared" ca="1" si="217"/>
        <v>9</v>
      </c>
      <c r="AJ745" s="31">
        <f t="shared" ca="1" si="218"/>
        <v>51</v>
      </c>
      <c r="AK745" s="31">
        <f t="shared" ca="1" si="219"/>
        <v>18</v>
      </c>
      <c r="AL745" s="31">
        <f t="shared" ca="1" si="220"/>
        <v>2</v>
      </c>
      <c r="AM745" s="31">
        <f t="shared" ca="1" si="221"/>
        <v>37</v>
      </c>
    </row>
    <row r="746" spans="14:39">
      <c r="N746" s="26">
        <v>738</v>
      </c>
      <c r="O746" s="30">
        <f t="shared" ca="1" si="225"/>
        <v>7.0270815882610478</v>
      </c>
      <c r="P746" s="30">
        <f t="shared" ca="1" si="225"/>
        <v>8.1734821018576138</v>
      </c>
      <c r="Q746" s="30">
        <f t="shared" ca="1" si="225"/>
        <v>30.513139303490444</v>
      </c>
      <c r="R746" s="30">
        <f t="shared" ca="1" si="225"/>
        <v>20.094313832574045</v>
      </c>
      <c r="S746" s="30">
        <f t="shared" ca="1" si="225"/>
        <v>7.2449460764022362</v>
      </c>
      <c r="T746" s="30">
        <f t="shared" ca="1" si="225"/>
        <v>13.869750925197231</v>
      </c>
      <c r="U746" s="30">
        <f t="shared" ca="1" si="225"/>
        <v>25.667884960417073</v>
      </c>
      <c r="V746" s="30">
        <f t="shared" ca="1" si="225"/>
        <v>19.826176643457906</v>
      </c>
      <c r="W746" s="30">
        <f t="shared" ca="1" si="225"/>
        <v>24.101839018866684</v>
      </c>
      <c r="X746" s="30">
        <f t="shared" ca="1" si="225"/>
        <v>2.389604200932395</v>
      </c>
      <c r="Y746" s="30">
        <f t="shared" ca="1" si="225"/>
        <v>11.092907191057357</v>
      </c>
      <c r="Z746" s="30">
        <f t="shared" ca="1" si="225"/>
        <v>30.354609353187119</v>
      </c>
      <c r="AA746" s="26">
        <v>738</v>
      </c>
      <c r="AB746" s="31">
        <f t="shared" ca="1" si="222"/>
        <v>8</v>
      </c>
      <c r="AC746" s="31">
        <f t="shared" ca="1" si="211"/>
        <v>10</v>
      </c>
      <c r="AD746" s="31">
        <f t="shared" ca="1" si="212"/>
        <v>82</v>
      </c>
      <c r="AE746" s="31">
        <f t="shared" ca="1" si="213"/>
        <v>31</v>
      </c>
      <c r="AF746" s="31">
        <f t="shared" ca="1" si="214"/>
        <v>9</v>
      </c>
      <c r="AG746" s="31">
        <f t="shared" ca="1" si="215"/>
        <v>18</v>
      </c>
      <c r="AH746" s="31">
        <f t="shared" ca="1" si="216"/>
        <v>49</v>
      </c>
      <c r="AI746" s="31">
        <f t="shared" ca="1" si="217"/>
        <v>30</v>
      </c>
      <c r="AJ746" s="31">
        <f t="shared" ca="1" si="218"/>
        <v>43</v>
      </c>
      <c r="AK746" s="31">
        <f t="shared" ca="1" si="219"/>
        <v>3</v>
      </c>
      <c r="AL746" s="31">
        <f t="shared" ca="1" si="220"/>
        <v>14</v>
      </c>
      <c r="AM746" s="31">
        <f t="shared" ca="1" si="221"/>
        <v>80</v>
      </c>
    </row>
    <row r="747" spans="14:39">
      <c r="N747" s="26">
        <v>739</v>
      </c>
      <c r="O747" s="30">
        <f t="shared" ca="1" si="225"/>
        <v>26.905372601198305</v>
      </c>
      <c r="P747" s="30">
        <f t="shared" ca="1" si="225"/>
        <v>22.355936294986297</v>
      </c>
      <c r="Q747" s="30">
        <f t="shared" ca="1" si="225"/>
        <v>8.3820593771632197</v>
      </c>
      <c r="R747" s="30">
        <f t="shared" ca="1" si="225"/>
        <v>6.1312411305872399</v>
      </c>
      <c r="S747" s="30">
        <f t="shared" ca="1" si="225"/>
        <v>19.231414759891585</v>
      </c>
      <c r="T747" s="30">
        <f t="shared" ca="1" si="225"/>
        <v>8.1627125169977504</v>
      </c>
      <c r="U747" s="30">
        <f t="shared" ca="1" si="225"/>
        <v>11.575655247177554</v>
      </c>
      <c r="V747" s="30">
        <f t="shared" ca="1" si="225"/>
        <v>12.767078844915085</v>
      </c>
      <c r="W747" s="30">
        <f t="shared" ca="1" si="225"/>
        <v>28.473953392978888</v>
      </c>
      <c r="X747" s="30">
        <f t="shared" ca="1" si="225"/>
        <v>14.859940290998109</v>
      </c>
      <c r="Y747" s="30">
        <f t="shared" ca="1" si="225"/>
        <v>18.283141413487819</v>
      </c>
      <c r="Z747" s="30">
        <f t="shared" ca="1" si="225"/>
        <v>16.76103763653219</v>
      </c>
      <c r="AA747" s="26">
        <v>739</v>
      </c>
      <c r="AB747" s="31">
        <f t="shared" ca="1" si="222"/>
        <v>55</v>
      </c>
      <c r="AC747" s="31">
        <f t="shared" ca="1" si="211"/>
        <v>37</v>
      </c>
      <c r="AD747" s="31">
        <f t="shared" ca="1" si="212"/>
        <v>10</v>
      </c>
      <c r="AE747" s="31">
        <f t="shared" ca="1" si="213"/>
        <v>7</v>
      </c>
      <c r="AF747" s="31">
        <f t="shared" ca="1" si="214"/>
        <v>29</v>
      </c>
      <c r="AG747" s="31">
        <f t="shared" ca="1" si="215"/>
        <v>10</v>
      </c>
      <c r="AH747" s="31">
        <f t="shared" ca="1" si="216"/>
        <v>15</v>
      </c>
      <c r="AI747" s="31">
        <f t="shared" ca="1" si="217"/>
        <v>16</v>
      </c>
      <c r="AJ747" s="31">
        <f t="shared" ca="1" si="218"/>
        <v>64</v>
      </c>
      <c r="AK747" s="31">
        <f t="shared" ca="1" si="219"/>
        <v>20</v>
      </c>
      <c r="AL747" s="31">
        <f t="shared" ca="1" si="220"/>
        <v>27</v>
      </c>
      <c r="AM747" s="31">
        <f t="shared" ca="1" si="221"/>
        <v>23</v>
      </c>
    </row>
    <row r="748" spans="14:39">
      <c r="N748" s="26">
        <v>740</v>
      </c>
      <c r="O748" s="30">
        <f t="shared" ca="1" si="225"/>
        <v>10.48329970052464</v>
      </c>
      <c r="P748" s="30">
        <f t="shared" ca="1" si="225"/>
        <v>26.800342727974428</v>
      </c>
      <c r="Q748" s="30">
        <f t="shared" ca="1" si="225"/>
        <v>30.763561902416683</v>
      </c>
      <c r="R748" s="30">
        <f t="shared" ca="1" si="225"/>
        <v>17.676492403905947</v>
      </c>
      <c r="S748" s="30">
        <f t="shared" ca="1" si="225"/>
        <v>25.816848886960354</v>
      </c>
      <c r="T748" s="30">
        <f t="shared" ca="1" si="225"/>
        <v>30.575897549296556</v>
      </c>
      <c r="U748" s="30">
        <f t="shared" ca="1" si="225"/>
        <v>7.8357123053901026</v>
      </c>
      <c r="V748" s="30">
        <f t="shared" ca="1" si="225"/>
        <v>18.881333267352613</v>
      </c>
      <c r="W748" s="30">
        <f t="shared" ca="1" si="225"/>
        <v>5.027771247273721</v>
      </c>
      <c r="X748" s="30">
        <f t="shared" ca="1" si="225"/>
        <v>31.101333072053446</v>
      </c>
      <c r="Y748" s="30">
        <f t="shared" ca="1" si="225"/>
        <v>3.2862769102584077</v>
      </c>
      <c r="Z748" s="30">
        <f t="shared" ca="1" si="225"/>
        <v>22.044461226933425</v>
      </c>
      <c r="AA748" s="26">
        <v>740</v>
      </c>
      <c r="AB748" s="31">
        <f t="shared" ca="1" si="222"/>
        <v>13</v>
      </c>
      <c r="AC748" s="31">
        <f t="shared" ca="1" si="211"/>
        <v>54</v>
      </c>
      <c r="AD748" s="31">
        <f t="shared" ca="1" si="212"/>
        <v>85</v>
      </c>
      <c r="AE748" s="31">
        <f t="shared" ca="1" si="213"/>
        <v>25</v>
      </c>
      <c r="AF748" s="31">
        <f t="shared" ca="1" si="214"/>
        <v>49</v>
      </c>
      <c r="AG748" s="31">
        <f t="shared" ca="1" si="215"/>
        <v>82</v>
      </c>
      <c r="AH748" s="31">
        <f t="shared" ca="1" si="216"/>
        <v>9</v>
      </c>
      <c r="AI748" s="31">
        <f t="shared" ca="1" si="217"/>
        <v>28</v>
      </c>
      <c r="AJ748" s="31">
        <f t="shared" ca="1" si="218"/>
        <v>6</v>
      </c>
      <c r="AK748" s="31">
        <f t="shared" ca="1" si="219"/>
        <v>89</v>
      </c>
      <c r="AL748" s="31">
        <f t="shared" ca="1" si="220"/>
        <v>4</v>
      </c>
      <c r="AM748" s="31">
        <f t="shared" ca="1" si="221"/>
        <v>36</v>
      </c>
    </row>
    <row r="749" spans="14:39">
      <c r="N749" s="26">
        <v>741</v>
      </c>
      <c r="O749" s="30">
        <f t="shared" ref="O749:Z758" ca="1" si="226">RAND()*sumweights</f>
        <v>11.465157932752396</v>
      </c>
      <c r="P749" s="30">
        <f t="shared" ca="1" si="226"/>
        <v>13.41878907969585</v>
      </c>
      <c r="Q749" s="30">
        <f t="shared" ca="1" si="226"/>
        <v>7.3093325211770592</v>
      </c>
      <c r="R749" s="30">
        <f t="shared" ca="1" si="226"/>
        <v>10.423893944834614</v>
      </c>
      <c r="S749" s="30">
        <f t="shared" ca="1" si="226"/>
        <v>9.9520207013834501</v>
      </c>
      <c r="T749" s="30">
        <f t="shared" ca="1" si="226"/>
        <v>21.763531870875166</v>
      </c>
      <c r="U749" s="30">
        <f t="shared" ca="1" si="226"/>
        <v>25.217865962083497</v>
      </c>
      <c r="V749" s="30">
        <f t="shared" ca="1" si="226"/>
        <v>31.67798134093988</v>
      </c>
      <c r="W749" s="30">
        <f t="shared" ca="1" si="226"/>
        <v>6.5642895634611014</v>
      </c>
      <c r="X749" s="30">
        <f t="shared" ca="1" si="226"/>
        <v>7.1062578332790309</v>
      </c>
      <c r="Y749" s="30">
        <f t="shared" ca="1" si="226"/>
        <v>29.17174257297642</v>
      </c>
      <c r="Z749" s="30">
        <f t="shared" ca="1" si="226"/>
        <v>19.908096511371443</v>
      </c>
      <c r="AA749" s="26">
        <v>741</v>
      </c>
      <c r="AB749" s="31">
        <f t="shared" ca="1" si="222"/>
        <v>14</v>
      </c>
      <c r="AC749" s="31">
        <f t="shared" ca="1" si="211"/>
        <v>17</v>
      </c>
      <c r="AD749" s="31">
        <f t="shared" ca="1" si="212"/>
        <v>9</v>
      </c>
      <c r="AE749" s="31">
        <f t="shared" ca="1" si="213"/>
        <v>13</v>
      </c>
      <c r="AF749" s="31">
        <f t="shared" ca="1" si="214"/>
        <v>12</v>
      </c>
      <c r="AG749" s="31">
        <f t="shared" ca="1" si="215"/>
        <v>35</v>
      </c>
      <c r="AH749" s="31">
        <f t="shared" ca="1" si="216"/>
        <v>47</v>
      </c>
      <c r="AI749" s="31">
        <f t="shared" ca="1" si="217"/>
        <v>99</v>
      </c>
      <c r="AJ749" s="31">
        <f t="shared" ca="1" si="218"/>
        <v>8</v>
      </c>
      <c r="AK749" s="31">
        <f t="shared" ca="1" si="219"/>
        <v>8</v>
      </c>
      <c r="AL749" s="31">
        <f t="shared" ca="1" si="220"/>
        <v>69</v>
      </c>
      <c r="AM749" s="31">
        <f t="shared" ca="1" si="221"/>
        <v>30</v>
      </c>
    </row>
    <row r="750" spans="14:39">
      <c r="N750" s="26">
        <v>742</v>
      </c>
      <c r="O750" s="30">
        <f t="shared" ca="1" si="226"/>
        <v>24.746776028557736</v>
      </c>
      <c r="P750" s="30">
        <f t="shared" ca="1" si="226"/>
        <v>16.124964392048135</v>
      </c>
      <c r="Q750" s="30">
        <f t="shared" ca="1" si="226"/>
        <v>5.8490212268504589</v>
      </c>
      <c r="R750" s="30">
        <f t="shared" ca="1" si="226"/>
        <v>33.135703440376474</v>
      </c>
      <c r="S750" s="30">
        <f t="shared" ca="1" si="226"/>
        <v>16.780722122945452</v>
      </c>
      <c r="T750" s="30">
        <f t="shared" ca="1" si="226"/>
        <v>16.608928208382306</v>
      </c>
      <c r="U750" s="30">
        <f t="shared" ca="1" si="226"/>
        <v>9.9315409916912216</v>
      </c>
      <c r="V750" s="30">
        <f t="shared" ca="1" si="226"/>
        <v>11.915969655681662</v>
      </c>
      <c r="W750" s="30">
        <f t="shared" ca="1" si="226"/>
        <v>1.6284336612827046</v>
      </c>
      <c r="X750" s="30">
        <f t="shared" ca="1" si="226"/>
        <v>24.391105594689222</v>
      </c>
      <c r="Y750" s="30">
        <f t="shared" ca="1" si="226"/>
        <v>6.8821864752214879</v>
      </c>
      <c r="Z750" s="30">
        <f t="shared" ca="1" si="226"/>
        <v>11.598266237253444</v>
      </c>
      <c r="AA750" s="26">
        <v>742</v>
      </c>
      <c r="AB750" s="31">
        <f t="shared" ca="1" si="222"/>
        <v>45</v>
      </c>
      <c r="AC750" s="31">
        <f t="shared" ca="1" si="211"/>
        <v>22</v>
      </c>
      <c r="AD750" s="31">
        <f t="shared" ca="1" si="212"/>
        <v>7</v>
      </c>
      <c r="AE750" s="31">
        <f t="shared" ca="1" si="213"/>
        <v>169</v>
      </c>
      <c r="AF750" s="31">
        <f t="shared" ca="1" si="214"/>
        <v>23</v>
      </c>
      <c r="AG750" s="31">
        <f t="shared" ca="1" si="215"/>
        <v>23</v>
      </c>
      <c r="AH750" s="31">
        <f t="shared" ca="1" si="216"/>
        <v>12</v>
      </c>
      <c r="AI750" s="31">
        <f t="shared" ca="1" si="217"/>
        <v>15</v>
      </c>
      <c r="AJ750" s="31">
        <f t="shared" ca="1" si="218"/>
        <v>2</v>
      </c>
      <c r="AK750" s="31">
        <f t="shared" ca="1" si="219"/>
        <v>44</v>
      </c>
      <c r="AL750" s="31">
        <f t="shared" ca="1" si="220"/>
        <v>8</v>
      </c>
      <c r="AM750" s="31">
        <f t="shared" ca="1" si="221"/>
        <v>15</v>
      </c>
    </row>
    <row r="751" spans="14:39">
      <c r="N751" s="26">
        <v>743</v>
      </c>
      <c r="O751" s="30">
        <f t="shared" ca="1" si="226"/>
        <v>28.351715618009944</v>
      </c>
      <c r="P751" s="30">
        <f t="shared" ca="1" si="226"/>
        <v>20.975124969014999</v>
      </c>
      <c r="Q751" s="30">
        <f t="shared" ca="1" si="226"/>
        <v>19.570354468881145</v>
      </c>
      <c r="R751" s="30">
        <f t="shared" ca="1" si="226"/>
        <v>24.449790165172367</v>
      </c>
      <c r="S751" s="30">
        <f t="shared" ca="1" si="226"/>
        <v>11.576744984233748</v>
      </c>
      <c r="T751" s="30">
        <f t="shared" ca="1" si="226"/>
        <v>14.187410804560621</v>
      </c>
      <c r="U751" s="30">
        <f t="shared" ca="1" si="226"/>
        <v>31.937122250482325</v>
      </c>
      <c r="V751" s="30">
        <f t="shared" ca="1" si="226"/>
        <v>7.921662728160241</v>
      </c>
      <c r="W751" s="30">
        <f t="shared" ca="1" si="226"/>
        <v>26.83671475112526</v>
      </c>
      <c r="X751" s="30">
        <f t="shared" ca="1" si="226"/>
        <v>21.935998816160453</v>
      </c>
      <c r="Y751" s="30">
        <f t="shared" ca="1" si="226"/>
        <v>29.480848467676811</v>
      </c>
      <c r="Z751" s="30">
        <f t="shared" ca="1" si="226"/>
        <v>18.584397597569303</v>
      </c>
      <c r="AA751" s="26">
        <v>743</v>
      </c>
      <c r="AB751" s="31">
        <f t="shared" ca="1" si="222"/>
        <v>63</v>
      </c>
      <c r="AC751" s="31">
        <f t="shared" ca="1" si="211"/>
        <v>33</v>
      </c>
      <c r="AD751" s="31">
        <f t="shared" ca="1" si="212"/>
        <v>30</v>
      </c>
      <c r="AE751" s="31">
        <f t="shared" ca="1" si="213"/>
        <v>44</v>
      </c>
      <c r="AF751" s="31">
        <f t="shared" ca="1" si="214"/>
        <v>15</v>
      </c>
      <c r="AG751" s="31">
        <f t="shared" ca="1" si="215"/>
        <v>19</v>
      </c>
      <c r="AH751" s="31">
        <f t="shared" ca="1" si="216"/>
        <v>105</v>
      </c>
      <c r="AI751" s="31">
        <f t="shared" ca="1" si="217"/>
        <v>9</v>
      </c>
      <c r="AJ751" s="31">
        <f t="shared" ca="1" si="218"/>
        <v>54</v>
      </c>
      <c r="AK751" s="31">
        <f t="shared" ca="1" si="219"/>
        <v>36</v>
      </c>
      <c r="AL751" s="31">
        <f t="shared" ca="1" si="220"/>
        <v>71</v>
      </c>
      <c r="AM751" s="31">
        <f t="shared" ca="1" si="221"/>
        <v>27</v>
      </c>
    </row>
    <row r="752" spans="14:39">
      <c r="N752" s="26">
        <v>744</v>
      </c>
      <c r="O752" s="30">
        <f t="shared" ca="1" si="226"/>
        <v>32.655005930579868</v>
      </c>
      <c r="P752" s="30">
        <f t="shared" ca="1" si="226"/>
        <v>13.339480820904853</v>
      </c>
      <c r="Q752" s="30">
        <f t="shared" ca="1" si="226"/>
        <v>8.8815379257902034</v>
      </c>
      <c r="R752" s="30">
        <f t="shared" ca="1" si="226"/>
        <v>0.10969242374311805</v>
      </c>
      <c r="S752" s="30">
        <f t="shared" ca="1" si="226"/>
        <v>12.374045083162748</v>
      </c>
      <c r="T752" s="30">
        <f t="shared" ca="1" si="226"/>
        <v>32.020464709218153</v>
      </c>
      <c r="U752" s="30">
        <f t="shared" ca="1" si="226"/>
        <v>30.174727932597222</v>
      </c>
      <c r="V752" s="30">
        <f t="shared" ca="1" si="226"/>
        <v>14.422620357835694</v>
      </c>
      <c r="W752" s="30">
        <f t="shared" ca="1" si="226"/>
        <v>27.146920775768265</v>
      </c>
      <c r="X752" s="30">
        <f t="shared" ca="1" si="226"/>
        <v>18.765837309101304</v>
      </c>
      <c r="Y752" s="30">
        <f t="shared" ca="1" si="226"/>
        <v>27.82391026750766</v>
      </c>
      <c r="Z752" s="30">
        <f t="shared" ca="1" si="226"/>
        <v>7.0658523791661647</v>
      </c>
      <c r="AA752" s="26">
        <v>744</v>
      </c>
      <c r="AB752" s="31">
        <f t="shared" ca="1" si="222"/>
        <v>128</v>
      </c>
      <c r="AC752" s="31">
        <f t="shared" ca="1" si="211"/>
        <v>17</v>
      </c>
      <c r="AD752" s="31">
        <f t="shared" ca="1" si="212"/>
        <v>11</v>
      </c>
      <c r="AE752" s="31">
        <f t="shared" ca="1" si="213"/>
        <v>1</v>
      </c>
      <c r="AF752" s="31">
        <f t="shared" ca="1" si="214"/>
        <v>16</v>
      </c>
      <c r="AG752" s="31">
        <f t="shared" ca="1" si="215"/>
        <v>107</v>
      </c>
      <c r="AH752" s="31">
        <f t="shared" ca="1" si="216"/>
        <v>78</v>
      </c>
      <c r="AI752" s="31">
        <f t="shared" ca="1" si="217"/>
        <v>19</v>
      </c>
      <c r="AJ752" s="31">
        <f t="shared" ca="1" si="218"/>
        <v>56</v>
      </c>
      <c r="AK752" s="31">
        <f t="shared" ca="1" si="219"/>
        <v>28</v>
      </c>
      <c r="AL752" s="31">
        <f t="shared" ca="1" si="220"/>
        <v>60</v>
      </c>
      <c r="AM752" s="31">
        <f t="shared" ca="1" si="221"/>
        <v>8</v>
      </c>
    </row>
    <row r="753" spans="14:39">
      <c r="N753" s="26">
        <v>745</v>
      </c>
      <c r="O753" s="30">
        <f t="shared" ca="1" si="226"/>
        <v>1.5636016519285874</v>
      </c>
      <c r="P753" s="30">
        <f t="shared" ca="1" si="226"/>
        <v>31.456265849551258</v>
      </c>
      <c r="Q753" s="30">
        <f t="shared" ca="1" si="226"/>
        <v>23.549957599320269</v>
      </c>
      <c r="R753" s="30">
        <f t="shared" ca="1" si="226"/>
        <v>28.171702092799283</v>
      </c>
      <c r="S753" s="30">
        <f t="shared" ca="1" si="226"/>
        <v>23.153832489774246</v>
      </c>
      <c r="T753" s="30">
        <f t="shared" ca="1" si="226"/>
        <v>20.165764486794149</v>
      </c>
      <c r="U753" s="30">
        <f t="shared" ca="1" si="226"/>
        <v>18.644788544017306</v>
      </c>
      <c r="V753" s="30">
        <f t="shared" ca="1" si="226"/>
        <v>21.601833573429555</v>
      </c>
      <c r="W753" s="30">
        <f t="shared" ca="1" si="226"/>
        <v>8.6119982517479894</v>
      </c>
      <c r="X753" s="30">
        <f t="shared" ca="1" si="226"/>
        <v>16.194300929269883</v>
      </c>
      <c r="Y753" s="30">
        <f t="shared" ca="1" si="226"/>
        <v>4.9020369245893125</v>
      </c>
      <c r="Z753" s="30">
        <f t="shared" ca="1" si="226"/>
        <v>9.7352992711851059</v>
      </c>
      <c r="AA753" s="26">
        <v>745</v>
      </c>
      <c r="AB753" s="31">
        <f t="shared" ca="1" si="222"/>
        <v>2</v>
      </c>
      <c r="AC753" s="31">
        <f t="shared" ca="1" si="211"/>
        <v>95</v>
      </c>
      <c r="AD753" s="31">
        <f t="shared" ca="1" si="212"/>
        <v>41</v>
      </c>
      <c r="AE753" s="31">
        <f t="shared" ca="1" si="213"/>
        <v>62</v>
      </c>
      <c r="AF753" s="31">
        <f t="shared" ca="1" si="214"/>
        <v>39</v>
      </c>
      <c r="AG753" s="31">
        <f t="shared" ca="1" si="215"/>
        <v>31</v>
      </c>
      <c r="AH753" s="31">
        <f t="shared" ca="1" si="216"/>
        <v>27</v>
      </c>
      <c r="AI753" s="31">
        <f t="shared" ca="1" si="217"/>
        <v>35</v>
      </c>
      <c r="AJ753" s="31">
        <f t="shared" ca="1" si="218"/>
        <v>10</v>
      </c>
      <c r="AK753" s="31">
        <f t="shared" ca="1" si="219"/>
        <v>22</v>
      </c>
      <c r="AL753" s="31">
        <f t="shared" ca="1" si="220"/>
        <v>6</v>
      </c>
      <c r="AM753" s="31">
        <f t="shared" ca="1" si="221"/>
        <v>12</v>
      </c>
    </row>
    <row r="754" spans="14:39">
      <c r="N754" s="26">
        <v>746</v>
      </c>
      <c r="O754" s="30">
        <f t="shared" ca="1" si="226"/>
        <v>12.094447431911613</v>
      </c>
      <c r="P754" s="30">
        <f t="shared" ca="1" si="226"/>
        <v>21.500201462352333</v>
      </c>
      <c r="Q754" s="30">
        <f t="shared" ca="1" si="226"/>
        <v>13.203401963089993</v>
      </c>
      <c r="R754" s="30">
        <f t="shared" ca="1" si="226"/>
        <v>18.478448571861222</v>
      </c>
      <c r="S754" s="30">
        <f t="shared" ca="1" si="226"/>
        <v>5.9518542347525711</v>
      </c>
      <c r="T754" s="30">
        <f t="shared" ca="1" si="226"/>
        <v>12.80754299281981</v>
      </c>
      <c r="U754" s="30">
        <f t="shared" ca="1" si="226"/>
        <v>10.519288687363016</v>
      </c>
      <c r="V754" s="30">
        <f t="shared" ca="1" si="226"/>
        <v>31.166672575335074</v>
      </c>
      <c r="W754" s="30">
        <f t="shared" ca="1" si="226"/>
        <v>2.2166050424668113</v>
      </c>
      <c r="X754" s="30">
        <f t="shared" ca="1" si="226"/>
        <v>27.864278973744067</v>
      </c>
      <c r="Y754" s="30">
        <f t="shared" ca="1" si="226"/>
        <v>25.703357322167669</v>
      </c>
      <c r="Z754" s="30">
        <f t="shared" ca="1" si="226"/>
        <v>11.767162127299256</v>
      </c>
      <c r="AA754" s="26">
        <v>746</v>
      </c>
      <c r="AB754" s="31">
        <f t="shared" ca="1" si="222"/>
        <v>15</v>
      </c>
      <c r="AC754" s="31">
        <f t="shared" ca="1" si="211"/>
        <v>35</v>
      </c>
      <c r="AD754" s="31">
        <f t="shared" ca="1" si="212"/>
        <v>17</v>
      </c>
      <c r="AE754" s="31">
        <f t="shared" ca="1" si="213"/>
        <v>27</v>
      </c>
      <c r="AF754" s="31">
        <f t="shared" ca="1" si="214"/>
        <v>7</v>
      </c>
      <c r="AG754" s="31">
        <f t="shared" ca="1" si="215"/>
        <v>16</v>
      </c>
      <c r="AH754" s="31">
        <f t="shared" ca="1" si="216"/>
        <v>13</v>
      </c>
      <c r="AI754" s="31">
        <f t="shared" ca="1" si="217"/>
        <v>90</v>
      </c>
      <c r="AJ754" s="31">
        <f t="shared" ca="1" si="218"/>
        <v>3</v>
      </c>
      <c r="AK754" s="31">
        <f t="shared" ca="1" si="219"/>
        <v>60</v>
      </c>
      <c r="AL754" s="31">
        <f t="shared" ca="1" si="220"/>
        <v>49</v>
      </c>
      <c r="AM754" s="31">
        <f t="shared" ca="1" si="221"/>
        <v>15</v>
      </c>
    </row>
    <row r="755" spans="14:39">
      <c r="N755" s="26">
        <v>747</v>
      </c>
      <c r="O755" s="30">
        <f t="shared" ca="1" si="226"/>
        <v>0.85251358138484579</v>
      </c>
      <c r="P755" s="30">
        <f t="shared" ca="1" si="226"/>
        <v>10.177347103875057</v>
      </c>
      <c r="Q755" s="30">
        <f t="shared" ca="1" si="226"/>
        <v>2.3982534350216214</v>
      </c>
      <c r="R755" s="30">
        <f t="shared" ca="1" si="226"/>
        <v>18.120342852529625</v>
      </c>
      <c r="S755" s="30">
        <f t="shared" ca="1" si="226"/>
        <v>14.816577186326938</v>
      </c>
      <c r="T755" s="30">
        <f t="shared" ca="1" si="226"/>
        <v>15.589456334219799</v>
      </c>
      <c r="U755" s="30">
        <f t="shared" ca="1" si="226"/>
        <v>30.131465496159688</v>
      </c>
      <c r="V755" s="30">
        <f t="shared" ca="1" si="226"/>
        <v>2.9159092882601541</v>
      </c>
      <c r="W755" s="30">
        <f t="shared" ca="1" si="226"/>
        <v>8.814607826217614</v>
      </c>
      <c r="X755" s="30">
        <f t="shared" ca="1" si="226"/>
        <v>10.622199851403451</v>
      </c>
      <c r="Y755" s="30">
        <f t="shared" ca="1" si="226"/>
        <v>11.455081789795681</v>
      </c>
      <c r="Z755" s="30">
        <f t="shared" ca="1" si="226"/>
        <v>14.70622785226611</v>
      </c>
      <c r="AA755" s="26">
        <v>747</v>
      </c>
      <c r="AB755" s="31">
        <f t="shared" ca="1" si="222"/>
        <v>1</v>
      </c>
      <c r="AC755" s="31">
        <f t="shared" ca="1" si="211"/>
        <v>12</v>
      </c>
      <c r="AD755" s="31">
        <f t="shared" ca="1" si="212"/>
        <v>3</v>
      </c>
      <c r="AE755" s="31">
        <f t="shared" ca="1" si="213"/>
        <v>26</v>
      </c>
      <c r="AF755" s="31">
        <f t="shared" ca="1" si="214"/>
        <v>20</v>
      </c>
      <c r="AG755" s="31">
        <f t="shared" ca="1" si="215"/>
        <v>21</v>
      </c>
      <c r="AH755" s="31">
        <f t="shared" ca="1" si="216"/>
        <v>77</v>
      </c>
      <c r="AI755" s="31">
        <f t="shared" ca="1" si="217"/>
        <v>4</v>
      </c>
      <c r="AJ755" s="31">
        <f t="shared" ca="1" si="218"/>
        <v>11</v>
      </c>
      <c r="AK755" s="31">
        <f t="shared" ca="1" si="219"/>
        <v>13</v>
      </c>
      <c r="AL755" s="31">
        <f t="shared" ca="1" si="220"/>
        <v>14</v>
      </c>
      <c r="AM755" s="31">
        <f t="shared" ca="1" si="221"/>
        <v>20</v>
      </c>
    </row>
    <row r="756" spans="14:39">
      <c r="N756" s="26">
        <v>748</v>
      </c>
      <c r="O756" s="30">
        <f t="shared" ca="1" si="226"/>
        <v>24.983383773251624</v>
      </c>
      <c r="P756" s="30">
        <f t="shared" ca="1" si="226"/>
        <v>3.5190427935728743</v>
      </c>
      <c r="Q756" s="30">
        <f t="shared" ca="1" si="226"/>
        <v>31.365582554627963</v>
      </c>
      <c r="R756" s="30">
        <f t="shared" ca="1" si="226"/>
        <v>9.3990131461927575</v>
      </c>
      <c r="S756" s="30">
        <f t="shared" ca="1" si="226"/>
        <v>2.9593784957012224</v>
      </c>
      <c r="T756" s="30">
        <f t="shared" ca="1" si="226"/>
        <v>20.473281301617938</v>
      </c>
      <c r="U756" s="30">
        <f t="shared" ca="1" si="226"/>
        <v>22.099671655233148</v>
      </c>
      <c r="V756" s="30">
        <f t="shared" ca="1" si="226"/>
        <v>27.639598239873958</v>
      </c>
      <c r="W756" s="30">
        <f t="shared" ca="1" si="226"/>
        <v>8.8753431287562812</v>
      </c>
      <c r="X756" s="30">
        <f t="shared" ca="1" si="226"/>
        <v>24.862773119794813</v>
      </c>
      <c r="Y756" s="30">
        <f t="shared" ca="1" si="226"/>
        <v>30.787385347336759</v>
      </c>
      <c r="Z756" s="30">
        <f t="shared" ca="1" si="226"/>
        <v>2.409788931254945</v>
      </c>
      <c r="AA756" s="26">
        <v>748</v>
      </c>
      <c r="AB756" s="31">
        <f t="shared" ca="1" si="222"/>
        <v>46</v>
      </c>
      <c r="AC756" s="31">
        <f t="shared" ca="1" si="211"/>
        <v>4</v>
      </c>
      <c r="AD756" s="31">
        <f t="shared" ca="1" si="212"/>
        <v>93</v>
      </c>
      <c r="AE756" s="31">
        <f t="shared" ca="1" si="213"/>
        <v>11</v>
      </c>
      <c r="AF756" s="31">
        <f t="shared" ca="1" si="214"/>
        <v>4</v>
      </c>
      <c r="AG756" s="31">
        <f t="shared" ca="1" si="215"/>
        <v>32</v>
      </c>
      <c r="AH756" s="31">
        <f t="shared" ca="1" si="216"/>
        <v>36</v>
      </c>
      <c r="AI756" s="31">
        <f t="shared" ca="1" si="217"/>
        <v>59</v>
      </c>
      <c r="AJ756" s="31">
        <f t="shared" ca="1" si="218"/>
        <v>11</v>
      </c>
      <c r="AK756" s="31">
        <f t="shared" ca="1" si="219"/>
        <v>45</v>
      </c>
      <c r="AL756" s="31">
        <f t="shared" ca="1" si="220"/>
        <v>85</v>
      </c>
      <c r="AM756" s="31">
        <f t="shared" ca="1" si="221"/>
        <v>3</v>
      </c>
    </row>
    <row r="757" spans="14:39">
      <c r="N757" s="26">
        <v>749</v>
      </c>
      <c r="O757" s="30">
        <f t="shared" ca="1" si="226"/>
        <v>1.6105337495332395</v>
      </c>
      <c r="P757" s="30">
        <f t="shared" ca="1" si="226"/>
        <v>11.394698795579957</v>
      </c>
      <c r="Q757" s="30">
        <f t="shared" ca="1" si="226"/>
        <v>16.981540110948149</v>
      </c>
      <c r="R757" s="30">
        <f t="shared" ca="1" si="226"/>
        <v>19.327950156963389</v>
      </c>
      <c r="S757" s="30">
        <f t="shared" ca="1" si="226"/>
        <v>11.158450559531834</v>
      </c>
      <c r="T757" s="30">
        <f t="shared" ca="1" si="226"/>
        <v>6.6698101899733997</v>
      </c>
      <c r="U757" s="30">
        <f t="shared" ca="1" si="226"/>
        <v>11.910624057288212</v>
      </c>
      <c r="V757" s="30">
        <f t="shared" ca="1" si="226"/>
        <v>19.798687226209037</v>
      </c>
      <c r="W757" s="30">
        <f t="shared" ca="1" si="226"/>
        <v>10.343835181655523</v>
      </c>
      <c r="X757" s="30">
        <f t="shared" ca="1" si="226"/>
        <v>22.815722788297009</v>
      </c>
      <c r="Y757" s="30">
        <f t="shared" ca="1" si="226"/>
        <v>17.682333770640874</v>
      </c>
      <c r="Z757" s="30">
        <f t="shared" ca="1" si="226"/>
        <v>20.705663347708015</v>
      </c>
      <c r="AA757" s="26">
        <v>749</v>
      </c>
      <c r="AB757" s="31">
        <f t="shared" ca="1" si="222"/>
        <v>2</v>
      </c>
      <c r="AC757" s="31">
        <f t="shared" ca="1" si="211"/>
        <v>14</v>
      </c>
      <c r="AD757" s="31">
        <f t="shared" ca="1" si="212"/>
        <v>24</v>
      </c>
      <c r="AE757" s="31">
        <f t="shared" ca="1" si="213"/>
        <v>29</v>
      </c>
      <c r="AF757" s="31">
        <f t="shared" ca="1" si="214"/>
        <v>14</v>
      </c>
      <c r="AG757" s="31">
        <f t="shared" ca="1" si="215"/>
        <v>8</v>
      </c>
      <c r="AH757" s="31">
        <f t="shared" ca="1" si="216"/>
        <v>15</v>
      </c>
      <c r="AI757" s="31">
        <f t="shared" ca="1" si="217"/>
        <v>30</v>
      </c>
      <c r="AJ757" s="31">
        <f t="shared" ca="1" si="218"/>
        <v>13</v>
      </c>
      <c r="AK757" s="31">
        <f t="shared" ca="1" si="219"/>
        <v>38</v>
      </c>
      <c r="AL757" s="31">
        <f t="shared" ca="1" si="220"/>
        <v>25</v>
      </c>
      <c r="AM757" s="31">
        <f t="shared" ca="1" si="221"/>
        <v>32</v>
      </c>
    </row>
    <row r="758" spans="14:39">
      <c r="N758" s="26">
        <v>750</v>
      </c>
      <c r="O758" s="30">
        <f t="shared" ca="1" si="226"/>
        <v>31.972571350794333</v>
      </c>
      <c r="P758" s="30">
        <f t="shared" ca="1" si="226"/>
        <v>9.9465484392653529</v>
      </c>
      <c r="Q758" s="30">
        <f t="shared" ca="1" si="226"/>
        <v>4.3441966241638905</v>
      </c>
      <c r="R758" s="30">
        <f t="shared" ca="1" si="226"/>
        <v>3.7054738175709225</v>
      </c>
      <c r="S758" s="30">
        <f t="shared" ca="1" si="226"/>
        <v>17.933640965037593</v>
      </c>
      <c r="T758" s="30">
        <f t="shared" ca="1" si="226"/>
        <v>32.689810178432161</v>
      </c>
      <c r="U758" s="30">
        <f t="shared" ca="1" si="226"/>
        <v>23.289911137039692</v>
      </c>
      <c r="V758" s="30">
        <f t="shared" ca="1" si="226"/>
        <v>14.73087146940324</v>
      </c>
      <c r="W758" s="30">
        <f t="shared" ca="1" si="226"/>
        <v>19.624172181228374</v>
      </c>
      <c r="X758" s="30">
        <f t="shared" ca="1" si="226"/>
        <v>27.484893700815977</v>
      </c>
      <c r="Y758" s="30">
        <f t="shared" ca="1" si="226"/>
        <v>28.571025093364138</v>
      </c>
      <c r="Z758" s="30">
        <f t="shared" ca="1" si="226"/>
        <v>9.0192814540210939</v>
      </c>
      <c r="AA758" s="26">
        <v>750</v>
      </c>
      <c r="AB758" s="31">
        <f t="shared" ca="1" si="222"/>
        <v>106</v>
      </c>
      <c r="AC758" s="31">
        <f t="shared" ca="1" si="211"/>
        <v>12</v>
      </c>
      <c r="AD758" s="31">
        <f t="shared" ca="1" si="212"/>
        <v>5</v>
      </c>
      <c r="AE758" s="31">
        <f t="shared" ca="1" si="213"/>
        <v>4</v>
      </c>
      <c r="AF758" s="31">
        <f t="shared" ca="1" si="214"/>
        <v>26</v>
      </c>
      <c r="AG758" s="31">
        <f t="shared" ca="1" si="215"/>
        <v>130</v>
      </c>
      <c r="AH758" s="31">
        <f t="shared" ca="1" si="216"/>
        <v>40</v>
      </c>
      <c r="AI758" s="31">
        <f t="shared" ca="1" si="217"/>
        <v>20</v>
      </c>
      <c r="AJ758" s="31">
        <f t="shared" ca="1" si="218"/>
        <v>30</v>
      </c>
      <c r="AK758" s="31">
        <f t="shared" ca="1" si="219"/>
        <v>58</v>
      </c>
      <c r="AL758" s="31">
        <f t="shared" ca="1" si="220"/>
        <v>64</v>
      </c>
      <c r="AM758" s="31">
        <f t="shared" ca="1" si="221"/>
        <v>11</v>
      </c>
    </row>
    <row r="759" spans="14:39">
      <c r="N759" s="26">
        <v>751</v>
      </c>
      <c r="O759" s="30">
        <f t="shared" ref="O759:Z768" ca="1" si="227">RAND()*sumweights</f>
        <v>0.50727853375166554</v>
      </c>
      <c r="P759" s="30">
        <f t="shared" ca="1" si="227"/>
        <v>26.981049400085396</v>
      </c>
      <c r="Q759" s="30">
        <f t="shared" ca="1" si="227"/>
        <v>8.9060644064938792</v>
      </c>
      <c r="R759" s="30">
        <f t="shared" ca="1" si="227"/>
        <v>24.740313585822808</v>
      </c>
      <c r="S759" s="30">
        <f t="shared" ca="1" si="227"/>
        <v>11.287265908584768</v>
      </c>
      <c r="T759" s="30">
        <f t="shared" ca="1" si="227"/>
        <v>28.363264216812915</v>
      </c>
      <c r="U759" s="30">
        <f t="shared" ca="1" si="227"/>
        <v>18.3751268904577</v>
      </c>
      <c r="V759" s="30">
        <f t="shared" ca="1" si="227"/>
        <v>23.503778660136668</v>
      </c>
      <c r="W759" s="30">
        <f t="shared" ca="1" si="227"/>
        <v>10.49289273129641</v>
      </c>
      <c r="X759" s="30">
        <f t="shared" ca="1" si="227"/>
        <v>6.7852273500727884</v>
      </c>
      <c r="Y759" s="30">
        <f t="shared" ca="1" si="227"/>
        <v>30.951052841561147</v>
      </c>
      <c r="Z759" s="30">
        <f t="shared" ca="1" si="227"/>
        <v>10.62609841101319</v>
      </c>
      <c r="AA759" s="26">
        <v>751</v>
      </c>
      <c r="AB759" s="31">
        <f t="shared" ca="1" si="222"/>
        <v>1</v>
      </c>
      <c r="AC759" s="31">
        <f t="shared" ca="1" si="211"/>
        <v>55</v>
      </c>
      <c r="AD759" s="31">
        <f t="shared" ca="1" si="212"/>
        <v>11</v>
      </c>
      <c r="AE759" s="31">
        <f t="shared" ca="1" si="213"/>
        <v>45</v>
      </c>
      <c r="AF759" s="31">
        <f t="shared" ca="1" si="214"/>
        <v>14</v>
      </c>
      <c r="AG759" s="31">
        <f t="shared" ca="1" si="215"/>
        <v>63</v>
      </c>
      <c r="AH759" s="31">
        <f t="shared" ca="1" si="216"/>
        <v>27</v>
      </c>
      <c r="AI759" s="31">
        <f t="shared" ca="1" si="217"/>
        <v>41</v>
      </c>
      <c r="AJ759" s="31">
        <f t="shared" ca="1" si="218"/>
        <v>13</v>
      </c>
      <c r="AK759" s="31">
        <f t="shared" ca="1" si="219"/>
        <v>8</v>
      </c>
      <c r="AL759" s="31">
        <f t="shared" ca="1" si="220"/>
        <v>87</v>
      </c>
      <c r="AM759" s="31">
        <f t="shared" ca="1" si="221"/>
        <v>13</v>
      </c>
    </row>
    <row r="760" spans="14:39">
      <c r="N760" s="26">
        <v>752</v>
      </c>
      <c r="O760" s="30">
        <f t="shared" ca="1" si="227"/>
        <v>1.1666200626964036</v>
      </c>
      <c r="P760" s="30">
        <f t="shared" ca="1" si="227"/>
        <v>1.5559597073574072</v>
      </c>
      <c r="Q760" s="30">
        <f t="shared" ca="1" si="227"/>
        <v>14.907253716790505</v>
      </c>
      <c r="R760" s="30">
        <f t="shared" ca="1" si="227"/>
        <v>13.302277265688785</v>
      </c>
      <c r="S760" s="30">
        <f t="shared" ca="1" si="227"/>
        <v>1.432583999662568</v>
      </c>
      <c r="T760" s="30">
        <f t="shared" ca="1" si="227"/>
        <v>30.671752706986968</v>
      </c>
      <c r="U760" s="30">
        <f t="shared" ca="1" si="227"/>
        <v>28.47013826457361</v>
      </c>
      <c r="V760" s="30">
        <f t="shared" ca="1" si="227"/>
        <v>20.734853145977652</v>
      </c>
      <c r="W760" s="30">
        <f t="shared" ca="1" si="227"/>
        <v>31.756541044035803</v>
      </c>
      <c r="X760" s="30">
        <f t="shared" ca="1" si="227"/>
        <v>22.375171737485996</v>
      </c>
      <c r="Y760" s="30">
        <f t="shared" ca="1" si="227"/>
        <v>22.585818072018277</v>
      </c>
      <c r="Z760" s="30">
        <f t="shared" ca="1" si="227"/>
        <v>33.221295168946867</v>
      </c>
      <c r="AA760" s="26">
        <v>752</v>
      </c>
      <c r="AB760" s="31">
        <f t="shared" ca="1" si="222"/>
        <v>2</v>
      </c>
      <c r="AC760" s="31">
        <f t="shared" ca="1" si="211"/>
        <v>2</v>
      </c>
      <c r="AD760" s="31">
        <f t="shared" ca="1" si="212"/>
        <v>20</v>
      </c>
      <c r="AE760" s="31">
        <f t="shared" ca="1" si="213"/>
        <v>17</v>
      </c>
      <c r="AF760" s="31">
        <f t="shared" ca="1" si="214"/>
        <v>2</v>
      </c>
      <c r="AG760" s="31">
        <f t="shared" ca="1" si="215"/>
        <v>83</v>
      </c>
      <c r="AH760" s="31">
        <f t="shared" ca="1" si="216"/>
        <v>64</v>
      </c>
      <c r="AI760" s="31">
        <f t="shared" ca="1" si="217"/>
        <v>32</v>
      </c>
      <c r="AJ760" s="31">
        <f t="shared" ca="1" si="218"/>
        <v>101</v>
      </c>
      <c r="AK760" s="31">
        <f t="shared" ca="1" si="219"/>
        <v>37</v>
      </c>
      <c r="AL760" s="31">
        <f t="shared" ca="1" si="220"/>
        <v>38</v>
      </c>
      <c r="AM760" s="31">
        <f t="shared" ca="1" si="221"/>
        <v>187</v>
      </c>
    </row>
    <row r="761" spans="14:39">
      <c r="N761" s="26">
        <v>753</v>
      </c>
      <c r="O761" s="30">
        <f t="shared" ca="1" si="227"/>
        <v>28.936411061589489</v>
      </c>
      <c r="P761" s="30">
        <f t="shared" ca="1" si="227"/>
        <v>1.0138158162852182</v>
      </c>
      <c r="Q761" s="30">
        <f t="shared" ca="1" si="227"/>
        <v>1.2318262676290681</v>
      </c>
      <c r="R761" s="30">
        <f t="shared" ca="1" si="227"/>
        <v>3.0529557366662439</v>
      </c>
      <c r="S761" s="30">
        <f t="shared" ca="1" si="227"/>
        <v>4.8277968652796375</v>
      </c>
      <c r="T761" s="30">
        <f t="shared" ca="1" si="227"/>
        <v>7.3029727653622638</v>
      </c>
      <c r="U761" s="30">
        <f t="shared" ca="1" si="227"/>
        <v>19.200321285484918</v>
      </c>
      <c r="V761" s="30">
        <f t="shared" ca="1" si="227"/>
        <v>21.996441722322494</v>
      </c>
      <c r="W761" s="30">
        <f t="shared" ca="1" si="227"/>
        <v>21.322391412033699</v>
      </c>
      <c r="X761" s="30">
        <f t="shared" ca="1" si="227"/>
        <v>26.672958368969127</v>
      </c>
      <c r="Y761" s="30">
        <f t="shared" ca="1" si="227"/>
        <v>14.925063606687058</v>
      </c>
      <c r="Z761" s="30">
        <f t="shared" ca="1" si="227"/>
        <v>6.6933730591765865</v>
      </c>
      <c r="AA761" s="26">
        <v>753</v>
      </c>
      <c r="AB761" s="31">
        <f t="shared" ca="1" si="222"/>
        <v>67</v>
      </c>
      <c r="AC761" s="31">
        <f t="shared" ca="1" si="211"/>
        <v>2</v>
      </c>
      <c r="AD761" s="31">
        <f t="shared" ca="1" si="212"/>
        <v>2</v>
      </c>
      <c r="AE761" s="31">
        <f t="shared" ca="1" si="213"/>
        <v>4</v>
      </c>
      <c r="AF761" s="31">
        <f t="shared" ca="1" si="214"/>
        <v>6</v>
      </c>
      <c r="AG761" s="31">
        <f t="shared" ca="1" si="215"/>
        <v>9</v>
      </c>
      <c r="AH761" s="31">
        <f t="shared" ca="1" si="216"/>
        <v>29</v>
      </c>
      <c r="AI761" s="31">
        <f t="shared" ca="1" si="217"/>
        <v>36</v>
      </c>
      <c r="AJ761" s="31">
        <f t="shared" ca="1" si="218"/>
        <v>34</v>
      </c>
      <c r="AK761" s="31">
        <f t="shared" ca="1" si="219"/>
        <v>53</v>
      </c>
      <c r="AL761" s="31">
        <f t="shared" ca="1" si="220"/>
        <v>20</v>
      </c>
      <c r="AM761" s="31">
        <f t="shared" ca="1" si="221"/>
        <v>8</v>
      </c>
    </row>
    <row r="762" spans="14:39">
      <c r="N762" s="26">
        <v>754</v>
      </c>
      <c r="O762" s="30">
        <f t="shared" ca="1" si="227"/>
        <v>28.467793192643455</v>
      </c>
      <c r="P762" s="30">
        <f t="shared" ca="1" si="227"/>
        <v>4.3595185945800079</v>
      </c>
      <c r="Q762" s="30">
        <f t="shared" ca="1" si="227"/>
        <v>16.860032340826219</v>
      </c>
      <c r="R762" s="30">
        <f t="shared" ca="1" si="227"/>
        <v>25.229322079956592</v>
      </c>
      <c r="S762" s="30">
        <f t="shared" ca="1" si="227"/>
        <v>5.2739465133598884</v>
      </c>
      <c r="T762" s="30">
        <f t="shared" ca="1" si="227"/>
        <v>20.45578804933686</v>
      </c>
      <c r="U762" s="30">
        <f t="shared" ca="1" si="227"/>
        <v>11.547594395556981</v>
      </c>
      <c r="V762" s="30">
        <f t="shared" ca="1" si="227"/>
        <v>5.1403758309031087</v>
      </c>
      <c r="W762" s="30">
        <f t="shared" ca="1" si="227"/>
        <v>30.015868760176463</v>
      </c>
      <c r="X762" s="30">
        <f t="shared" ca="1" si="227"/>
        <v>25.985247420566957</v>
      </c>
      <c r="Y762" s="30">
        <f t="shared" ca="1" si="227"/>
        <v>9.4616063978089269</v>
      </c>
      <c r="Z762" s="30">
        <f t="shared" ca="1" si="227"/>
        <v>23.971683346579923</v>
      </c>
      <c r="AA762" s="26">
        <v>754</v>
      </c>
      <c r="AB762" s="31">
        <f t="shared" ca="1" si="222"/>
        <v>64</v>
      </c>
      <c r="AC762" s="31">
        <f t="shared" ca="1" si="211"/>
        <v>5</v>
      </c>
      <c r="AD762" s="31">
        <f t="shared" ca="1" si="212"/>
        <v>24</v>
      </c>
      <c r="AE762" s="31">
        <f t="shared" ca="1" si="213"/>
        <v>47</v>
      </c>
      <c r="AF762" s="31">
        <f t="shared" ca="1" si="214"/>
        <v>6</v>
      </c>
      <c r="AG762" s="31">
        <f t="shared" ca="1" si="215"/>
        <v>32</v>
      </c>
      <c r="AH762" s="31">
        <f t="shared" ca="1" si="216"/>
        <v>14</v>
      </c>
      <c r="AI762" s="31">
        <f t="shared" ca="1" si="217"/>
        <v>6</v>
      </c>
      <c r="AJ762" s="31">
        <f t="shared" ca="1" si="218"/>
        <v>76</v>
      </c>
      <c r="AK762" s="31">
        <f t="shared" ca="1" si="219"/>
        <v>50</v>
      </c>
      <c r="AL762" s="31">
        <f t="shared" ca="1" si="220"/>
        <v>11</v>
      </c>
      <c r="AM762" s="31">
        <f t="shared" ca="1" si="221"/>
        <v>42</v>
      </c>
    </row>
    <row r="763" spans="14:39">
      <c r="N763" s="26">
        <v>755</v>
      </c>
      <c r="O763" s="30">
        <f t="shared" ca="1" si="227"/>
        <v>18.222693548462559</v>
      </c>
      <c r="P763" s="30">
        <f t="shared" ca="1" si="227"/>
        <v>2.0149529571307574</v>
      </c>
      <c r="Q763" s="30">
        <f t="shared" ca="1" si="227"/>
        <v>0.40047988304076576</v>
      </c>
      <c r="R763" s="30">
        <f t="shared" ca="1" si="227"/>
        <v>25.142801596819314</v>
      </c>
      <c r="S763" s="30">
        <f t="shared" ca="1" si="227"/>
        <v>16.941185269059609</v>
      </c>
      <c r="T763" s="30">
        <f t="shared" ca="1" si="227"/>
        <v>15.459675527660638</v>
      </c>
      <c r="U763" s="30">
        <f t="shared" ca="1" si="227"/>
        <v>21.519549985543094</v>
      </c>
      <c r="V763" s="30">
        <f t="shared" ca="1" si="227"/>
        <v>10.568484796693763</v>
      </c>
      <c r="W763" s="30">
        <f t="shared" ca="1" si="227"/>
        <v>3.7370007773731109</v>
      </c>
      <c r="X763" s="30">
        <f t="shared" ca="1" si="227"/>
        <v>10.708209970891094</v>
      </c>
      <c r="Y763" s="30">
        <f t="shared" ca="1" si="227"/>
        <v>27.202146414670889</v>
      </c>
      <c r="Z763" s="30">
        <f t="shared" ca="1" si="227"/>
        <v>31.696287713895636</v>
      </c>
      <c r="AA763" s="26">
        <v>755</v>
      </c>
      <c r="AB763" s="31">
        <f t="shared" ca="1" si="222"/>
        <v>26</v>
      </c>
      <c r="AC763" s="31">
        <f t="shared" ca="1" si="211"/>
        <v>3</v>
      </c>
      <c r="AD763" s="31">
        <f t="shared" ca="1" si="212"/>
        <v>1</v>
      </c>
      <c r="AE763" s="31">
        <f t="shared" ca="1" si="213"/>
        <v>47</v>
      </c>
      <c r="AF763" s="31">
        <f t="shared" ca="1" si="214"/>
        <v>24</v>
      </c>
      <c r="AG763" s="31">
        <f t="shared" ca="1" si="215"/>
        <v>21</v>
      </c>
      <c r="AH763" s="31">
        <f t="shared" ca="1" si="216"/>
        <v>35</v>
      </c>
      <c r="AI763" s="31">
        <f t="shared" ca="1" si="217"/>
        <v>13</v>
      </c>
      <c r="AJ763" s="31">
        <f t="shared" ca="1" si="218"/>
        <v>4</v>
      </c>
      <c r="AK763" s="31">
        <f t="shared" ca="1" si="219"/>
        <v>13</v>
      </c>
      <c r="AL763" s="31">
        <f t="shared" ca="1" si="220"/>
        <v>56</v>
      </c>
      <c r="AM763" s="31">
        <f t="shared" ca="1" si="221"/>
        <v>99</v>
      </c>
    </row>
    <row r="764" spans="14:39">
      <c r="N764" s="26">
        <v>756</v>
      </c>
      <c r="O764" s="30">
        <f t="shared" ca="1" si="227"/>
        <v>17.631807648627433</v>
      </c>
      <c r="P764" s="30">
        <f t="shared" ca="1" si="227"/>
        <v>3.1845815811718619</v>
      </c>
      <c r="Q764" s="30">
        <f t="shared" ca="1" si="227"/>
        <v>14.564791353308253</v>
      </c>
      <c r="R764" s="30">
        <f t="shared" ca="1" si="227"/>
        <v>13.601227033152703</v>
      </c>
      <c r="S764" s="30">
        <f t="shared" ca="1" si="227"/>
        <v>10.857818776931977</v>
      </c>
      <c r="T764" s="30">
        <f t="shared" ca="1" si="227"/>
        <v>15.069993930035467</v>
      </c>
      <c r="U764" s="30">
        <f t="shared" ca="1" si="227"/>
        <v>6.9512102706889891</v>
      </c>
      <c r="V764" s="30">
        <f t="shared" ca="1" si="227"/>
        <v>23.799346020155006</v>
      </c>
      <c r="W764" s="30">
        <f t="shared" ca="1" si="227"/>
        <v>31.334457544425003</v>
      </c>
      <c r="X764" s="30">
        <f t="shared" ca="1" si="227"/>
        <v>30.962760534796931</v>
      </c>
      <c r="Y764" s="30">
        <f t="shared" ca="1" si="227"/>
        <v>3.6629007012719748</v>
      </c>
      <c r="Z764" s="30">
        <f t="shared" ca="1" si="227"/>
        <v>16.072669621429171</v>
      </c>
      <c r="AA764" s="26">
        <v>756</v>
      </c>
      <c r="AB764" s="31">
        <f t="shared" ca="1" si="222"/>
        <v>25</v>
      </c>
      <c r="AC764" s="31">
        <f t="shared" ca="1" si="211"/>
        <v>4</v>
      </c>
      <c r="AD764" s="31">
        <f t="shared" ca="1" si="212"/>
        <v>19</v>
      </c>
      <c r="AE764" s="31">
        <f t="shared" ca="1" si="213"/>
        <v>18</v>
      </c>
      <c r="AF764" s="31">
        <f t="shared" ca="1" si="214"/>
        <v>13</v>
      </c>
      <c r="AG764" s="31">
        <f t="shared" ca="1" si="215"/>
        <v>20</v>
      </c>
      <c r="AH764" s="31">
        <f t="shared" ca="1" si="216"/>
        <v>8</v>
      </c>
      <c r="AI764" s="31">
        <f t="shared" ca="1" si="217"/>
        <v>42</v>
      </c>
      <c r="AJ764" s="31">
        <f t="shared" ca="1" si="218"/>
        <v>93</v>
      </c>
      <c r="AK764" s="31">
        <f t="shared" ca="1" si="219"/>
        <v>87</v>
      </c>
      <c r="AL764" s="31">
        <f t="shared" ca="1" si="220"/>
        <v>4</v>
      </c>
      <c r="AM764" s="31">
        <f t="shared" ca="1" si="221"/>
        <v>22</v>
      </c>
    </row>
    <row r="765" spans="14:39">
      <c r="N765" s="26">
        <v>757</v>
      </c>
      <c r="O765" s="30">
        <f t="shared" ca="1" si="227"/>
        <v>19.600553763343338</v>
      </c>
      <c r="P765" s="30">
        <f t="shared" ca="1" si="227"/>
        <v>14.292725961330561</v>
      </c>
      <c r="Q765" s="30">
        <f t="shared" ca="1" si="227"/>
        <v>20.791303656379519</v>
      </c>
      <c r="R765" s="30">
        <f t="shared" ca="1" si="227"/>
        <v>17.510891601529465</v>
      </c>
      <c r="S765" s="30">
        <f t="shared" ca="1" si="227"/>
        <v>1.482001221756629</v>
      </c>
      <c r="T765" s="30">
        <f t="shared" ca="1" si="227"/>
        <v>31.874397697044973</v>
      </c>
      <c r="U765" s="30">
        <f t="shared" ca="1" si="227"/>
        <v>25.996485056558654</v>
      </c>
      <c r="V765" s="30">
        <f t="shared" ca="1" si="227"/>
        <v>13.989703244190162</v>
      </c>
      <c r="W765" s="30">
        <f t="shared" ca="1" si="227"/>
        <v>9.2725473656260355</v>
      </c>
      <c r="X765" s="30">
        <f t="shared" ca="1" si="227"/>
        <v>5.8177063394070361</v>
      </c>
      <c r="Y765" s="30">
        <f t="shared" ca="1" si="227"/>
        <v>8.6975345121262482</v>
      </c>
      <c r="Z765" s="30">
        <f t="shared" ca="1" si="227"/>
        <v>7.1138957969690093</v>
      </c>
      <c r="AA765" s="26">
        <v>757</v>
      </c>
      <c r="AB765" s="31">
        <f t="shared" ca="1" si="222"/>
        <v>30</v>
      </c>
      <c r="AC765" s="31">
        <f t="shared" ca="1" si="211"/>
        <v>19</v>
      </c>
      <c r="AD765" s="31">
        <f t="shared" ca="1" si="212"/>
        <v>33</v>
      </c>
      <c r="AE765" s="31">
        <f t="shared" ca="1" si="213"/>
        <v>25</v>
      </c>
      <c r="AF765" s="31">
        <f t="shared" ca="1" si="214"/>
        <v>2</v>
      </c>
      <c r="AG765" s="31">
        <f t="shared" ca="1" si="215"/>
        <v>103</v>
      </c>
      <c r="AH765" s="31">
        <f t="shared" ca="1" si="216"/>
        <v>50</v>
      </c>
      <c r="AI765" s="31">
        <f t="shared" ca="1" si="217"/>
        <v>18</v>
      </c>
      <c r="AJ765" s="31">
        <f t="shared" ca="1" si="218"/>
        <v>11</v>
      </c>
      <c r="AK765" s="31">
        <f t="shared" ca="1" si="219"/>
        <v>7</v>
      </c>
      <c r="AL765" s="31">
        <f t="shared" ca="1" si="220"/>
        <v>10</v>
      </c>
      <c r="AM765" s="31">
        <f t="shared" ca="1" si="221"/>
        <v>8</v>
      </c>
    </row>
    <row r="766" spans="14:39">
      <c r="N766" s="26">
        <v>758</v>
      </c>
      <c r="O766" s="30">
        <f t="shared" ca="1" si="227"/>
        <v>27.019625027144283</v>
      </c>
      <c r="P766" s="30">
        <f t="shared" ca="1" si="227"/>
        <v>17.07163222520953</v>
      </c>
      <c r="Q766" s="30">
        <f t="shared" ca="1" si="227"/>
        <v>23.079313382727833</v>
      </c>
      <c r="R766" s="30">
        <f t="shared" ca="1" si="227"/>
        <v>19.461277043737308</v>
      </c>
      <c r="S766" s="30">
        <f t="shared" ca="1" si="227"/>
        <v>6.5457276139165916</v>
      </c>
      <c r="T766" s="30">
        <f t="shared" ca="1" si="227"/>
        <v>21.017813312437738</v>
      </c>
      <c r="U766" s="30">
        <f t="shared" ca="1" si="227"/>
        <v>12.277409182663799</v>
      </c>
      <c r="V766" s="30">
        <f t="shared" ca="1" si="227"/>
        <v>9.1751727157159308</v>
      </c>
      <c r="W766" s="30">
        <f t="shared" ca="1" si="227"/>
        <v>16.72057938166374</v>
      </c>
      <c r="X766" s="30">
        <f t="shared" ca="1" si="227"/>
        <v>26.816718754245343</v>
      </c>
      <c r="Y766" s="30">
        <f t="shared" ca="1" si="227"/>
        <v>12.788048526565202</v>
      </c>
      <c r="Z766" s="30">
        <f t="shared" ca="1" si="227"/>
        <v>22.096347720905108</v>
      </c>
      <c r="AA766" s="26">
        <v>758</v>
      </c>
      <c r="AB766" s="31">
        <f t="shared" ca="1" si="222"/>
        <v>55</v>
      </c>
      <c r="AC766" s="31">
        <f t="shared" ca="1" si="211"/>
        <v>24</v>
      </c>
      <c r="AD766" s="31">
        <f t="shared" ca="1" si="212"/>
        <v>39</v>
      </c>
      <c r="AE766" s="31">
        <f t="shared" ca="1" si="213"/>
        <v>29</v>
      </c>
      <c r="AF766" s="31">
        <f t="shared" ca="1" si="214"/>
        <v>8</v>
      </c>
      <c r="AG766" s="31">
        <f t="shared" ca="1" si="215"/>
        <v>33</v>
      </c>
      <c r="AH766" s="31">
        <f t="shared" ca="1" si="216"/>
        <v>16</v>
      </c>
      <c r="AI766" s="31">
        <f t="shared" ca="1" si="217"/>
        <v>11</v>
      </c>
      <c r="AJ766" s="31">
        <f t="shared" ca="1" si="218"/>
        <v>23</v>
      </c>
      <c r="AK766" s="31">
        <f t="shared" ca="1" si="219"/>
        <v>54</v>
      </c>
      <c r="AL766" s="31">
        <f t="shared" ca="1" si="220"/>
        <v>16</v>
      </c>
      <c r="AM766" s="31">
        <f t="shared" ca="1" si="221"/>
        <v>36</v>
      </c>
    </row>
    <row r="767" spans="14:39">
      <c r="N767" s="26">
        <v>759</v>
      </c>
      <c r="O767" s="30">
        <f t="shared" ca="1" si="227"/>
        <v>15.623430041892979</v>
      </c>
      <c r="P767" s="30">
        <f t="shared" ca="1" si="227"/>
        <v>28.427176384879981</v>
      </c>
      <c r="Q767" s="30">
        <f t="shared" ca="1" si="227"/>
        <v>14.432550668314862</v>
      </c>
      <c r="R767" s="30">
        <f t="shared" ca="1" si="227"/>
        <v>3.6911014420120081</v>
      </c>
      <c r="S767" s="30">
        <f t="shared" ca="1" si="227"/>
        <v>32.705946096356548</v>
      </c>
      <c r="T767" s="30">
        <f t="shared" ca="1" si="227"/>
        <v>9.442803040901671</v>
      </c>
      <c r="U767" s="30">
        <f t="shared" ca="1" si="227"/>
        <v>26.717425727598236</v>
      </c>
      <c r="V767" s="30">
        <f t="shared" ca="1" si="227"/>
        <v>19.286671658665544</v>
      </c>
      <c r="W767" s="30">
        <f t="shared" ca="1" si="227"/>
        <v>26.131188325086146</v>
      </c>
      <c r="X767" s="30">
        <f t="shared" ca="1" si="227"/>
        <v>9.3225438507123712</v>
      </c>
      <c r="Y767" s="30">
        <f t="shared" ca="1" si="227"/>
        <v>32.020779868908306</v>
      </c>
      <c r="Z767" s="30">
        <f t="shared" ca="1" si="227"/>
        <v>14.745933733976752</v>
      </c>
      <c r="AA767" s="26">
        <v>759</v>
      </c>
      <c r="AB767" s="31">
        <f t="shared" ca="1" si="222"/>
        <v>21</v>
      </c>
      <c r="AC767" s="31">
        <f t="shared" ca="1" si="211"/>
        <v>63</v>
      </c>
      <c r="AD767" s="31">
        <f t="shared" ca="1" si="212"/>
        <v>19</v>
      </c>
      <c r="AE767" s="31">
        <f t="shared" ca="1" si="213"/>
        <v>4</v>
      </c>
      <c r="AF767" s="31">
        <f t="shared" ca="1" si="214"/>
        <v>131</v>
      </c>
      <c r="AG767" s="31">
        <f t="shared" ca="1" si="215"/>
        <v>11</v>
      </c>
      <c r="AH767" s="31">
        <f t="shared" ca="1" si="216"/>
        <v>54</v>
      </c>
      <c r="AI767" s="31">
        <f t="shared" ca="1" si="217"/>
        <v>29</v>
      </c>
      <c r="AJ767" s="31">
        <f t="shared" ca="1" si="218"/>
        <v>51</v>
      </c>
      <c r="AK767" s="31">
        <f t="shared" ca="1" si="219"/>
        <v>11</v>
      </c>
      <c r="AL767" s="31">
        <f t="shared" ca="1" si="220"/>
        <v>107</v>
      </c>
      <c r="AM767" s="31">
        <f t="shared" ca="1" si="221"/>
        <v>20</v>
      </c>
    </row>
    <row r="768" spans="14:39">
      <c r="N768" s="26">
        <v>760</v>
      </c>
      <c r="O768" s="30">
        <f t="shared" ca="1" si="227"/>
        <v>11.998325564686006</v>
      </c>
      <c r="P768" s="30">
        <f t="shared" ca="1" si="227"/>
        <v>23.969277711034579</v>
      </c>
      <c r="Q768" s="30">
        <f t="shared" ca="1" si="227"/>
        <v>31.223900005986113</v>
      </c>
      <c r="R768" s="30">
        <f t="shared" ca="1" si="227"/>
        <v>20.869643060298124</v>
      </c>
      <c r="S768" s="30">
        <f t="shared" ca="1" si="227"/>
        <v>9.1709792530285537</v>
      </c>
      <c r="T768" s="30">
        <f t="shared" ca="1" si="227"/>
        <v>7.5751541547964472</v>
      </c>
      <c r="U768" s="30">
        <f t="shared" ca="1" si="227"/>
        <v>31.718406401098118</v>
      </c>
      <c r="V768" s="30">
        <f t="shared" ca="1" si="227"/>
        <v>19.707301825711532</v>
      </c>
      <c r="W768" s="30">
        <f t="shared" ca="1" si="227"/>
        <v>3.9735713563181063</v>
      </c>
      <c r="X768" s="30">
        <f t="shared" ca="1" si="227"/>
        <v>16.169031842119384</v>
      </c>
      <c r="Y768" s="30">
        <f t="shared" ca="1" si="227"/>
        <v>20.490001993150912</v>
      </c>
      <c r="Z768" s="30">
        <f t="shared" ca="1" si="227"/>
        <v>5.8619187743750878</v>
      </c>
      <c r="AA768" s="26">
        <v>760</v>
      </c>
      <c r="AB768" s="31">
        <f t="shared" ca="1" si="222"/>
        <v>15</v>
      </c>
      <c r="AC768" s="31">
        <f t="shared" ca="1" si="211"/>
        <v>42</v>
      </c>
      <c r="AD768" s="31">
        <f t="shared" ca="1" si="212"/>
        <v>91</v>
      </c>
      <c r="AE768" s="31">
        <f t="shared" ca="1" si="213"/>
        <v>33</v>
      </c>
      <c r="AF768" s="31">
        <f t="shared" ca="1" si="214"/>
        <v>11</v>
      </c>
      <c r="AG768" s="31">
        <f t="shared" ca="1" si="215"/>
        <v>9</v>
      </c>
      <c r="AH768" s="31">
        <f t="shared" ca="1" si="216"/>
        <v>100</v>
      </c>
      <c r="AI768" s="31">
        <f t="shared" ca="1" si="217"/>
        <v>30</v>
      </c>
      <c r="AJ768" s="31">
        <f t="shared" ca="1" si="218"/>
        <v>5</v>
      </c>
      <c r="AK768" s="31">
        <f t="shared" ca="1" si="219"/>
        <v>22</v>
      </c>
      <c r="AL768" s="31">
        <f t="shared" ca="1" si="220"/>
        <v>32</v>
      </c>
      <c r="AM768" s="31">
        <f t="shared" ca="1" si="221"/>
        <v>7</v>
      </c>
    </row>
    <row r="769" spans="14:39">
      <c r="N769" s="26">
        <v>761</v>
      </c>
      <c r="O769" s="30">
        <f t="shared" ref="O769:Z778" ca="1" si="228">RAND()*sumweights</f>
        <v>16.196926944605057</v>
      </c>
      <c r="P769" s="30">
        <f t="shared" ca="1" si="228"/>
        <v>22.918050083254933</v>
      </c>
      <c r="Q769" s="30">
        <f t="shared" ca="1" si="228"/>
        <v>10.148913536397526</v>
      </c>
      <c r="R769" s="30">
        <f t="shared" ca="1" si="228"/>
        <v>21.947169658875133</v>
      </c>
      <c r="S769" s="30">
        <f t="shared" ca="1" si="228"/>
        <v>17.950932932735554</v>
      </c>
      <c r="T769" s="30">
        <f t="shared" ca="1" si="228"/>
        <v>6.8619780787414841</v>
      </c>
      <c r="U769" s="30">
        <f t="shared" ca="1" si="228"/>
        <v>8.3128879957238677</v>
      </c>
      <c r="V769" s="30">
        <f t="shared" ca="1" si="228"/>
        <v>19.847332459859796</v>
      </c>
      <c r="W769" s="30">
        <f t="shared" ca="1" si="228"/>
        <v>5.5792165446722795</v>
      </c>
      <c r="X769" s="30">
        <f t="shared" ca="1" si="228"/>
        <v>23.807400466363564</v>
      </c>
      <c r="Y769" s="30">
        <f t="shared" ca="1" si="228"/>
        <v>21.711084945185998</v>
      </c>
      <c r="Z769" s="30">
        <f t="shared" ca="1" si="228"/>
        <v>2.22107732757779</v>
      </c>
      <c r="AA769" s="26">
        <v>761</v>
      </c>
      <c r="AB769" s="31">
        <f t="shared" ca="1" si="222"/>
        <v>22</v>
      </c>
      <c r="AC769" s="31">
        <f t="shared" ca="1" si="211"/>
        <v>39</v>
      </c>
      <c r="AD769" s="31">
        <f t="shared" ca="1" si="212"/>
        <v>12</v>
      </c>
      <c r="AE769" s="31">
        <f t="shared" ca="1" si="213"/>
        <v>36</v>
      </c>
      <c r="AF769" s="31">
        <f t="shared" ca="1" si="214"/>
        <v>26</v>
      </c>
      <c r="AG769" s="31">
        <f t="shared" ca="1" si="215"/>
        <v>8</v>
      </c>
      <c r="AH769" s="31">
        <f t="shared" ca="1" si="216"/>
        <v>10</v>
      </c>
      <c r="AI769" s="31">
        <f t="shared" ca="1" si="217"/>
        <v>30</v>
      </c>
      <c r="AJ769" s="31">
        <f t="shared" ca="1" si="218"/>
        <v>7</v>
      </c>
      <c r="AK769" s="31">
        <f t="shared" ca="1" si="219"/>
        <v>42</v>
      </c>
      <c r="AL769" s="31">
        <f t="shared" ca="1" si="220"/>
        <v>35</v>
      </c>
      <c r="AM769" s="31">
        <f t="shared" ca="1" si="221"/>
        <v>3</v>
      </c>
    </row>
    <row r="770" spans="14:39">
      <c r="N770" s="26">
        <v>762</v>
      </c>
      <c r="O770" s="30">
        <f t="shared" ca="1" si="228"/>
        <v>1.2397467956046528</v>
      </c>
      <c r="P770" s="30">
        <f t="shared" ca="1" si="228"/>
        <v>5.6338152083950339</v>
      </c>
      <c r="Q770" s="30">
        <f t="shared" ca="1" si="228"/>
        <v>5.4177527213475392</v>
      </c>
      <c r="R770" s="30">
        <f t="shared" ca="1" si="228"/>
        <v>12.283266714530084</v>
      </c>
      <c r="S770" s="30">
        <f t="shared" ca="1" si="228"/>
        <v>31.020756182961712</v>
      </c>
      <c r="T770" s="30">
        <f t="shared" ca="1" si="228"/>
        <v>13.307938409325679</v>
      </c>
      <c r="U770" s="30">
        <f t="shared" ca="1" si="228"/>
        <v>18.25151861428958</v>
      </c>
      <c r="V770" s="30">
        <f t="shared" ca="1" si="228"/>
        <v>9.2137175959845088</v>
      </c>
      <c r="W770" s="30">
        <f t="shared" ca="1" si="228"/>
        <v>11.455815605373996</v>
      </c>
      <c r="X770" s="30">
        <f t="shared" ca="1" si="228"/>
        <v>27.495138241000262</v>
      </c>
      <c r="Y770" s="30">
        <f t="shared" ca="1" si="228"/>
        <v>3.7697321588453669</v>
      </c>
      <c r="Z770" s="30">
        <f t="shared" ca="1" si="228"/>
        <v>28.103692938425112</v>
      </c>
      <c r="AA770" s="26">
        <v>762</v>
      </c>
      <c r="AB770" s="31">
        <f t="shared" ca="1" si="222"/>
        <v>2</v>
      </c>
      <c r="AC770" s="31">
        <f t="shared" ca="1" si="211"/>
        <v>7</v>
      </c>
      <c r="AD770" s="31">
        <f t="shared" ca="1" si="212"/>
        <v>6</v>
      </c>
      <c r="AE770" s="31">
        <f t="shared" ca="1" si="213"/>
        <v>16</v>
      </c>
      <c r="AF770" s="31">
        <f t="shared" ca="1" si="214"/>
        <v>88</v>
      </c>
      <c r="AG770" s="31">
        <f t="shared" ca="1" si="215"/>
        <v>17</v>
      </c>
      <c r="AH770" s="31">
        <f t="shared" ca="1" si="216"/>
        <v>27</v>
      </c>
      <c r="AI770" s="31">
        <f t="shared" ca="1" si="217"/>
        <v>11</v>
      </c>
      <c r="AJ770" s="31">
        <f t="shared" ca="1" si="218"/>
        <v>14</v>
      </c>
      <c r="AK770" s="31">
        <f t="shared" ca="1" si="219"/>
        <v>58</v>
      </c>
      <c r="AL770" s="31">
        <f t="shared" ca="1" si="220"/>
        <v>4</v>
      </c>
      <c r="AM770" s="31">
        <f t="shared" ca="1" si="221"/>
        <v>61</v>
      </c>
    </row>
    <row r="771" spans="14:39">
      <c r="N771" s="26">
        <v>763</v>
      </c>
      <c r="O771" s="30">
        <f t="shared" ca="1" si="228"/>
        <v>8.89600115891594</v>
      </c>
      <c r="P771" s="30">
        <f t="shared" ca="1" si="228"/>
        <v>16.118838556708063</v>
      </c>
      <c r="Q771" s="30">
        <f t="shared" ca="1" si="228"/>
        <v>32.508794398174416</v>
      </c>
      <c r="R771" s="30">
        <f t="shared" ca="1" si="228"/>
        <v>12.34817278215116</v>
      </c>
      <c r="S771" s="30">
        <f t="shared" ca="1" si="228"/>
        <v>8.3882981890164139</v>
      </c>
      <c r="T771" s="30">
        <f t="shared" ca="1" si="228"/>
        <v>23.908593967194324</v>
      </c>
      <c r="U771" s="30">
        <f t="shared" ca="1" si="228"/>
        <v>14.273899101407014</v>
      </c>
      <c r="V771" s="30">
        <f t="shared" ca="1" si="228"/>
        <v>13.418599457958319</v>
      </c>
      <c r="W771" s="30">
        <f t="shared" ca="1" si="228"/>
        <v>0.84388967707816276</v>
      </c>
      <c r="X771" s="30">
        <f t="shared" ca="1" si="228"/>
        <v>18.323949903486287</v>
      </c>
      <c r="Y771" s="30">
        <f t="shared" ca="1" si="228"/>
        <v>30.99657076354633</v>
      </c>
      <c r="Z771" s="30">
        <f t="shared" ca="1" si="228"/>
        <v>23.456937469213017</v>
      </c>
      <c r="AA771" s="26">
        <v>763</v>
      </c>
      <c r="AB771" s="31">
        <f t="shared" ca="1" si="222"/>
        <v>11</v>
      </c>
      <c r="AC771" s="31">
        <f t="shared" ca="1" si="211"/>
        <v>22</v>
      </c>
      <c r="AD771" s="31">
        <f t="shared" ca="1" si="212"/>
        <v>122</v>
      </c>
      <c r="AE771" s="31">
        <f t="shared" ca="1" si="213"/>
        <v>16</v>
      </c>
      <c r="AF771" s="31">
        <f t="shared" ca="1" si="214"/>
        <v>10</v>
      </c>
      <c r="AG771" s="31">
        <f t="shared" ca="1" si="215"/>
        <v>42</v>
      </c>
      <c r="AH771" s="31">
        <f t="shared" ca="1" si="216"/>
        <v>19</v>
      </c>
      <c r="AI771" s="31">
        <f t="shared" ca="1" si="217"/>
        <v>17</v>
      </c>
      <c r="AJ771" s="31">
        <f t="shared" ca="1" si="218"/>
        <v>1</v>
      </c>
      <c r="AK771" s="31">
        <f t="shared" ca="1" si="219"/>
        <v>27</v>
      </c>
      <c r="AL771" s="31">
        <f t="shared" ca="1" si="220"/>
        <v>88</v>
      </c>
      <c r="AM771" s="31">
        <f t="shared" ca="1" si="221"/>
        <v>40</v>
      </c>
    </row>
    <row r="772" spans="14:39">
      <c r="N772" s="26">
        <v>764</v>
      </c>
      <c r="O772" s="30">
        <f t="shared" ca="1" si="228"/>
        <v>5.1275923089637825</v>
      </c>
      <c r="P772" s="30">
        <f t="shared" ca="1" si="228"/>
        <v>16.886518480944705</v>
      </c>
      <c r="Q772" s="30">
        <f t="shared" ca="1" si="228"/>
        <v>17.066712939028992</v>
      </c>
      <c r="R772" s="30">
        <f t="shared" ca="1" si="228"/>
        <v>27.616434912756333</v>
      </c>
      <c r="S772" s="30">
        <f t="shared" ca="1" si="228"/>
        <v>23.811661814943268</v>
      </c>
      <c r="T772" s="30">
        <f t="shared" ca="1" si="228"/>
        <v>23.240034674542979</v>
      </c>
      <c r="U772" s="30">
        <f t="shared" ca="1" si="228"/>
        <v>18.629966601719879</v>
      </c>
      <c r="V772" s="30">
        <f t="shared" ca="1" si="228"/>
        <v>30.015853143694088</v>
      </c>
      <c r="W772" s="30">
        <f t="shared" ca="1" si="228"/>
        <v>2.0791141666793913</v>
      </c>
      <c r="X772" s="30">
        <f t="shared" ca="1" si="228"/>
        <v>7.0926251639205526</v>
      </c>
      <c r="Y772" s="30">
        <f t="shared" ca="1" si="228"/>
        <v>25.794378262289822</v>
      </c>
      <c r="Z772" s="30">
        <f t="shared" ca="1" si="228"/>
        <v>2.6665213381659454</v>
      </c>
      <c r="AA772" s="26">
        <v>764</v>
      </c>
      <c r="AB772" s="31">
        <f t="shared" ca="1" si="222"/>
        <v>6</v>
      </c>
      <c r="AC772" s="31">
        <f t="shared" ca="1" si="211"/>
        <v>24</v>
      </c>
      <c r="AD772" s="31">
        <f t="shared" ca="1" si="212"/>
        <v>24</v>
      </c>
      <c r="AE772" s="31">
        <f t="shared" ca="1" si="213"/>
        <v>58</v>
      </c>
      <c r="AF772" s="31">
        <f t="shared" ca="1" si="214"/>
        <v>42</v>
      </c>
      <c r="AG772" s="31">
        <f t="shared" ca="1" si="215"/>
        <v>40</v>
      </c>
      <c r="AH772" s="31">
        <f t="shared" ca="1" si="216"/>
        <v>27</v>
      </c>
      <c r="AI772" s="31">
        <f t="shared" ca="1" si="217"/>
        <v>76</v>
      </c>
      <c r="AJ772" s="31">
        <f t="shared" ca="1" si="218"/>
        <v>3</v>
      </c>
      <c r="AK772" s="31">
        <f t="shared" ca="1" si="219"/>
        <v>8</v>
      </c>
      <c r="AL772" s="31">
        <f t="shared" ca="1" si="220"/>
        <v>49</v>
      </c>
      <c r="AM772" s="31">
        <f t="shared" ca="1" si="221"/>
        <v>3</v>
      </c>
    </row>
    <row r="773" spans="14:39">
      <c r="N773" s="26">
        <v>765</v>
      </c>
      <c r="O773" s="30">
        <f t="shared" ca="1" si="228"/>
        <v>11.832224793109413</v>
      </c>
      <c r="P773" s="30">
        <f t="shared" ca="1" si="228"/>
        <v>26.949584727202311</v>
      </c>
      <c r="Q773" s="30">
        <f t="shared" ca="1" si="228"/>
        <v>3.9286746932411694</v>
      </c>
      <c r="R773" s="30">
        <f t="shared" ca="1" si="228"/>
        <v>12.728641533180989</v>
      </c>
      <c r="S773" s="30">
        <f t="shared" ca="1" si="228"/>
        <v>17.282762780576331</v>
      </c>
      <c r="T773" s="30">
        <f t="shared" ca="1" si="228"/>
        <v>3.3686653077327455</v>
      </c>
      <c r="U773" s="30">
        <f t="shared" ca="1" si="228"/>
        <v>26.771659117749319</v>
      </c>
      <c r="V773" s="30">
        <f t="shared" ca="1" si="228"/>
        <v>24.808383757604894</v>
      </c>
      <c r="W773" s="30">
        <f t="shared" ca="1" si="228"/>
        <v>29.485523395567526</v>
      </c>
      <c r="X773" s="30">
        <f t="shared" ca="1" si="228"/>
        <v>15.450230872682585</v>
      </c>
      <c r="Y773" s="30">
        <f t="shared" ca="1" si="228"/>
        <v>19.23061442541751</v>
      </c>
      <c r="Z773" s="30">
        <f t="shared" ca="1" si="228"/>
        <v>20.675571718538318</v>
      </c>
      <c r="AA773" s="26">
        <v>765</v>
      </c>
      <c r="AB773" s="31">
        <f t="shared" ca="1" si="222"/>
        <v>15</v>
      </c>
      <c r="AC773" s="31">
        <f t="shared" ca="1" si="211"/>
        <v>55</v>
      </c>
      <c r="AD773" s="31">
        <f t="shared" ca="1" si="212"/>
        <v>5</v>
      </c>
      <c r="AE773" s="31">
        <f t="shared" ca="1" si="213"/>
        <v>16</v>
      </c>
      <c r="AF773" s="31">
        <f t="shared" ca="1" si="214"/>
        <v>24</v>
      </c>
      <c r="AG773" s="31">
        <f t="shared" ca="1" si="215"/>
        <v>4</v>
      </c>
      <c r="AH773" s="31">
        <f t="shared" ca="1" si="216"/>
        <v>54</v>
      </c>
      <c r="AI773" s="31">
        <f t="shared" ca="1" si="217"/>
        <v>45</v>
      </c>
      <c r="AJ773" s="31">
        <f t="shared" ca="1" si="218"/>
        <v>71</v>
      </c>
      <c r="AK773" s="31">
        <f t="shared" ca="1" si="219"/>
        <v>21</v>
      </c>
      <c r="AL773" s="31">
        <f t="shared" ca="1" si="220"/>
        <v>29</v>
      </c>
      <c r="AM773" s="31">
        <f t="shared" ca="1" si="221"/>
        <v>32</v>
      </c>
    </row>
    <row r="774" spans="14:39">
      <c r="N774" s="26">
        <v>766</v>
      </c>
      <c r="O774" s="30">
        <f t="shared" ca="1" si="228"/>
        <v>1.3892349135893753</v>
      </c>
      <c r="P774" s="30">
        <f t="shared" ca="1" si="228"/>
        <v>20.812399942312545</v>
      </c>
      <c r="Q774" s="30">
        <f t="shared" ca="1" si="228"/>
        <v>13.523800266068902</v>
      </c>
      <c r="R774" s="30">
        <f t="shared" ca="1" si="228"/>
        <v>12.131518958140745</v>
      </c>
      <c r="S774" s="30">
        <f t="shared" ca="1" si="228"/>
        <v>25.503355539862902</v>
      </c>
      <c r="T774" s="30">
        <f t="shared" ca="1" si="228"/>
        <v>14.53475786934195</v>
      </c>
      <c r="U774" s="30">
        <f t="shared" ca="1" si="228"/>
        <v>7.9907674969021256</v>
      </c>
      <c r="V774" s="30">
        <f t="shared" ca="1" si="228"/>
        <v>4.2971093787891901</v>
      </c>
      <c r="W774" s="30">
        <f t="shared" ca="1" si="228"/>
        <v>10.034215936693725</v>
      </c>
      <c r="X774" s="30">
        <f t="shared" ca="1" si="228"/>
        <v>10.178394955940901</v>
      </c>
      <c r="Y774" s="30">
        <f t="shared" ca="1" si="228"/>
        <v>17.272934871600235</v>
      </c>
      <c r="Z774" s="30">
        <f t="shared" ca="1" si="228"/>
        <v>1.7596070663948267</v>
      </c>
      <c r="AA774" s="26">
        <v>766</v>
      </c>
      <c r="AB774" s="31">
        <f t="shared" ca="1" si="222"/>
        <v>2</v>
      </c>
      <c r="AC774" s="31">
        <f t="shared" ca="1" si="211"/>
        <v>33</v>
      </c>
      <c r="AD774" s="31">
        <f t="shared" ca="1" si="212"/>
        <v>18</v>
      </c>
      <c r="AE774" s="31">
        <f t="shared" ca="1" si="213"/>
        <v>15</v>
      </c>
      <c r="AF774" s="31">
        <f t="shared" ca="1" si="214"/>
        <v>48</v>
      </c>
      <c r="AG774" s="31">
        <f t="shared" ca="1" si="215"/>
        <v>19</v>
      </c>
      <c r="AH774" s="31">
        <f t="shared" ca="1" si="216"/>
        <v>9</v>
      </c>
      <c r="AI774" s="31">
        <f t="shared" ca="1" si="217"/>
        <v>5</v>
      </c>
      <c r="AJ774" s="31">
        <f t="shared" ca="1" si="218"/>
        <v>12</v>
      </c>
      <c r="AK774" s="31">
        <f t="shared" ca="1" si="219"/>
        <v>12</v>
      </c>
      <c r="AL774" s="31">
        <f t="shared" ca="1" si="220"/>
        <v>24</v>
      </c>
      <c r="AM774" s="31">
        <f t="shared" ca="1" si="221"/>
        <v>2</v>
      </c>
    </row>
    <row r="775" spans="14:39">
      <c r="N775" s="26">
        <v>767</v>
      </c>
      <c r="O775" s="30">
        <f t="shared" ca="1" si="228"/>
        <v>30.399494381867562</v>
      </c>
      <c r="P775" s="30">
        <f t="shared" ca="1" si="228"/>
        <v>22.511417537360732</v>
      </c>
      <c r="Q775" s="30">
        <f t="shared" ca="1" si="228"/>
        <v>9.941333968901148</v>
      </c>
      <c r="R775" s="30">
        <f t="shared" ca="1" si="228"/>
        <v>16.680982440460191</v>
      </c>
      <c r="S775" s="30">
        <f t="shared" ca="1" si="228"/>
        <v>7.5330677346155523</v>
      </c>
      <c r="T775" s="30">
        <f t="shared" ca="1" si="228"/>
        <v>10.629124818945288</v>
      </c>
      <c r="U775" s="30">
        <f t="shared" ca="1" si="228"/>
        <v>2.9831320213970125</v>
      </c>
      <c r="V775" s="30">
        <f t="shared" ca="1" si="228"/>
        <v>12.906163813469913</v>
      </c>
      <c r="W775" s="30">
        <f t="shared" ca="1" si="228"/>
        <v>22.416043537062926</v>
      </c>
      <c r="X775" s="30">
        <f t="shared" ca="1" si="228"/>
        <v>11.587153148146877</v>
      </c>
      <c r="Y775" s="30">
        <f t="shared" ca="1" si="228"/>
        <v>29.935340655285398</v>
      </c>
      <c r="Z775" s="30">
        <f t="shared" ca="1" si="228"/>
        <v>16.911781041402378</v>
      </c>
      <c r="AA775" s="26">
        <v>767</v>
      </c>
      <c r="AB775" s="31">
        <f t="shared" ca="1" si="222"/>
        <v>80</v>
      </c>
      <c r="AC775" s="31">
        <f t="shared" ca="1" si="211"/>
        <v>37</v>
      </c>
      <c r="AD775" s="31">
        <f t="shared" ca="1" si="212"/>
        <v>12</v>
      </c>
      <c r="AE775" s="31">
        <f t="shared" ca="1" si="213"/>
        <v>23</v>
      </c>
      <c r="AF775" s="31">
        <f t="shared" ca="1" si="214"/>
        <v>9</v>
      </c>
      <c r="AG775" s="31">
        <f t="shared" ca="1" si="215"/>
        <v>13</v>
      </c>
      <c r="AH775" s="31">
        <f t="shared" ca="1" si="216"/>
        <v>4</v>
      </c>
      <c r="AI775" s="31">
        <f t="shared" ca="1" si="217"/>
        <v>17</v>
      </c>
      <c r="AJ775" s="31">
        <f t="shared" ca="1" si="218"/>
        <v>37</v>
      </c>
      <c r="AK775" s="31">
        <f t="shared" ca="1" si="219"/>
        <v>15</v>
      </c>
      <c r="AL775" s="31">
        <f t="shared" ca="1" si="220"/>
        <v>75</v>
      </c>
      <c r="AM775" s="31">
        <f t="shared" ca="1" si="221"/>
        <v>24</v>
      </c>
    </row>
    <row r="776" spans="14:39">
      <c r="N776" s="26">
        <v>768</v>
      </c>
      <c r="O776" s="30">
        <f t="shared" ca="1" si="228"/>
        <v>15.64417417231733</v>
      </c>
      <c r="P776" s="30">
        <f t="shared" ca="1" si="228"/>
        <v>27.910850773726636</v>
      </c>
      <c r="Q776" s="30">
        <f t="shared" ca="1" si="228"/>
        <v>31.182356600593895</v>
      </c>
      <c r="R776" s="30">
        <f t="shared" ca="1" si="228"/>
        <v>1.7869910470428112</v>
      </c>
      <c r="S776" s="30">
        <f t="shared" ca="1" si="228"/>
        <v>4.5127968530029365</v>
      </c>
      <c r="T776" s="30">
        <f t="shared" ca="1" si="228"/>
        <v>27.893842006068763</v>
      </c>
      <c r="U776" s="30">
        <f t="shared" ca="1" si="228"/>
        <v>31.809825775737067</v>
      </c>
      <c r="V776" s="30">
        <f t="shared" ca="1" si="228"/>
        <v>23.754683172492079</v>
      </c>
      <c r="W776" s="30">
        <f t="shared" ca="1" si="228"/>
        <v>19.137919902917137</v>
      </c>
      <c r="X776" s="30">
        <f t="shared" ca="1" si="228"/>
        <v>22.928818436887308</v>
      </c>
      <c r="Y776" s="30">
        <f t="shared" ca="1" si="228"/>
        <v>3.4111458495817435</v>
      </c>
      <c r="Z776" s="30">
        <f t="shared" ca="1" si="228"/>
        <v>5.6156475149406395</v>
      </c>
      <c r="AA776" s="26">
        <v>768</v>
      </c>
      <c r="AB776" s="31">
        <f t="shared" ca="1" si="222"/>
        <v>21</v>
      </c>
      <c r="AC776" s="31">
        <f t="shared" ca="1" si="211"/>
        <v>60</v>
      </c>
      <c r="AD776" s="31">
        <f t="shared" ca="1" si="212"/>
        <v>90</v>
      </c>
      <c r="AE776" s="31">
        <f t="shared" ca="1" si="213"/>
        <v>2</v>
      </c>
      <c r="AF776" s="31">
        <f t="shared" ca="1" si="214"/>
        <v>5</v>
      </c>
      <c r="AG776" s="31">
        <f t="shared" ca="1" si="215"/>
        <v>60</v>
      </c>
      <c r="AH776" s="31">
        <f t="shared" ca="1" si="216"/>
        <v>102</v>
      </c>
      <c r="AI776" s="31">
        <f t="shared" ca="1" si="217"/>
        <v>41</v>
      </c>
      <c r="AJ776" s="31">
        <f t="shared" ca="1" si="218"/>
        <v>29</v>
      </c>
      <c r="AK776" s="31">
        <f t="shared" ca="1" si="219"/>
        <v>39</v>
      </c>
      <c r="AL776" s="31">
        <f t="shared" ca="1" si="220"/>
        <v>4</v>
      </c>
      <c r="AM776" s="31">
        <f t="shared" ca="1" si="221"/>
        <v>7</v>
      </c>
    </row>
    <row r="777" spans="14:39">
      <c r="N777" s="26">
        <v>769</v>
      </c>
      <c r="O777" s="30">
        <f t="shared" ca="1" si="228"/>
        <v>9.3988061866643271</v>
      </c>
      <c r="P777" s="30">
        <f t="shared" ca="1" si="228"/>
        <v>28.640591790796435</v>
      </c>
      <c r="Q777" s="30">
        <f t="shared" ca="1" si="228"/>
        <v>28.059680703724418</v>
      </c>
      <c r="R777" s="30">
        <f t="shared" ca="1" si="228"/>
        <v>21.773860171808916</v>
      </c>
      <c r="S777" s="30">
        <f t="shared" ca="1" si="228"/>
        <v>15.638899707856581</v>
      </c>
      <c r="T777" s="30">
        <f t="shared" ca="1" si="228"/>
        <v>8.2421358452126956</v>
      </c>
      <c r="U777" s="30">
        <f t="shared" ca="1" si="228"/>
        <v>21.100748632623283</v>
      </c>
      <c r="V777" s="30">
        <f t="shared" ca="1" si="228"/>
        <v>21.444385753118929</v>
      </c>
      <c r="W777" s="30">
        <f t="shared" ca="1" si="228"/>
        <v>27.370715906985787</v>
      </c>
      <c r="X777" s="30">
        <f t="shared" ca="1" si="228"/>
        <v>11.154964826308149</v>
      </c>
      <c r="Y777" s="30">
        <f t="shared" ca="1" si="228"/>
        <v>25.057054041731547</v>
      </c>
      <c r="Z777" s="30">
        <f t="shared" ca="1" si="228"/>
        <v>30.837648269418974</v>
      </c>
      <c r="AA777" s="26">
        <v>769</v>
      </c>
      <c r="AB777" s="31">
        <f t="shared" ca="1" si="222"/>
        <v>11</v>
      </c>
      <c r="AC777" s="31">
        <f t="shared" ref="AC777:AC840" ca="1" si="229">MATCH(P777,cum_wt,1)</f>
        <v>65</v>
      </c>
      <c r="AD777" s="31">
        <f t="shared" ref="AD777:AD840" ca="1" si="230">MATCH(Q777,cum_wt,1)</f>
        <v>61</v>
      </c>
      <c r="AE777" s="31">
        <f t="shared" ref="AE777:AE840" ca="1" si="231">MATCH(R777,cum_wt,1)</f>
        <v>35</v>
      </c>
      <c r="AF777" s="31">
        <f t="shared" ref="AF777:AF840" ca="1" si="232">MATCH(S777,cum_wt,1)</f>
        <v>21</v>
      </c>
      <c r="AG777" s="31">
        <f t="shared" ref="AG777:AG840" ca="1" si="233">MATCH(T777,cum_wt,1)</f>
        <v>10</v>
      </c>
      <c r="AH777" s="31">
        <f t="shared" ref="AH777:AH840" ca="1" si="234">MATCH(U777,cum_wt,1)</f>
        <v>33</v>
      </c>
      <c r="AI777" s="31">
        <f t="shared" ref="AI777:AI840" ca="1" si="235">MATCH(V777,cum_wt,1)</f>
        <v>34</v>
      </c>
      <c r="AJ777" s="31">
        <f t="shared" ref="AJ777:AJ840" ca="1" si="236">MATCH(W777,cum_wt,1)</f>
        <v>57</v>
      </c>
      <c r="AK777" s="31">
        <f t="shared" ref="AK777:AK840" ca="1" si="237">MATCH(X777,cum_wt,1)</f>
        <v>14</v>
      </c>
      <c r="AL777" s="31">
        <f t="shared" ref="AL777:AL840" ca="1" si="238">MATCH(Y777,cum_wt,1)</f>
        <v>46</v>
      </c>
      <c r="AM777" s="31">
        <f t="shared" ref="AM777:AM840" ca="1" si="239">MATCH(Z777,cum_wt,1)</f>
        <v>86</v>
      </c>
    </row>
    <row r="778" spans="14:39">
      <c r="N778" s="26">
        <v>770</v>
      </c>
      <c r="O778" s="30">
        <f t="shared" ca="1" si="228"/>
        <v>30.70072426102508</v>
      </c>
      <c r="P778" s="30">
        <f t="shared" ca="1" si="228"/>
        <v>3.1116270759593241</v>
      </c>
      <c r="Q778" s="30">
        <f t="shared" ca="1" si="228"/>
        <v>11.32638989613741</v>
      </c>
      <c r="R778" s="30">
        <f t="shared" ca="1" si="228"/>
        <v>16.157673877283386</v>
      </c>
      <c r="S778" s="30">
        <f t="shared" ca="1" si="228"/>
        <v>20.011960454547232</v>
      </c>
      <c r="T778" s="30">
        <f t="shared" ca="1" si="228"/>
        <v>32.332727476078652</v>
      </c>
      <c r="U778" s="30">
        <f t="shared" ca="1" si="228"/>
        <v>13.999266629487444</v>
      </c>
      <c r="V778" s="30">
        <f t="shared" ca="1" si="228"/>
        <v>33.191333057955752</v>
      </c>
      <c r="W778" s="30">
        <f t="shared" ca="1" si="228"/>
        <v>23.448463691401159</v>
      </c>
      <c r="X778" s="30">
        <f t="shared" ca="1" si="228"/>
        <v>23.44331443800986</v>
      </c>
      <c r="Y778" s="30">
        <f t="shared" ca="1" si="228"/>
        <v>10.652161163186827</v>
      </c>
      <c r="Z778" s="30">
        <f t="shared" ca="1" si="228"/>
        <v>12.634368720306737</v>
      </c>
      <c r="AA778" s="26">
        <v>770</v>
      </c>
      <c r="AB778" s="31">
        <f t="shared" ref="AB778:AB841" ca="1" si="240">MATCH(O778,cum_wt,1)</f>
        <v>84</v>
      </c>
      <c r="AC778" s="31">
        <f t="shared" ca="1" si="229"/>
        <v>4</v>
      </c>
      <c r="AD778" s="31">
        <f t="shared" ca="1" si="230"/>
        <v>14</v>
      </c>
      <c r="AE778" s="31">
        <f t="shared" ca="1" si="231"/>
        <v>22</v>
      </c>
      <c r="AF778" s="31">
        <f t="shared" ca="1" si="232"/>
        <v>31</v>
      </c>
      <c r="AG778" s="31">
        <f t="shared" ca="1" si="233"/>
        <v>116</v>
      </c>
      <c r="AH778" s="31">
        <f t="shared" ca="1" si="234"/>
        <v>18</v>
      </c>
      <c r="AI778" s="31">
        <f t="shared" ca="1" si="235"/>
        <v>180</v>
      </c>
      <c r="AJ778" s="31">
        <f t="shared" ca="1" si="236"/>
        <v>40</v>
      </c>
      <c r="AK778" s="31">
        <f t="shared" ca="1" si="237"/>
        <v>40</v>
      </c>
      <c r="AL778" s="31">
        <f t="shared" ca="1" si="238"/>
        <v>13</v>
      </c>
      <c r="AM778" s="31">
        <f t="shared" ca="1" si="239"/>
        <v>16</v>
      </c>
    </row>
    <row r="779" spans="14:39">
      <c r="N779" s="26">
        <v>771</v>
      </c>
      <c r="O779" s="30">
        <f t="shared" ref="O779:Z788" ca="1" si="241">RAND()*sumweights</f>
        <v>5.840889852692845</v>
      </c>
      <c r="P779" s="30">
        <f t="shared" ca="1" si="241"/>
        <v>8.5183283637488341</v>
      </c>
      <c r="Q779" s="30">
        <f t="shared" ca="1" si="241"/>
        <v>25.991513425844587</v>
      </c>
      <c r="R779" s="30">
        <f t="shared" ca="1" si="241"/>
        <v>9.2777437529210651</v>
      </c>
      <c r="S779" s="30">
        <f t="shared" ca="1" si="241"/>
        <v>27.337385291734265</v>
      </c>
      <c r="T779" s="30">
        <f t="shared" ca="1" si="241"/>
        <v>16.21825402210753</v>
      </c>
      <c r="U779" s="30">
        <f t="shared" ca="1" si="241"/>
        <v>18.156753940535694</v>
      </c>
      <c r="V779" s="30">
        <f t="shared" ca="1" si="241"/>
        <v>3.728468311422112</v>
      </c>
      <c r="W779" s="30">
        <f t="shared" ca="1" si="241"/>
        <v>1.5816903062181402</v>
      </c>
      <c r="X779" s="30">
        <f t="shared" ca="1" si="241"/>
        <v>18.025539012041975</v>
      </c>
      <c r="Y779" s="30">
        <f t="shared" ca="1" si="241"/>
        <v>23.767377705804336</v>
      </c>
      <c r="Z779" s="30">
        <f t="shared" ca="1" si="241"/>
        <v>7.3551057704113205</v>
      </c>
      <c r="AA779" s="26">
        <v>771</v>
      </c>
      <c r="AB779" s="31">
        <f t="shared" ca="1" si="240"/>
        <v>7</v>
      </c>
      <c r="AC779" s="31">
        <f t="shared" ca="1" si="229"/>
        <v>10</v>
      </c>
      <c r="AD779" s="31">
        <f t="shared" ca="1" si="230"/>
        <v>50</v>
      </c>
      <c r="AE779" s="31">
        <f t="shared" ca="1" si="231"/>
        <v>11</v>
      </c>
      <c r="AF779" s="31">
        <f t="shared" ca="1" si="232"/>
        <v>57</v>
      </c>
      <c r="AG779" s="31">
        <f t="shared" ca="1" si="233"/>
        <v>22</v>
      </c>
      <c r="AH779" s="31">
        <f t="shared" ca="1" si="234"/>
        <v>26</v>
      </c>
      <c r="AI779" s="31">
        <f t="shared" ca="1" si="235"/>
        <v>4</v>
      </c>
      <c r="AJ779" s="31">
        <f t="shared" ca="1" si="236"/>
        <v>2</v>
      </c>
      <c r="AK779" s="31">
        <f t="shared" ca="1" si="237"/>
        <v>26</v>
      </c>
      <c r="AL779" s="31">
        <f t="shared" ca="1" si="238"/>
        <v>41</v>
      </c>
      <c r="AM779" s="31">
        <f t="shared" ca="1" si="239"/>
        <v>9</v>
      </c>
    </row>
    <row r="780" spans="14:39">
      <c r="N780" s="26">
        <v>772</v>
      </c>
      <c r="O780" s="30">
        <f t="shared" ca="1" si="241"/>
        <v>24.508563240758708</v>
      </c>
      <c r="P780" s="30">
        <f t="shared" ca="1" si="241"/>
        <v>20.581114619879649</v>
      </c>
      <c r="Q780" s="30">
        <f t="shared" ca="1" si="241"/>
        <v>7.1427119684474292</v>
      </c>
      <c r="R780" s="30">
        <f t="shared" ca="1" si="241"/>
        <v>26.012454338625268</v>
      </c>
      <c r="S780" s="30">
        <f t="shared" ca="1" si="241"/>
        <v>26.549453854425145</v>
      </c>
      <c r="T780" s="30">
        <f t="shared" ca="1" si="241"/>
        <v>19.875294495901521</v>
      </c>
      <c r="U780" s="30">
        <f t="shared" ca="1" si="241"/>
        <v>12.282850259949434</v>
      </c>
      <c r="V780" s="30">
        <f t="shared" ca="1" si="241"/>
        <v>9.5442066617157977</v>
      </c>
      <c r="W780" s="30">
        <f t="shared" ca="1" si="241"/>
        <v>23.160344544270789</v>
      </c>
      <c r="X780" s="30">
        <f t="shared" ca="1" si="241"/>
        <v>2.869622101738968</v>
      </c>
      <c r="Y780" s="30">
        <f t="shared" ca="1" si="241"/>
        <v>21.801525205994427</v>
      </c>
      <c r="Z780" s="30">
        <f t="shared" ca="1" si="241"/>
        <v>14.895562117166623</v>
      </c>
      <c r="AA780" s="26">
        <v>772</v>
      </c>
      <c r="AB780" s="31">
        <f t="shared" ca="1" si="240"/>
        <v>44</v>
      </c>
      <c r="AC780" s="31">
        <f t="shared" ca="1" si="229"/>
        <v>32</v>
      </c>
      <c r="AD780" s="31">
        <f t="shared" ca="1" si="230"/>
        <v>8</v>
      </c>
      <c r="AE780" s="31">
        <f t="shared" ca="1" si="231"/>
        <v>50</v>
      </c>
      <c r="AF780" s="31">
        <f t="shared" ca="1" si="232"/>
        <v>53</v>
      </c>
      <c r="AG780" s="31">
        <f t="shared" ca="1" si="233"/>
        <v>30</v>
      </c>
      <c r="AH780" s="31">
        <f t="shared" ca="1" si="234"/>
        <v>16</v>
      </c>
      <c r="AI780" s="31">
        <f t="shared" ca="1" si="235"/>
        <v>12</v>
      </c>
      <c r="AJ780" s="31">
        <f t="shared" ca="1" si="236"/>
        <v>39</v>
      </c>
      <c r="AK780" s="31">
        <f t="shared" ca="1" si="237"/>
        <v>3</v>
      </c>
      <c r="AL780" s="31">
        <f t="shared" ca="1" si="238"/>
        <v>35</v>
      </c>
      <c r="AM780" s="31">
        <f t="shared" ca="1" si="239"/>
        <v>20</v>
      </c>
    </row>
    <row r="781" spans="14:39">
      <c r="N781" s="26">
        <v>773</v>
      </c>
      <c r="O781" s="30">
        <f t="shared" ca="1" si="241"/>
        <v>25.922534328750732</v>
      </c>
      <c r="P781" s="30">
        <f t="shared" ca="1" si="241"/>
        <v>26.782265639564688</v>
      </c>
      <c r="Q781" s="30">
        <f t="shared" ca="1" si="241"/>
        <v>24.292547125307568</v>
      </c>
      <c r="R781" s="30">
        <f t="shared" ca="1" si="241"/>
        <v>1.7141213678965916</v>
      </c>
      <c r="S781" s="30">
        <f t="shared" ca="1" si="241"/>
        <v>26.048827067888766</v>
      </c>
      <c r="T781" s="30">
        <f t="shared" ca="1" si="241"/>
        <v>29.498911219951381</v>
      </c>
      <c r="U781" s="30">
        <f t="shared" ca="1" si="241"/>
        <v>8.9775733653364824</v>
      </c>
      <c r="V781" s="30">
        <f t="shared" ca="1" si="241"/>
        <v>6.9709708791405429</v>
      </c>
      <c r="W781" s="30">
        <f t="shared" ca="1" si="241"/>
        <v>32.082379833571423</v>
      </c>
      <c r="X781" s="30">
        <f t="shared" ca="1" si="241"/>
        <v>1.9291566046648445</v>
      </c>
      <c r="Y781" s="30">
        <f t="shared" ca="1" si="241"/>
        <v>8.5493818600490226</v>
      </c>
      <c r="Z781" s="30">
        <f t="shared" ca="1" si="241"/>
        <v>8.6075634629812416</v>
      </c>
      <c r="AA781" s="26">
        <v>773</v>
      </c>
      <c r="AB781" s="31">
        <f t="shared" ca="1" si="240"/>
        <v>50</v>
      </c>
      <c r="AC781" s="31">
        <f t="shared" ca="1" si="229"/>
        <v>54</v>
      </c>
      <c r="AD781" s="31">
        <f t="shared" ca="1" si="230"/>
        <v>43</v>
      </c>
      <c r="AE781" s="31">
        <f t="shared" ca="1" si="231"/>
        <v>2</v>
      </c>
      <c r="AF781" s="31">
        <f t="shared" ca="1" si="232"/>
        <v>50</v>
      </c>
      <c r="AG781" s="31">
        <f t="shared" ca="1" si="233"/>
        <v>71</v>
      </c>
      <c r="AH781" s="31">
        <f t="shared" ca="1" si="234"/>
        <v>11</v>
      </c>
      <c r="AI781" s="31">
        <f t="shared" ca="1" si="235"/>
        <v>8</v>
      </c>
      <c r="AJ781" s="31">
        <f t="shared" ca="1" si="236"/>
        <v>108</v>
      </c>
      <c r="AK781" s="31">
        <f t="shared" ca="1" si="237"/>
        <v>2</v>
      </c>
      <c r="AL781" s="31">
        <f t="shared" ca="1" si="238"/>
        <v>10</v>
      </c>
      <c r="AM781" s="31">
        <f t="shared" ca="1" si="239"/>
        <v>10</v>
      </c>
    </row>
    <row r="782" spans="14:39">
      <c r="N782" s="26">
        <v>774</v>
      </c>
      <c r="O782" s="30">
        <f t="shared" ca="1" si="241"/>
        <v>23.784123561655818</v>
      </c>
      <c r="P782" s="30">
        <f t="shared" ca="1" si="241"/>
        <v>8.2433792571284208</v>
      </c>
      <c r="Q782" s="30">
        <f t="shared" ca="1" si="241"/>
        <v>29.117992879803918</v>
      </c>
      <c r="R782" s="30">
        <f t="shared" ca="1" si="241"/>
        <v>8.4036908345175263</v>
      </c>
      <c r="S782" s="30">
        <f t="shared" ca="1" si="241"/>
        <v>24.374997852163162</v>
      </c>
      <c r="T782" s="30">
        <f t="shared" ca="1" si="241"/>
        <v>32.002515654513608</v>
      </c>
      <c r="U782" s="30">
        <f t="shared" ca="1" si="241"/>
        <v>18.892249107526471</v>
      </c>
      <c r="V782" s="30">
        <f t="shared" ca="1" si="241"/>
        <v>30.477750024657876</v>
      </c>
      <c r="W782" s="30">
        <f t="shared" ca="1" si="241"/>
        <v>24.472026021645771</v>
      </c>
      <c r="X782" s="30">
        <f t="shared" ca="1" si="241"/>
        <v>5.4234906643426921</v>
      </c>
      <c r="Y782" s="30">
        <f t="shared" ca="1" si="241"/>
        <v>13.417367027122006</v>
      </c>
      <c r="Z782" s="30">
        <f t="shared" ca="1" si="241"/>
        <v>2.1685431233789769</v>
      </c>
      <c r="AA782" s="26">
        <v>774</v>
      </c>
      <c r="AB782" s="31">
        <f t="shared" ca="1" si="240"/>
        <v>42</v>
      </c>
      <c r="AC782" s="31">
        <f t="shared" ca="1" si="229"/>
        <v>10</v>
      </c>
      <c r="AD782" s="31">
        <f t="shared" ca="1" si="230"/>
        <v>68</v>
      </c>
      <c r="AE782" s="31">
        <f t="shared" ca="1" si="231"/>
        <v>10</v>
      </c>
      <c r="AF782" s="31">
        <f t="shared" ca="1" si="232"/>
        <v>44</v>
      </c>
      <c r="AG782" s="31">
        <f t="shared" ca="1" si="233"/>
        <v>106</v>
      </c>
      <c r="AH782" s="31">
        <f t="shared" ca="1" si="234"/>
        <v>28</v>
      </c>
      <c r="AI782" s="31">
        <f t="shared" ca="1" si="235"/>
        <v>81</v>
      </c>
      <c r="AJ782" s="31">
        <f t="shared" ca="1" si="236"/>
        <v>44</v>
      </c>
      <c r="AK782" s="31">
        <f t="shared" ca="1" si="237"/>
        <v>6</v>
      </c>
      <c r="AL782" s="31">
        <f t="shared" ca="1" si="238"/>
        <v>17</v>
      </c>
      <c r="AM782" s="31">
        <f t="shared" ca="1" si="239"/>
        <v>3</v>
      </c>
    </row>
    <row r="783" spans="14:39">
      <c r="N783" s="26">
        <v>775</v>
      </c>
      <c r="O783" s="30">
        <f t="shared" ca="1" si="241"/>
        <v>31.850884713018022</v>
      </c>
      <c r="P783" s="30">
        <f t="shared" ca="1" si="241"/>
        <v>9.7579319509533686</v>
      </c>
      <c r="Q783" s="30">
        <f t="shared" ca="1" si="241"/>
        <v>7.5241682726851504</v>
      </c>
      <c r="R783" s="30">
        <f t="shared" ca="1" si="241"/>
        <v>2.056700551783039</v>
      </c>
      <c r="S783" s="30">
        <f t="shared" ca="1" si="241"/>
        <v>19.338933528779709</v>
      </c>
      <c r="T783" s="30">
        <f t="shared" ca="1" si="241"/>
        <v>9.9085355193170308</v>
      </c>
      <c r="U783" s="30">
        <f t="shared" ca="1" si="241"/>
        <v>26.367955530052377</v>
      </c>
      <c r="V783" s="30">
        <f t="shared" ca="1" si="241"/>
        <v>18.849694198444343</v>
      </c>
      <c r="W783" s="30">
        <f t="shared" ca="1" si="241"/>
        <v>24.353296923050372</v>
      </c>
      <c r="X783" s="30">
        <f t="shared" ca="1" si="241"/>
        <v>27.271573144555955</v>
      </c>
      <c r="Y783" s="30">
        <f t="shared" ca="1" si="241"/>
        <v>6.8634704996740235</v>
      </c>
      <c r="Z783" s="30">
        <f t="shared" ca="1" si="241"/>
        <v>26.234523544315095</v>
      </c>
      <c r="AA783" s="26">
        <v>775</v>
      </c>
      <c r="AB783" s="31">
        <f t="shared" ca="1" si="240"/>
        <v>103</v>
      </c>
      <c r="AC783" s="31">
        <f t="shared" ca="1" si="229"/>
        <v>12</v>
      </c>
      <c r="AD783" s="31">
        <f t="shared" ca="1" si="230"/>
        <v>9</v>
      </c>
      <c r="AE783" s="31">
        <f t="shared" ca="1" si="231"/>
        <v>3</v>
      </c>
      <c r="AF783" s="31">
        <f t="shared" ca="1" si="232"/>
        <v>29</v>
      </c>
      <c r="AG783" s="31">
        <f t="shared" ca="1" si="233"/>
        <v>12</v>
      </c>
      <c r="AH783" s="31">
        <f t="shared" ca="1" si="234"/>
        <v>52</v>
      </c>
      <c r="AI783" s="31">
        <f t="shared" ca="1" si="235"/>
        <v>28</v>
      </c>
      <c r="AJ783" s="31">
        <f t="shared" ca="1" si="236"/>
        <v>44</v>
      </c>
      <c r="AK783" s="31">
        <f t="shared" ca="1" si="237"/>
        <v>56</v>
      </c>
      <c r="AL783" s="31">
        <f t="shared" ca="1" si="238"/>
        <v>8</v>
      </c>
      <c r="AM783" s="31">
        <f t="shared" ca="1" si="239"/>
        <v>51</v>
      </c>
    </row>
    <row r="784" spans="14:39">
      <c r="N784" s="26">
        <v>776</v>
      </c>
      <c r="O784" s="30">
        <f t="shared" ca="1" si="241"/>
        <v>18.490960611566695</v>
      </c>
      <c r="P784" s="30">
        <f t="shared" ca="1" si="241"/>
        <v>18.017285790700647</v>
      </c>
      <c r="Q784" s="30">
        <f t="shared" ca="1" si="241"/>
        <v>8.338479910298382</v>
      </c>
      <c r="R784" s="30">
        <f t="shared" ca="1" si="241"/>
        <v>1.8808707375806906</v>
      </c>
      <c r="S784" s="30">
        <f t="shared" ca="1" si="241"/>
        <v>33.113354615540629</v>
      </c>
      <c r="T784" s="30">
        <f t="shared" ca="1" si="241"/>
        <v>32.0338984553253</v>
      </c>
      <c r="U784" s="30">
        <f t="shared" ca="1" si="241"/>
        <v>30.32423062755846</v>
      </c>
      <c r="V784" s="30">
        <f t="shared" ca="1" si="241"/>
        <v>17.785191857630416</v>
      </c>
      <c r="W784" s="30">
        <f t="shared" ca="1" si="241"/>
        <v>4.4431323078396474</v>
      </c>
      <c r="X784" s="30">
        <f t="shared" ca="1" si="241"/>
        <v>6.1187224898274772</v>
      </c>
      <c r="Y784" s="30">
        <f t="shared" ca="1" si="241"/>
        <v>9.9056997227693486</v>
      </c>
      <c r="Z784" s="30">
        <f t="shared" ca="1" si="241"/>
        <v>8.2164971846774844</v>
      </c>
      <c r="AA784" s="26">
        <v>776</v>
      </c>
      <c r="AB784" s="31">
        <f t="shared" ca="1" si="240"/>
        <v>27</v>
      </c>
      <c r="AC784" s="31">
        <f t="shared" ca="1" si="229"/>
        <v>26</v>
      </c>
      <c r="AD784" s="31">
        <f t="shared" ca="1" si="230"/>
        <v>10</v>
      </c>
      <c r="AE784" s="31">
        <f t="shared" ca="1" si="231"/>
        <v>2</v>
      </c>
      <c r="AF784" s="31">
        <f t="shared" ca="1" si="232"/>
        <v>165</v>
      </c>
      <c r="AG784" s="31">
        <f t="shared" ca="1" si="233"/>
        <v>107</v>
      </c>
      <c r="AH784" s="31">
        <f t="shared" ca="1" si="234"/>
        <v>79</v>
      </c>
      <c r="AI784" s="31">
        <f t="shared" ca="1" si="235"/>
        <v>26</v>
      </c>
      <c r="AJ784" s="31">
        <f t="shared" ca="1" si="236"/>
        <v>5</v>
      </c>
      <c r="AK784" s="31">
        <f t="shared" ca="1" si="237"/>
        <v>7</v>
      </c>
      <c r="AL784" s="31">
        <f t="shared" ca="1" si="238"/>
        <v>12</v>
      </c>
      <c r="AM784" s="31">
        <f t="shared" ca="1" si="239"/>
        <v>10</v>
      </c>
    </row>
    <row r="785" spans="14:39">
      <c r="N785" s="26">
        <v>777</v>
      </c>
      <c r="O785" s="30">
        <f t="shared" ca="1" si="241"/>
        <v>4.5174587155972139</v>
      </c>
      <c r="P785" s="30">
        <f t="shared" ca="1" si="241"/>
        <v>33.253432746685078</v>
      </c>
      <c r="Q785" s="30">
        <f t="shared" ca="1" si="241"/>
        <v>8.0752073098168804</v>
      </c>
      <c r="R785" s="30">
        <f t="shared" ca="1" si="241"/>
        <v>12.571564461988853</v>
      </c>
      <c r="S785" s="30">
        <f t="shared" ca="1" si="241"/>
        <v>33.185360742033808</v>
      </c>
      <c r="T785" s="30">
        <f t="shared" ca="1" si="241"/>
        <v>26.388420595147622</v>
      </c>
      <c r="U785" s="30">
        <f t="shared" ca="1" si="241"/>
        <v>5.5861216982258188</v>
      </c>
      <c r="V785" s="30">
        <f t="shared" ca="1" si="241"/>
        <v>11.913966582969422</v>
      </c>
      <c r="W785" s="30">
        <f t="shared" ca="1" si="241"/>
        <v>19.653436090768842</v>
      </c>
      <c r="X785" s="30">
        <f t="shared" ca="1" si="241"/>
        <v>13.797405675602374</v>
      </c>
      <c r="Y785" s="30">
        <f t="shared" ca="1" si="241"/>
        <v>2.6005036996564637</v>
      </c>
      <c r="Z785" s="30">
        <f t="shared" ca="1" si="241"/>
        <v>13.669903443871519</v>
      </c>
      <c r="AA785" s="26">
        <v>777</v>
      </c>
      <c r="AB785" s="31">
        <f t="shared" ca="1" si="240"/>
        <v>5</v>
      </c>
      <c r="AC785" s="31">
        <f t="shared" ca="1" si="229"/>
        <v>199</v>
      </c>
      <c r="AD785" s="31">
        <f t="shared" ca="1" si="230"/>
        <v>10</v>
      </c>
      <c r="AE785" s="31">
        <f t="shared" ca="1" si="231"/>
        <v>16</v>
      </c>
      <c r="AF785" s="31">
        <f t="shared" ca="1" si="232"/>
        <v>178</v>
      </c>
      <c r="AG785" s="31">
        <f t="shared" ca="1" si="233"/>
        <v>52</v>
      </c>
      <c r="AH785" s="31">
        <f t="shared" ca="1" si="234"/>
        <v>7</v>
      </c>
      <c r="AI785" s="31">
        <f t="shared" ca="1" si="235"/>
        <v>15</v>
      </c>
      <c r="AJ785" s="31">
        <f t="shared" ca="1" si="236"/>
        <v>30</v>
      </c>
      <c r="AK785" s="31">
        <f t="shared" ca="1" si="237"/>
        <v>18</v>
      </c>
      <c r="AL785" s="31">
        <f t="shared" ca="1" si="238"/>
        <v>3</v>
      </c>
      <c r="AM785" s="31">
        <f t="shared" ca="1" si="239"/>
        <v>18</v>
      </c>
    </row>
    <row r="786" spans="14:39">
      <c r="N786" s="26">
        <v>778</v>
      </c>
      <c r="O786" s="30">
        <f t="shared" ca="1" si="241"/>
        <v>31.399677188472225</v>
      </c>
      <c r="P786" s="30">
        <f t="shared" ca="1" si="241"/>
        <v>0.13281628183540251</v>
      </c>
      <c r="Q786" s="30">
        <f t="shared" ca="1" si="241"/>
        <v>2.6688747104191366</v>
      </c>
      <c r="R786" s="30">
        <f t="shared" ca="1" si="241"/>
        <v>8.0429404869341194</v>
      </c>
      <c r="S786" s="30">
        <f t="shared" ca="1" si="241"/>
        <v>6.1386141830887038</v>
      </c>
      <c r="T786" s="30">
        <f t="shared" ca="1" si="241"/>
        <v>8.0412979955190451</v>
      </c>
      <c r="U786" s="30">
        <f t="shared" ca="1" si="241"/>
        <v>20.276534684518936</v>
      </c>
      <c r="V786" s="30">
        <f t="shared" ca="1" si="241"/>
        <v>28.290809190834754</v>
      </c>
      <c r="W786" s="30">
        <f t="shared" ca="1" si="241"/>
        <v>26.971406190489681</v>
      </c>
      <c r="X786" s="30">
        <f t="shared" ca="1" si="241"/>
        <v>22.325941633257823</v>
      </c>
      <c r="Y786" s="30">
        <f t="shared" ca="1" si="241"/>
        <v>20.027263570824516</v>
      </c>
      <c r="Z786" s="30">
        <f t="shared" ca="1" si="241"/>
        <v>7.1345722395014937</v>
      </c>
      <c r="AA786" s="26">
        <v>778</v>
      </c>
      <c r="AB786" s="31">
        <f t="shared" ca="1" si="240"/>
        <v>94</v>
      </c>
      <c r="AC786" s="31">
        <f t="shared" ca="1" si="229"/>
        <v>1</v>
      </c>
      <c r="AD786" s="31">
        <f t="shared" ca="1" si="230"/>
        <v>3</v>
      </c>
      <c r="AE786" s="31">
        <f t="shared" ca="1" si="231"/>
        <v>10</v>
      </c>
      <c r="AF786" s="31">
        <f t="shared" ca="1" si="232"/>
        <v>7</v>
      </c>
      <c r="AG786" s="31">
        <f t="shared" ca="1" si="233"/>
        <v>10</v>
      </c>
      <c r="AH786" s="31">
        <f t="shared" ca="1" si="234"/>
        <v>31</v>
      </c>
      <c r="AI786" s="31">
        <f t="shared" ca="1" si="235"/>
        <v>63</v>
      </c>
      <c r="AJ786" s="31">
        <f t="shared" ca="1" si="236"/>
        <v>55</v>
      </c>
      <c r="AK786" s="31">
        <f t="shared" ca="1" si="237"/>
        <v>37</v>
      </c>
      <c r="AL786" s="31">
        <f t="shared" ca="1" si="238"/>
        <v>31</v>
      </c>
      <c r="AM786" s="31">
        <f t="shared" ca="1" si="239"/>
        <v>8</v>
      </c>
    </row>
    <row r="787" spans="14:39">
      <c r="N787" s="26">
        <v>779</v>
      </c>
      <c r="O787" s="30">
        <f t="shared" ca="1" si="241"/>
        <v>6.2421087654565645E-2</v>
      </c>
      <c r="P787" s="30">
        <f t="shared" ca="1" si="241"/>
        <v>18.09260749718867</v>
      </c>
      <c r="Q787" s="30">
        <f t="shared" ca="1" si="241"/>
        <v>6.919678183836969</v>
      </c>
      <c r="R787" s="30">
        <f t="shared" ca="1" si="241"/>
        <v>8.813543211696004</v>
      </c>
      <c r="S787" s="30">
        <f t="shared" ca="1" si="241"/>
        <v>9.6018976715160189</v>
      </c>
      <c r="T787" s="30">
        <f t="shared" ca="1" si="241"/>
        <v>6.6003303981125496</v>
      </c>
      <c r="U787" s="30">
        <f t="shared" ca="1" si="241"/>
        <v>13.681134077538069</v>
      </c>
      <c r="V787" s="30">
        <f t="shared" ca="1" si="241"/>
        <v>13.357457784986304</v>
      </c>
      <c r="W787" s="30">
        <f t="shared" ca="1" si="241"/>
        <v>13.902249514672063</v>
      </c>
      <c r="X787" s="30">
        <f t="shared" ca="1" si="241"/>
        <v>15.071217110141184</v>
      </c>
      <c r="Y787" s="30">
        <f t="shared" ca="1" si="241"/>
        <v>11.780617803319055</v>
      </c>
      <c r="Z787" s="30">
        <f t="shared" ca="1" si="241"/>
        <v>4.8224709096038438</v>
      </c>
      <c r="AA787" s="26">
        <v>779</v>
      </c>
      <c r="AB787" s="31">
        <f t="shared" ca="1" si="240"/>
        <v>1</v>
      </c>
      <c r="AC787" s="31">
        <f t="shared" ca="1" si="229"/>
        <v>26</v>
      </c>
      <c r="AD787" s="31">
        <f t="shared" ca="1" si="230"/>
        <v>8</v>
      </c>
      <c r="AE787" s="31">
        <f t="shared" ca="1" si="231"/>
        <v>11</v>
      </c>
      <c r="AF787" s="31">
        <f t="shared" ca="1" si="232"/>
        <v>12</v>
      </c>
      <c r="AG787" s="31">
        <f t="shared" ca="1" si="233"/>
        <v>8</v>
      </c>
      <c r="AH787" s="31">
        <f t="shared" ca="1" si="234"/>
        <v>18</v>
      </c>
      <c r="AI787" s="31">
        <f t="shared" ca="1" si="235"/>
        <v>17</v>
      </c>
      <c r="AJ787" s="31">
        <f t="shared" ca="1" si="236"/>
        <v>18</v>
      </c>
      <c r="AK787" s="31">
        <f t="shared" ca="1" si="237"/>
        <v>20</v>
      </c>
      <c r="AL787" s="31">
        <f t="shared" ca="1" si="238"/>
        <v>15</v>
      </c>
      <c r="AM787" s="31">
        <f t="shared" ca="1" si="239"/>
        <v>6</v>
      </c>
    </row>
    <row r="788" spans="14:39">
      <c r="N788" s="26">
        <v>780</v>
      </c>
      <c r="O788" s="30">
        <f t="shared" ca="1" si="241"/>
        <v>25.021958906976597</v>
      </c>
      <c r="P788" s="30">
        <f t="shared" ca="1" si="241"/>
        <v>12.146038983588488</v>
      </c>
      <c r="Q788" s="30">
        <f t="shared" ca="1" si="241"/>
        <v>20.553247907330178</v>
      </c>
      <c r="R788" s="30">
        <f t="shared" ca="1" si="241"/>
        <v>8.2936892828422568</v>
      </c>
      <c r="S788" s="30">
        <f t="shared" ca="1" si="241"/>
        <v>12.3554445846587</v>
      </c>
      <c r="T788" s="30">
        <f t="shared" ca="1" si="241"/>
        <v>29.780866929629628</v>
      </c>
      <c r="U788" s="30">
        <f t="shared" ca="1" si="241"/>
        <v>31.670954765060021</v>
      </c>
      <c r="V788" s="30">
        <f t="shared" ca="1" si="241"/>
        <v>12.858927926240998</v>
      </c>
      <c r="W788" s="30">
        <f t="shared" ca="1" si="241"/>
        <v>25.924256856121016</v>
      </c>
      <c r="X788" s="30">
        <f t="shared" ca="1" si="241"/>
        <v>26.484578470822399</v>
      </c>
      <c r="Y788" s="30">
        <f t="shared" ca="1" si="241"/>
        <v>2.0310855783423274</v>
      </c>
      <c r="Z788" s="30">
        <f t="shared" ca="1" si="241"/>
        <v>31.271868924326125</v>
      </c>
      <c r="AA788" s="26">
        <v>780</v>
      </c>
      <c r="AB788" s="31">
        <f t="shared" ca="1" si="240"/>
        <v>46</v>
      </c>
      <c r="AC788" s="31">
        <f t="shared" ca="1" si="229"/>
        <v>15</v>
      </c>
      <c r="AD788" s="31">
        <f t="shared" ca="1" si="230"/>
        <v>32</v>
      </c>
      <c r="AE788" s="31">
        <f t="shared" ca="1" si="231"/>
        <v>10</v>
      </c>
      <c r="AF788" s="31">
        <f t="shared" ca="1" si="232"/>
        <v>16</v>
      </c>
      <c r="AG788" s="31">
        <f t="shared" ca="1" si="233"/>
        <v>74</v>
      </c>
      <c r="AH788" s="31">
        <f t="shared" ca="1" si="234"/>
        <v>99</v>
      </c>
      <c r="AI788" s="31">
        <f t="shared" ca="1" si="235"/>
        <v>17</v>
      </c>
      <c r="AJ788" s="31">
        <f t="shared" ca="1" si="236"/>
        <v>50</v>
      </c>
      <c r="AK788" s="31">
        <f t="shared" ca="1" si="237"/>
        <v>52</v>
      </c>
      <c r="AL788" s="31">
        <f t="shared" ca="1" si="238"/>
        <v>3</v>
      </c>
      <c r="AM788" s="31">
        <f t="shared" ca="1" si="239"/>
        <v>92</v>
      </c>
    </row>
    <row r="789" spans="14:39">
      <c r="N789" s="26">
        <v>781</v>
      </c>
      <c r="O789" s="30">
        <f t="shared" ref="O789:Z798" ca="1" si="242">RAND()*sumweights</f>
        <v>2.3564332726623305</v>
      </c>
      <c r="P789" s="30">
        <f t="shared" ca="1" si="242"/>
        <v>19.244866445332935</v>
      </c>
      <c r="Q789" s="30">
        <f t="shared" ca="1" si="242"/>
        <v>14.376226132910547</v>
      </c>
      <c r="R789" s="30">
        <f t="shared" ca="1" si="242"/>
        <v>12.789591473864077</v>
      </c>
      <c r="S789" s="30">
        <f t="shared" ca="1" si="242"/>
        <v>27.476230691221645</v>
      </c>
      <c r="T789" s="30">
        <f t="shared" ca="1" si="242"/>
        <v>25.743907067320464</v>
      </c>
      <c r="U789" s="30">
        <f t="shared" ca="1" si="242"/>
        <v>24.600178497622316</v>
      </c>
      <c r="V789" s="30">
        <f t="shared" ca="1" si="242"/>
        <v>5.0448946777299808</v>
      </c>
      <c r="W789" s="30">
        <f t="shared" ca="1" si="242"/>
        <v>14.852411759737556</v>
      </c>
      <c r="X789" s="30">
        <f t="shared" ca="1" si="242"/>
        <v>24.16639311469859</v>
      </c>
      <c r="Y789" s="30">
        <f t="shared" ca="1" si="242"/>
        <v>6.3466593094998514</v>
      </c>
      <c r="Z789" s="30">
        <f t="shared" ca="1" si="242"/>
        <v>17.481438466117154</v>
      </c>
      <c r="AA789" s="26">
        <v>781</v>
      </c>
      <c r="AB789" s="31">
        <f t="shared" ca="1" si="240"/>
        <v>3</v>
      </c>
      <c r="AC789" s="31">
        <f t="shared" ca="1" si="229"/>
        <v>29</v>
      </c>
      <c r="AD789" s="31">
        <f t="shared" ca="1" si="230"/>
        <v>19</v>
      </c>
      <c r="AE789" s="31">
        <f t="shared" ca="1" si="231"/>
        <v>16</v>
      </c>
      <c r="AF789" s="31">
        <f t="shared" ca="1" si="232"/>
        <v>58</v>
      </c>
      <c r="AG789" s="31">
        <f t="shared" ca="1" si="233"/>
        <v>49</v>
      </c>
      <c r="AH789" s="31">
        <f t="shared" ca="1" si="234"/>
        <v>44</v>
      </c>
      <c r="AI789" s="31">
        <f t="shared" ca="1" si="235"/>
        <v>6</v>
      </c>
      <c r="AJ789" s="31">
        <f t="shared" ca="1" si="236"/>
        <v>20</v>
      </c>
      <c r="AK789" s="31">
        <f t="shared" ca="1" si="237"/>
        <v>43</v>
      </c>
      <c r="AL789" s="31">
        <f t="shared" ca="1" si="238"/>
        <v>7</v>
      </c>
      <c r="AM789" s="31">
        <f t="shared" ca="1" si="239"/>
        <v>25</v>
      </c>
    </row>
    <row r="790" spans="14:39">
      <c r="N790" s="26">
        <v>782</v>
      </c>
      <c r="O790" s="30">
        <f t="shared" ca="1" si="242"/>
        <v>29.247738617867594</v>
      </c>
      <c r="P790" s="30">
        <f t="shared" ca="1" si="242"/>
        <v>1.9032007710264134</v>
      </c>
      <c r="Q790" s="30">
        <f t="shared" ca="1" si="242"/>
        <v>14.931391516154003</v>
      </c>
      <c r="R790" s="30">
        <f t="shared" ca="1" si="242"/>
        <v>10.639153639762904</v>
      </c>
      <c r="S790" s="30">
        <f t="shared" ca="1" si="242"/>
        <v>11.062908770924697</v>
      </c>
      <c r="T790" s="30">
        <f t="shared" ca="1" si="242"/>
        <v>5.7611413847907675</v>
      </c>
      <c r="U790" s="30">
        <f t="shared" ca="1" si="242"/>
        <v>14.836675788135823</v>
      </c>
      <c r="V790" s="30">
        <f t="shared" ca="1" si="242"/>
        <v>4.9452742850181286</v>
      </c>
      <c r="W790" s="30">
        <f t="shared" ca="1" si="242"/>
        <v>27.596708292635455</v>
      </c>
      <c r="X790" s="30">
        <f t="shared" ca="1" si="242"/>
        <v>28.300190514647568</v>
      </c>
      <c r="Y790" s="30">
        <f t="shared" ca="1" si="242"/>
        <v>0.2136711564399488</v>
      </c>
      <c r="Z790" s="30">
        <f t="shared" ca="1" si="242"/>
        <v>32.182974477878382</v>
      </c>
      <c r="AA790" s="26">
        <v>782</v>
      </c>
      <c r="AB790" s="31">
        <f t="shared" ca="1" si="240"/>
        <v>69</v>
      </c>
      <c r="AC790" s="31">
        <f t="shared" ca="1" si="229"/>
        <v>2</v>
      </c>
      <c r="AD790" s="31">
        <f t="shared" ca="1" si="230"/>
        <v>20</v>
      </c>
      <c r="AE790" s="31">
        <f t="shared" ca="1" si="231"/>
        <v>13</v>
      </c>
      <c r="AF790" s="31">
        <f t="shared" ca="1" si="232"/>
        <v>14</v>
      </c>
      <c r="AG790" s="31">
        <f t="shared" ca="1" si="233"/>
        <v>7</v>
      </c>
      <c r="AH790" s="31">
        <f t="shared" ca="1" si="234"/>
        <v>20</v>
      </c>
      <c r="AI790" s="31">
        <f t="shared" ca="1" si="235"/>
        <v>6</v>
      </c>
      <c r="AJ790" s="31">
        <f t="shared" ca="1" si="236"/>
        <v>58</v>
      </c>
      <c r="AK790" s="31">
        <f t="shared" ca="1" si="237"/>
        <v>63</v>
      </c>
      <c r="AL790" s="31">
        <f t="shared" ca="1" si="238"/>
        <v>1</v>
      </c>
      <c r="AM790" s="31">
        <f t="shared" ca="1" si="239"/>
        <v>111</v>
      </c>
    </row>
    <row r="791" spans="14:39">
      <c r="N791" s="26">
        <v>783</v>
      </c>
      <c r="O791" s="30">
        <f t="shared" ca="1" si="242"/>
        <v>0.40959850475923071</v>
      </c>
      <c r="P791" s="30">
        <f t="shared" ca="1" si="242"/>
        <v>26.815542061671085</v>
      </c>
      <c r="Q791" s="30">
        <f t="shared" ca="1" si="242"/>
        <v>14.188011033619174</v>
      </c>
      <c r="R791" s="30">
        <f t="shared" ca="1" si="242"/>
        <v>17.432178127719567</v>
      </c>
      <c r="S791" s="30">
        <f t="shared" ca="1" si="242"/>
        <v>25.801495629289647</v>
      </c>
      <c r="T791" s="30">
        <f t="shared" ca="1" si="242"/>
        <v>4.3072184420356976</v>
      </c>
      <c r="U791" s="30">
        <f t="shared" ca="1" si="242"/>
        <v>1.5708187624343901</v>
      </c>
      <c r="V791" s="30">
        <f t="shared" ca="1" si="242"/>
        <v>19.065551333738938</v>
      </c>
      <c r="W791" s="30">
        <f t="shared" ca="1" si="242"/>
        <v>16.135035924518437</v>
      </c>
      <c r="X791" s="30">
        <f t="shared" ca="1" si="242"/>
        <v>6.7100081039911244</v>
      </c>
      <c r="Y791" s="30">
        <f t="shared" ca="1" si="242"/>
        <v>15.346222196588419</v>
      </c>
      <c r="Z791" s="30">
        <f t="shared" ca="1" si="242"/>
        <v>8.7650541931175923</v>
      </c>
      <c r="AA791" s="26">
        <v>783</v>
      </c>
      <c r="AB791" s="31">
        <f t="shared" ca="1" si="240"/>
        <v>1</v>
      </c>
      <c r="AC791" s="31">
        <f t="shared" ca="1" si="229"/>
        <v>54</v>
      </c>
      <c r="AD791" s="31">
        <f t="shared" ca="1" si="230"/>
        <v>19</v>
      </c>
      <c r="AE791" s="31">
        <f t="shared" ca="1" si="231"/>
        <v>25</v>
      </c>
      <c r="AF791" s="31">
        <f t="shared" ca="1" si="232"/>
        <v>49</v>
      </c>
      <c r="AG791" s="31">
        <f t="shared" ca="1" si="233"/>
        <v>5</v>
      </c>
      <c r="AH791" s="31">
        <f t="shared" ca="1" si="234"/>
        <v>2</v>
      </c>
      <c r="AI791" s="31">
        <f t="shared" ca="1" si="235"/>
        <v>28</v>
      </c>
      <c r="AJ791" s="31">
        <f t="shared" ca="1" si="236"/>
        <v>22</v>
      </c>
      <c r="AK791" s="31">
        <f t="shared" ca="1" si="237"/>
        <v>8</v>
      </c>
      <c r="AL791" s="31">
        <f t="shared" ca="1" si="238"/>
        <v>21</v>
      </c>
      <c r="AM791" s="31">
        <f t="shared" ca="1" si="239"/>
        <v>11</v>
      </c>
    </row>
    <row r="792" spans="14:39">
      <c r="N792" s="26">
        <v>784</v>
      </c>
      <c r="O792" s="30">
        <f t="shared" ca="1" si="242"/>
        <v>32.558535377891161</v>
      </c>
      <c r="P792" s="30">
        <f t="shared" ca="1" si="242"/>
        <v>8.4098616868254172</v>
      </c>
      <c r="Q792" s="30">
        <f t="shared" ca="1" si="242"/>
        <v>26.709720384884697</v>
      </c>
      <c r="R792" s="30">
        <f t="shared" ca="1" si="242"/>
        <v>19.936907485422914</v>
      </c>
      <c r="S792" s="30">
        <f t="shared" ca="1" si="242"/>
        <v>27.832612755942648</v>
      </c>
      <c r="T792" s="30">
        <f t="shared" ca="1" si="242"/>
        <v>18.87124546271453</v>
      </c>
      <c r="U792" s="30">
        <f t="shared" ca="1" si="242"/>
        <v>6.0861355974966829</v>
      </c>
      <c r="V792" s="30">
        <f t="shared" ca="1" si="242"/>
        <v>31.620929218089653</v>
      </c>
      <c r="W792" s="30">
        <f t="shared" ca="1" si="242"/>
        <v>7.6845274553752141</v>
      </c>
      <c r="X792" s="30">
        <f t="shared" ca="1" si="242"/>
        <v>14.847046438032521</v>
      </c>
      <c r="Y792" s="30">
        <f t="shared" ca="1" si="242"/>
        <v>23.652287092772049</v>
      </c>
      <c r="Z792" s="30">
        <f t="shared" ca="1" si="242"/>
        <v>2.6904299841007284</v>
      </c>
      <c r="AA792" s="26">
        <v>784</v>
      </c>
      <c r="AB792" s="31">
        <f t="shared" ca="1" si="240"/>
        <v>124</v>
      </c>
      <c r="AC792" s="31">
        <f t="shared" ca="1" si="229"/>
        <v>10</v>
      </c>
      <c r="AD792" s="31">
        <f t="shared" ca="1" si="230"/>
        <v>54</v>
      </c>
      <c r="AE792" s="31">
        <f t="shared" ca="1" si="231"/>
        <v>30</v>
      </c>
      <c r="AF792" s="31">
        <f t="shared" ca="1" si="232"/>
        <v>60</v>
      </c>
      <c r="AG792" s="31">
        <f t="shared" ca="1" si="233"/>
        <v>28</v>
      </c>
      <c r="AH792" s="31">
        <f t="shared" ca="1" si="234"/>
        <v>7</v>
      </c>
      <c r="AI792" s="31">
        <f t="shared" ca="1" si="235"/>
        <v>98</v>
      </c>
      <c r="AJ792" s="31">
        <f t="shared" ca="1" si="236"/>
        <v>9</v>
      </c>
      <c r="AK792" s="31">
        <f t="shared" ca="1" si="237"/>
        <v>20</v>
      </c>
      <c r="AL792" s="31">
        <f t="shared" ca="1" si="238"/>
        <v>41</v>
      </c>
      <c r="AM792" s="31">
        <f t="shared" ca="1" si="239"/>
        <v>3</v>
      </c>
    </row>
    <row r="793" spans="14:39">
      <c r="N793" s="26">
        <v>785</v>
      </c>
      <c r="O793" s="30">
        <f t="shared" ca="1" si="242"/>
        <v>11.868501365345667</v>
      </c>
      <c r="P793" s="30">
        <f t="shared" ca="1" si="242"/>
        <v>26.605986182187564</v>
      </c>
      <c r="Q793" s="30">
        <f t="shared" ca="1" si="242"/>
        <v>2.2234242861321438</v>
      </c>
      <c r="R793" s="30">
        <f t="shared" ca="1" si="242"/>
        <v>29.615717104813548</v>
      </c>
      <c r="S793" s="30">
        <f t="shared" ca="1" si="242"/>
        <v>22.670125325368712</v>
      </c>
      <c r="T793" s="30">
        <f t="shared" ca="1" si="242"/>
        <v>3.5722347269964354</v>
      </c>
      <c r="U793" s="30">
        <f t="shared" ca="1" si="242"/>
        <v>9.9336698536521286</v>
      </c>
      <c r="V793" s="30">
        <f t="shared" ca="1" si="242"/>
        <v>29.197997035855934</v>
      </c>
      <c r="W793" s="30">
        <f t="shared" ca="1" si="242"/>
        <v>12.021829834802681</v>
      </c>
      <c r="X793" s="30">
        <f t="shared" ca="1" si="242"/>
        <v>23.98861397581652</v>
      </c>
      <c r="Y793" s="30">
        <f t="shared" ca="1" si="242"/>
        <v>11.981827566921913</v>
      </c>
      <c r="Z793" s="30">
        <f t="shared" ca="1" si="242"/>
        <v>4.2416673510428806</v>
      </c>
      <c r="AA793" s="26">
        <v>785</v>
      </c>
      <c r="AB793" s="31">
        <f t="shared" ca="1" si="240"/>
        <v>15</v>
      </c>
      <c r="AC793" s="31">
        <f t="shared" ca="1" si="229"/>
        <v>53</v>
      </c>
      <c r="AD793" s="31">
        <f t="shared" ca="1" si="230"/>
        <v>3</v>
      </c>
      <c r="AE793" s="31">
        <f t="shared" ca="1" si="231"/>
        <v>73</v>
      </c>
      <c r="AF793" s="31">
        <f t="shared" ca="1" si="232"/>
        <v>38</v>
      </c>
      <c r="AG793" s="31">
        <f t="shared" ca="1" si="233"/>
        <v>4</v>
      </c>
      <c r="AH793" s="31">
        <f t="shared" ca="1" si="234"/>
        <v>12</v>
      </c>
      <c r="AI793" s="31">
        <f t="shared" ca="1" si="235"/>
        <v>69</v>
      </c>
      <c r="AJ793" s="31">
        <f t="shared" ca="1" si="236"/>
        <v>15</v>
      </c>
      <c r="AK793" s="31">
        <f t="shared" ca="1" si="237"/>
        <v>42</v>
      </c>
      <c r="AL793" s="31">
        <f t="shared" ca="1" si="238"/>
        <v>15</v>
      </c>
      <c r="AM793" s="31">
        <f t="shared" ca="1" si="239"/>
        <v>5</v>
      </c>
    </row>
    <row r="794" spans="14:39">
      <c r="N794" s="26">
        <v>786</v>
      </c>
      <c r="O794" s="30">
        <f t="shared" ca="1" si="242"/>
        <v>29.71060510676099</v>
      </c>
      <c r="P794" s="30">
        <f t="shared" ca="1" si="242"/>
        <v>6.1102763781197682</v>
      </c>
      <c r="Q794" s="30">
        <f t="shared" ca="1" si="242"/>
        <v>1.1505075748687876</v>
      </c>
      <c r="R794" s="30">
        <f t="shared" ca="1" si="242"/>
        <v>17.835704535186292</v>
      </c>
      <c r="S794" s="30">
        <f t="shared" ca="1" si="242"/>
        <v>11.476751977566295</v>
      </c>
      <c r="T794" s="30">
        <f t="shared" ca="1" si="242"/>
        <v>0.94947439236233155</v>
      </c>
      <c r="U794" s="30">
        <f t="shared" ca="1" si="242"/>
        <v>3.7519578088505199</v>
      </c>
      <c r="V794" s="30">
        <f t="shared" ca="1" si="242"/>
        <v>8.4598946384373992</v>
      </c>
      <c r="W794" s="30">
        <f t="shared" ca="1" si="242"/>
        <v>10.759814319348472</v>
      </c>
      <c r="X794" s="30">
        <f t="shared" ca="1" si="242"/>
        <v>6.6012591286894615</v>
      </c>
      <c r="Y794" s="30">
        <f t="shared" ca="1" si="242"/>
        <v>17.710591906384732</v>
      </c>
      <c r="Z794" s="30">
        <f t="shared" ca="1" si="242"/>
        <v>6.0682837288606448</v>
      </c>
      <c r="AA794" s="26">
        <v>786</v>
      </c>
      <c r="AB794" s="31">
        <f t="shared" ca="1" si="240"/>
        <v>73</v>
      </c>
      <c r="AC794" s="31">
        <f t="shared" ca="1" si="229"/>
        <v>7</v>
      </c>
      <c r="AD794" s="31">
        <f t="shared" ca="1" si="230"/>
        <v>2</v>
      </c>
      <c r="AE794" s="31">
        <f t="shared" ca="1" si="231"/>
        <v>26</v>
      </c>
      <c r="AF794" s="31">
        <f t="shared" ca="1" si="232"/>
        <v>14</v>
      </c>
      <c r="AG794" s="31">
        <f t="shared" ca="1" si="233"/>
        <v>1</v>
      </c>
      <c r="AH794" s="31">
        <f t="shared" ca="1" si="234"/>
        <v>4</v>
      </c>
      <c r="AI794" s="31">
        <f t="shared" ca="1" si="235"/>
        <v>10</v>
      </c>
      <c r="AJ794" s="31">
        <f t="shared" ca="1" si="236"/>
        <v>13</v>
      </c>
      <c r="AK794" s="31">
        <f t="shared" ca="1" si="237"/>
        <v>8</v>
      </c>
      <c r="AL794" s="31">
        <f t="shared" ca="1" si="238"/>
        <v>25</v>
      </c>
      <c r="AM794" s="31">
        <f t="shared" ca="1" si="239"/>
        <v>7</v>
      </c>
    </row>
    <row r="795" spans="14:39">
      <c r="N795" s="26">
        <v>787</v>
      </c>
      <c r="O795" s="30">
        <f t="shared" ca="1" si="242"/>
        <v>11.11593826598145</v>
      </c>
      <c r="P795" s="30">
        <f t="shared" ca="1" si="242"/>
        <v>6.5029430362757677E-3</v>
      </c>
      <c r="Q795" s="30">
        <f t="shared" ca="1" si="242"/>
        <v>32.157468757454957</v>
      </c>
      <c r="R795" s="30">
        <f t="shared" ca="1" si="242"/>
        <v>13.195710341992466</v>
      </c>
      <c r="S795" s="30">
        <f t="shared" ca="1" si="242"/>
        <v>30.303849728584336</v>
      </c>
      <c r="T795" s="30">
        <f t="shared" ca="1" si="242"/>
        <v>10.809409056045785</v>
      </c>
      <c r="U795" s="30">
        <f t="shared" ca="1" si="242"/>
        <v>22.71146843050262</v>
      </c>
      <c r="V795" s="30">
        <f t="shared" ca="1" si="242"/>
        <v>6.7276553828937997</v>
      </c>
      <c r="W795" s="30">
        <f t="shared" ca="1" si="242"/>
        <v>7.3086514320786709</v>
      </c>
      <c r="X795" s="30">
        <f t="shared" ca="1" si="242"/>
        <v>16.762487451536348</v>
      </c>
      <c r="Y795" s="30">
        <f t="shared" ca="1" si="242"/>
        <v>26.211401265099369</v>
      </c>
      <c r="Z795" s="30">
        <f t="shared" ca="1" si="242"/>
        <v>6.5634838374818036</v>
      </c>
      <c r="AA795" s="26">
        <v>787</v>
      </c>
      <c r="AB795" s="31">
        <f t="shared" ca="1" si="240"/>
        <v>14</v>
      </c>
      <c r="AC795" s="31">
        <f t="shared" ca="1" si="229"/>
        <v>1</v>
      </c>
      <c r="AD795" s="31">
        <f t="shared" ca="1" si="230"/>
        <v>110</v>
      </c>
      <c r="AE795" s="31">
        <f t="shared" ca="1" si="231"/>
        <v>17</v>
      </c>
      <c r="AF795" s="31">
        <f t="shared" ca="1" si="232"/>
        <v>79</v>
      </c>
      <c r="AG795" s="31">
        <f t="shared" ca="1" si="233"/>
        <v>13</v>
      </c>
      <c r="AH795" s="31">
        <f t="shared" ca="1" si="234"/>
        <v>38</v>
      </c>
      <c r="AI795" s="31">
        <f t="shared" ca="1" si="235"/>
        <v>8</v>
      </c>
      <c r="AJ795" s="31">
        <f t="shared" ca="1" si="236"/>
        <v>9</v>
      </c>
      <c r="AK795" s="31">
        <f t="shared" ca="1" si="237"/>
        <v>23</v>
      </c>
      <c r="AL795" s="31">
        <f t="shared" ca="1" si="238"/>
        <v>51</v>
      </c>
      <c r="AM795" s="31">
        <f t="shared" ca="1" si="239"/>
        <v>8</v>
      </c>
    </row>
    <row r="796" spans="14:39">
      <c r="N796" s="26">
        <v>788</v>
      </c>
      <c r="O796" s="30">
        <f t="shared" ca="1" si="242"/>
        <v>21.862492270925799</v>
      </c>
      <c r="P796" s="30">
        <f t="shared" ca="1" si="242"/>
        <v>10.843322365932581</v>
      </c>
      <c r="Q796" s="30">
        <f t="shared" ca="1" si="242"/>
        <v>22.403106453511242</v>
      </c>
      <c r="R796" s="30">
        <f t="shared" ca="1" si="242"/>
        <v>13.641830776815896</v>
      </c>
      <c r="S796" s="30">
        <f t="shared" ca="1" si="242"/>
        <v>23.272156072601192</v>
      </c>
      <c r="T796" s="30">
        <f t="shared" ca="1" si="242"/>
        <v>27.156229567408243</v>
      </c>
      <c r="U796" s="30">
        <f t="shared" ca="1" si="242"/>
        <v>22.801520420779678</v>
      </c>
      <c r="V796" s="30">
        <f t="shared" ca="1" si="242"/>
        <v>26.796414742399598</v>
      </c>
      <c r="W796" s="30">
        <f t="shared" ca="1" si="242"/>
        <v>16.460654778397519</v>
      </c>
      <c r="X796" s="30">
        <f t="shared" ca="1" si="242"/>
        <v>9.7779169284179694</v>
      </c>
      <c r="Y796" s="30">
        <f t="shared" ca="1" si="242"/>
        <v>28.480306020880509</v>
      </c>
      <c r="Z796" s="30">
        <f t="shared" ca="1" si="242"/>
        <v>0.99447050111406166</v>
      </c>
      <c r="AA796" s="26">
        <v>788</v>
      </c>
      <c r="AB796" s="31">
        <f t="shared" ca="1" si="240"/>
        <v>36</v>
      </c>
      <c r="AC796" s="31">
        <f t="shared" ca="1" si="229"/>
        <v>13</v>
      </c>
      <c r="AD796" s="31">
        <f t="shared" ca="1" si="230"/>
        <v>37</v>
      </c>
      <c r="AE796" s="31">
        <f t="shared" ca="1" si="231"/>
        <v>18</v>
      </c>
      <c r="AF796" s="31">
        <f t="shared" ca="1" si="232"/>
        <v>40</v>
      </c>
      <c r="AG796" s="31">
        <f t="shared" ca="1" si="233"/>
        <v>56</v>
      </c>
      <c r="AH796" s="31">
        <f t="shared" ca="1" si="234"/>
        <v>38</v>
      </c>
      <c r="AI796" s="31">
        <f t="shared" ca="1" si="235"/>
        <v>54</v>
      </c>
      <c r="AJ796" s="31">
        <f t="shared" ca="1" si="236"/>
        <v>23</v>
      </c>
      <c r="AK796" s="31">
        <f t="shared" ca="1" si="237"/>
        <v>12</v>
      </c>
      <c r="AL796" s="31">
        <f t="shared" ca="1" si="238"/>
        <v>64</v>
      </c>
      <c r="AM796" s="31">
        <f t="shared" ca="1" si="239"/>
        <v>1</v>
      </c>
    </row>
    <row r="797" spans="14:39">
      <c r="N797" s="26">
        <v>789</v>
      </c>
      <c r="O797" s="30">
        <f t="shared" ca="1" si="242"/>
        <v>15.839986800682121</v>
      </c>
      <c r="P797" s="30">
        <f t="shared" ca="1" si="242"/>
        <v>28.622760184109975</v>
      </c>
      <c r="Q797" s="30">
        <f t="shared" ca="1" si="242"/>
        <v>24.790560778207251</v>
      </c>
      <c r="R797" s="30">
        <f t="shared" ca="1" si="242"/>
        <v>32.109192204107288</v>
      </c>
      <c r="S797" s="30">
        <f t="shared" ca="1" si="242"/>
        <v>6.4760625853347245</v>
      </c>
      <c r="T797" s="30">
        <f t="shared" ca="1" si="242"/>
        <v>13.396897932759863</v>
      </c>
      <c r="U797" s="30">
        <f t="shared" ca="1" si="242"/>
        <v>17.140042788289005</v>
      </c>
      <c r="V797" s="30">
        <f t="shared" ca="1" si="242"/>
        <v>10.028544829992361</v>
      </c>
      <c r="W797" s="30">
        <f t="shared" ca="1" si="242"/>
        <v>2.1161381218203124</v>
      </c>
      <c r="X797" s="30">
        <f t="shared" ca="1" si="242"/>
        <v>3.1423861026510358</v>
      </c>
      <c r="Y797" s="30">
        <f t="shared" ca="1" si="242"/>
        <v>27.930958476039578</v>
      </c>
      <c r="Z797" s="30">
        <f t="shared" ca="1" si="242"/>
        <v>1.1940795737136609</v>
      </c>
      <c r="AA797" s="26">
        <v>789</v>
      </c>
      <c r="AB797" s="31">
        <f t="shared" ca="1" si="240"/>
        <v>22</v>
      </c>
      <c r="AC797" s="31">
        <f t="shared" ca="1" si="229"/>
        <v>65</v>
      </c>
      <c r="AD797" s="31">
        <f t="shared" ca="1" si="230"/>
        <v>45</v>
      </c>
      <c r="AE797" s="31">
        <f t="shared" ca="1" si="231"/>
        <v>109</v>
      </c>
      <c r="AF797" s="31">
        <f t="shared" ca="1" si="232"/>
        <v>8</v>
      </c>
      <c r="AG797" s="31">
        <f t="shared" ca="1" si="233"/>
        <v>17</v>
      </c>
      <c r="AH797" s="31">
        <f t="shared" ca="1" si="234"/>
        <v>24</v>
      </c>
      <c r="AI797" s="31">
        <f t="shared" ca="1" si="235"/>
        <v>12</v>
      </c>
      <c r="AJ797" s="31">
        <f t="shared" ca="1" si="236"/>
        <v>3</v>
      </c>
      <c r="AK797" s="31">
        <f t="shared" ca="1" si="237"/>
        <v>4</v>
      </c>
      <c r="AL797" s="31">
        <f t="shared" ca="1" si="238"/>
        <v>60</v>
      </c>
      <c r="AM797" s="31">
        <f t="shared" ca="1" si="239"/>
        <v>2</v>
      </c>
    </row>
    <row r="798" spans="14:39">
      <c r="N798" s="26">
        <v>790</v>
      </c>
      <c r="O798" s="30">
        <f t="shared" ca="1" si="242"/>
        <v>0.98215331090238833</v>
      </c>
      <c r="P798" s="30">
        <f t="shared" ca="1" si="242"/>
        <v>26.266391944264786</v>
      </c>
      <c r="Q798" s="30">
        <f t="shared" ca="1" si="242"/>
        <v>19.243915775567448</v>
      </c>
      <c r="R798" s="30">
        <f t="shared" ca="1" si="242"/>
        <v>17.755815491615245</v>
      </c>
      <c r="S798" s="30">
        <f t="shared" ca="1" si="242"/>
        <v>27.768602061248529</v>
      </c>
      <c r="T798" s="30">
        <f t="shared" ca="1" si="242"/>
        <v>15.042030072883559</v>
      </c>
      <c r="U798" s="30">
        <f t="shared" ca="1" si="242"/>
        <v>14.651422909436331</v>
      </c>
      <c r="V798" s="30">
        <f t="shared" ca="1" si="242"/>
        <v>8.6638554445266269</v>
      </c>
      <c r="W798" s="30">
        <f t="shared" ca="1" si="242"/>
        <v>25.34249421041276</v>
      </c>
      <c r="X798" s="30">
        <f t="shared" ca="1" si="242"/>
        <v>12.558050430385348</v>
      </c>
      <c r="Y798" s="30">
        <f t="shared" ca="1" si="242"/>
        <v>5.0449446943342107</v>
      </c>
      <c r="Z798" s="30">
        <f t="shared" ca="1" si="242"/>
        <v>2.989180415037294</v>
      </c>
      <c r="AA798" s="26">
        <v>790</v>
      </c>
      <c r="AB798" s="31">
        <f t="shared" ca="1" si="240"/>
        <v>1</v>
      </c>
      <c r="AC798" s="31">
        <f t="shared" ca="1" si="229"/>
        <v>51</v>
      </c>
      <c r="AD798" s="31">
        <f t="shared" ca="1" si="230"/>
        <v>29</v>
      </c>
      <c r="AE798" s="31">
        <f t="shared" ca="1" si="231"/>
        <v>25</v>
      </c>
      <c r="AF798" s="31">
        <f t="shared" ca="1" si="232"/>
        <v>59</v>
      </c>
      <c r="AG798" s="31">
        <f t="shared" ca="1" si="233"/>
        <v>20</v>
      </c>
      <c r="AH798" s="31">
        <f t="shared" ca="1" si="234"/>
        <v>20</v>
      </c>
      <c r="AI798" s="31">
        <f t="shared" ca="1" si="235"/>
        <v>10</v>
      </c>
      <c r="AJ798" s="31">
        <f t="shared" ca="1" si="236"/>
        <v>47</v>
      </c>
      <c r="AK798" s="31">
        <f t="shared" ca="1" si="237"/>
        <v>16</v>
      </c>
      <c r="AL798" s="31">
        <f t="shared" ca="1" si="238"/>
        <v>6</v>
      </c>
      <c r="AM798" s="31">
        <f t="shared" ca="1" si="239"/>
        <v>4</v>
      </c>
    </row>
    <row r="799" spans="14:39">
      <c r="N799" s="26">
        <v>791</v>
      </c>
      <c r="O799" s="30">
        <f t="shared" ref="O799:Z808" ca="1" si="243">RAND()*sumweights</f>
        <v>24.573308789424157</v>
      </c>
      <c r="P799" s="30">
        <f t="shared" ca="1" si="243"/>
        <v>9.6338120727571006</v>
      </c>
      <c r="Q799" s="30">
        <f t="shared" ca="1" si="243"/>
        <v>18.527956280780678</v>
      </c>
      <c r="R799" s="30">
        <f t="shared" ca="1" si="243"/>
        <v>28.869716119888437</v>
      </c>
      <c r="S799" s="30">
        <f t="shared" ca="1" si="243"/>
        <v>0.44279549941136132</v>
      </c>
      <c r="T799" s="30">
        <f t="shared" ca="1" si="243"/>
        <v>15.063406081168159</v>
      </c>
      <c r="U799" s="30">
        <f t="shared" ca="1" si="243"/>
        <v>19.76444522208639</v>
      </c>
      <c r="V799" s="30">
        <f t="shared" ca="1" si="243"/>
        <v>12.309816523296474</v>
      </c>
      <c r="W799" s="30">
        <f t="shared" ca="1" si="243"/>
        <v>30.281858328618025</v>
      </c>
      <c r="X799" s="30">
        <f t="shared" ca="1" si="243"/>
        <v>20.480280104864409</v>
      </c>
      <c r="Y799" s="30">
        <f t="shared" ca="1" si="243"/>
        <v>8.5534223073359765</v>
      </c>
      <c r="Z799" s="30">
        <f t="shared" ca="1" si="243"/>
        <v>22.009314925492717</v>
      </c>
      <c r="AA799" s="26">
        <v>791</v>
      </c>
      <c r="AB799" s="31">
        <f t="shared" ca="1" si="240"/>
        <v>44</v>
      </c>
      <c r="AC799" s="31">
        <f t="shared" ca="1" si="229"/>
        <v>12</v>
      </c>
      <c r="AD799" s="31">
        <f t="shared" ca="1" si="230"/>
        <v>27</v>
      </c>
      <c r="AE799" s="31">
        <f t="shared" ca="1" si="231"/>
        <v>67</v>
      </c>
      <c r="AF799" s="31">
        <f t="shared" ca="1" si="232"/>
        <v>1</v>
      </c>
      <c r="AG799" s="31">
        <f t="shared" ca="1" si="233"/>
        <v>20</v>
      </c>
      <c r="AH799" s="31">
        <f t="shared" ca="1" si="234"/>
        <v>30</v>
      </c>
      <c r="AI799" s="31">
        <f t="shared" ca="1" si="235"/>
        <v>16</v>
      </c>
      <c r="AJ799" s="31">
        <f t="shared" ca="1" si="236"/>
        <v>79</v>
      </c>
      <c r="AK799" s="31">
        <f t="shared" ca="1" si="237"/>
        <v>32</v>
      </c>
      <c r="AL799" s="31">
        <f t="shared" ca="1" si="238"/>
        <v>10</v>
      </c>
      <c r="AM799" s="31">
        <f t="shared" ca="1" si="239"/>
        <v>36</v>
      </c>
    </row>
    <row r="800" spans="14:39">
      <c r="N800" s="26">
        <v>792</v>
      </c>
      <c r="O800" s="30">
        <f t="shared" ca="1" si="243"/>
        <v>18.484016872870225</v>
      </c>
      <c r="P800" s="30">
        <f t="shared" ca="1" si="243"/>
        <v>28.131657498583674</v>
      </c>
      <c r="Q800" s="30">
        <f t="shared" ca="1" si="243"/>
        <v>26.146340862077682</v>
      </c>
      <c r="R800" s="30">
        <f t="shared" ca="1" si="243"/>
        <v>12.442276699438533</v>
      </c>
      <c r="S800" s="30">
        <f t="shared" ca="1" si="243"/>
        <v>12.661970948995849</v>
      </c>
      <c r="T800" s="30">
        <f t="shared" ca="1" si="243"/>
        <v>22.647752862823143</v>
      </c>
      <c r="U800" s="30">
        <f t="shared" ca="1" si="243"/>
        <v>15.23640122944758</v>
      </c>
      <c r="V800" s="30">
        <f t="shared" ca="1" si="243"/>
        <v>5.6642627737759064</v>
      </c>
      <c r="W800" s="30">
        <f t="shared" ca="1" si="243"/>
        <v>6.1825070244242957</v>
      </c>
      <c r="X800" s="30">
        <f t="shared" ca="1" si="243"/>
        <v>6.6891882438865293</v>
      </c>
      <c r="Y800" s="30">
        <f t="shared" ca="1" si="243"/>
        <v>27.148372991734373</v>
      </c>
      <c r="Z800" s="30">
        <f t="shared" ca="1" si="243"/>
        <v>11.234183577494958</v>
      </c>
      <c r="AA800" s="26">
        <v>792</v>
      </c>
      <c r="AB800" s="31">
        <f t="shared" ca="1" si="240"/>
        <v>27</v>
      </c>
      <c r="AC800" s="31">
        <f t="shared" ca="1" si="229"/>
        <v>61</v>
      </c>
      <c r="AD800" s="31">
        <f t="shared" ca="1" si="230"/>
        <v>51</v>
      </c>
      <c r="AE800" s="31">
        <f t="shared" ca="1" si="231"/>
        <v>16</v>
      </c>
      <c r="AF800" s="31">
        <f t="shared" ca="1" si="232"/>
        <v>16</v>
      </c>
      <c r="AG800" s="31">
        <f t="shared" ca="1" si="233"/>
        <v>38</v>
      </c>
      <c r="AH800" s="31">
        <f t="shared" ca="1" si="234"/>
        <v>21</v>
      </c>
      <c r="AI800" s="31">
        <f t="shared" ca="1" si="235"/>
        <v>7</v>
      </c>
      <c r="AJ800" s="31">
        <f t="shared" ca="1" si="236"/>
        <v>7</v>
      </c>
      <c r="AK800" s="31">
        <f t="shared" ca="1" si="237"/>
        <v>8</v>
      </c>
      <c r="AL800" s="31">
        <f t="shared" ca="1" si="238"/>
        <v>56</v>
      </c>
      <c r="AM800" s="31">
        <f t="shared" ca="1" si="239"/>
        <v>14</v>
      </c>
    </row>
    <row r="801" spans="14:39">
      <c r="N801" s="26">
        <v>793</v>
      </c>
      <c r="O801" s="30">
        <f t="shared" ca="1" si="243"/>
        <v>13.034418213750904</v>
      </c>
      <c r="P801" s="30">
        <f t="shared" ca="1" si="243"/>
        <v>26.09052176037703</v>
      </c>
      <c r="Q801" s="30">
        <f t="shared" ca="1" si="243"/>
        <v>6.8514117801207126</v>
      </c>
      <c r="R801" s="30">
        <f t="shared" ca="1" si="243"/>
        <v>13.169631166346845</v>
      </c>
      <c r="S801" s="30">
        <f t="shared" ca="1" si="243"/>
        <v>0.36926122632676173</v>
      </c>
      <c r="T801" s="30">
        <f t="shared" ca="1" si="243"/>
        <v>15.203520171534977</v>
      </c>
      <c r="U801" s="30">
        <f t="shared" ca="1" si="243"/>
        <v>6.8787469234762941</v>
      </c>
      <c r="V801" s="30">
        <f t="shared" ca="1" si="243"/>
        <v>19.353542286242739</v>
      </c>
      <c r="W801" s="30">
        <f t="shared" ca="1" si="243"/>
        <v>10.483428544328239</v>
      </c>
      <c r="X801" s="30">
        <f t="shared" ca="1" si="243"/>
        <v>11.188842319790844</v>
      </c>
      <c r="Y801" s="30">
        <f t="shared" ca="1" si="243"/>
        <v>30.462523860472572</v>
      </c>
      <c r="Z801" s="30">
        <f t="shared" ca="1" si="243"/>
        <v>12.46931361841583</v>
      </c>
      <c r="AA801" s="26">
        <v>793</v>
      </c>
      <c r="AB801" s="31">
        <f t="shared" ca="1" si="240"/>
        <v>17</v>
      </c>
      <c r="AC801" s="31">
        <f t="shared" ca="1" si="229"/>
        <v>51</v>
      </c>
      <c r="AD801" s="31">
        <f t="shared" ca="1" si="230"/>
        <v>8</v>
      </c>
      <c r="AE801" s="31">
        <f t="shared" ca="1" si="231"/>
        <v>17</v>
      </c>
      <c r="AF801" s="31">
        <f t="shared" ca="1" si="232"/>
        <v>1</v>
      </c>
      <c r="AG801" s="31">
        <f t="shared" ca="1" si="233"/>
        <v>20</v>
      </c>
      <c r="AH801" s="31">
        <f t="shared" ca="1" si="234"/>
        <v>8</v>
      </c>
      <c r="AI801" s="31">
        <f t="shared" ca="1" si="235"/>
        <v>29</v>
      </c>
      <c r="AJ801" s="31">
        <f t="shared" ca="1" si="236"/>
        <v>13</v>
      </c>
      <c r="AK801" s="31">
        <f t="shared" ca="1" si="237"/>
        <v>14</v>
      </c>
      <c r="AL801" s="31">
        <f t="shared" ca="1" si="238"/>
        <v>81</v>
      </c>
      <c r="AM801" s="31">
        <f t="shared" ca="1" si="239"/>
        <v>16</v>
      </c>
    </row>
    <row r="802" spans="14:39">
      <c r="N802" s="26">
        <v>794</v>
      </c>
      <c r="O802" s="30">
        <f t="shared" ca="1" si="243"/>
        <v>21.776271346386281</v>
      </c>
      <c r="P802" s="30">
        <f t="shared" ca="1" si="243"/>
        <v>31.96241553837049</v>
      </c>
      <c r="Q802" s="30">
        <f t="shared" ca="1" si="243"/>
        <v>24.61279260926862</v>
      </c>
      <c r="R802" s="30">
        <f t="shared" ca="1" si="243"/>
        <v>16.056627414653292</v>
      </c>
      <c r="S802" s="30">
        <f t="shared" ca="1" si="243"/>
        <v>3.8898554651836159</v>
      </c>
      <c r="T802" s="30">
        <f t="shared" ca="1" si="243"/>
        <v>10.109301007376569</v>
      </c>
      <c r="U802" s="30">
        <f t="shared" ca="1" si="243"/>
        <v>30.967034098371549</v>
      </c>
      <c r="V802" s="30">
        <f t="shared" ca="1" si="243"/>
        <v>23.946393229201878</v>
      </c>
      <c r="W802" s="30">
        <f t="shared" ca="1" si="243"/>
        <v>2.1719808340028837</v>
      </c>
      <c r="X802" s="30">
        <f t="shared" ca="1" si="243"/>
        <v>5.445406706490072</v>
      </c>
      <c r="Y802" s="30">
        <f t="shared" ca="1" si="243"/>
        <v>27.137190010183836</v>
      </c>
      <c r="Z802" s="30">
        <f t="shared" ca="1" si="243"/>
        <v>29.745975562393554</v>
      </c>
      <c r="AA802" s="26">
        <v>794</v>
      </c>
      <c r="AB802" s="31">
        <f t="shared" ca="1" si="240"/>
        <v>35</v>
      </c>
      <c r="AC802" s="31">
        <f t="shared" ca="1" si="229"/>
        <v>105</v>
      </c>
      <c r="AD802" s="31">
        <f t="shared" ca="1" si="230"/>
        <v>45</v>
      </c>
      <c r="AE802" s="31">
        <f t="shared" ca="1" si="231"/>
        <v>22</v>
      </c>
      <c r="AF802" s="31">
        <f t="shared" ca="1" si="232"/>
        <v>5</v>
      </c>
      <c r="AG802" s="31">
        <f t="shared" ca="1" si="233"/>
        <v>12</v>
      </c>
      <c r="AH802" s="31">
        <f t="shared" ca="1" si="234"/>
        <v>87</v>
      </c>
      <c r="AI802" s="31">
        <f t="shared" ca="1" si="235"/>
        <v>42</v>
      </c>
      <c r="AJ802" s="31">
        <f t="shared" ca="1" si="236"/>
        <v>3</v>
      </c>
      <c r="AK802" s="31">
        <f t="shared" ca="1" si="237"/>
        <v>6</v>
      </c>
      <c r="AL802" s="31">
        <f t="shared" ca="1" si="238"/>
        <v>56</v>
      </c>
      <c r="AM802" s="31">
        <f t="shared" ca="1" si="239"/>
        <v>74</v>
      </c>
    </row>
    <row r="803" spans="14:39">
      <c r="N803" s="26">
        <v>795</v>
      </c>
      <c r="O803" s="30">
        <f t="shared" ca="1" si="243"/>
        <v>30.914876085722653</v>
      </c>
      <c r="P803" s="30">
        <f t="shared" ca="1" si="243"/>
        <v>29.787097713563217</v>
      </c>
      <c r="Q803" s="30">
        <f t="shared" ca="1" si="243"/>
        <v>25.889728672516927</v>
      </c>
      <c r="R803" s="30">
        <f t="shared" ca="1" si="243"/>
        <v>1.0971572044433346</v>
      </c>
      <c r="S803" s="30">
        <f t="shared" ca="1" si="243"/>
        <v>22.258865127953236</v>
      </c>
      <c r="T803" s="30">
        <f t="shared" ca="1" si="243"/>
        <v>1.1580349465553932</v>
      </c>
      <c r="U803" s="30">
        <f t="shared" ca="1" si="243"/>
        <v>13.205828929489657</v>
      </c>
      <c r="V803" s="30">
        <f t="shared" ca="1" si="243"/>
        <v>2.3778129107253418</v>
      </c>
      <c r="W803" s="30">
        <f t="shared" ca="1" si="243"/>
        <v>7.2981945751903075</v>
      </c>
      <c r="X803" s="30">
        <f t="shared" ca="1" si="243"/>
        <v>5.4167931692409432</v>
      </c>
      <c r="Y803" s="30">
        <f t="shared" ca="1" si="243"/>
        <v>12.75763830203136</v>
      </c>
      <c r="Z803" s="30">
        <f t="shared" ca="1" si="243"/>
        <v>28.147794325212704</v>
      </c>
      <c r="AA803" s="26">
        <v>795</v>
      </c>
      <c r="AB803" s="31">
        <f t="shared" ca="1" si="240"/>
        <v>87</v>
      </c>
      <c r="AC803" s="31">
        <f t="shared" ca="1" si="229"/>
        <v>74</v>
      </c>
      <c r="AD803" s="31">
        <f t="shared" ca="1" si="230"/>
        <v>50</v>
      </c>
      <c r="AE803" s="31">
        <f t="shared" ca="1" si="231"/>
        <v>2</v>
      </c>
      <c r="AF803" s="31">
        <f t="shared" ca="1" si="232"/>
        <v>37</v>
      </c>
      <c r="AG803" s="31">
        <f t="shared" ca="1" si="233"/>
        <v>2</v>
      </c>
      <c r="AH803" s="31">
        <f t="shared" ca="1" si="234"/>
        <v>17</v>
      </c>
      <c r="AI803" s="31">
        <f t="shared" ca="1" si="235"/>
        <v>3</v>
      </c>
      <c r="AJ803" s="31">
        <f t="shared" ca="1" si="236"/>
        <v>9</v>
      </c>
      <c r="AK803" s="31">
        <f t="shared" ca="1" si="237"/>
        <v>6</v>
      </c>
      <c r="AL803" s="31">
        <f t="shared" ca="1" si="238"/>
        <v>16</v>
      </c>
      <c r="AM803" s="31">
        <f t="shared" ca="1" si="239"/>
        <v>62</v>
      </c>
    </row>
    <row r="804" spans="14:39">
      <c r="N804" s="26">
        <v>796</v>
      </c>
      <c r="O804" s="30">
        <f t="shared" ca="1" si="243"/>
        <v>13.243960920984559</v>
      </c>
      <c r="P804" s="30">
        <f t="shared" ca="1" si="243"/>
        <v>32.294389395100346</v>
      </c>
      <c r="Q804" s="30">
        <f t="shared" ca="1" si="243"/>
        <v>8.7168779406116084</v>
      </c>
      <c r="R804" s="30">
        <f t="shared" ca="1" si="243"/>
        <v>28.881431509083008</v>
      </c>
      <c r="S804" s="30">
        <f t="shared" ca="1" si="243"/>
        <v>25.537904723103477</v>
      </c>
      <c r="T804" s="30">
        <f t="shared" ca="1" si="243"/>
        <v>19.423858282724776</v>
      </c>
      <c r="U804" s="30">
        <f t="shared" ca="1" si="243"/>
        <v>7.626781884227908</v>
      </c>
      <c r="V804" s="30">
        <f t="shared" ca="1" si="243"/>
        <v>22.849317867194163</v>
      </c>
      <c r="W804" s="30">
        <f t="shared" ca="1" si="243"/>
        <v>1.2669592201355939</v>
      </c>
      <c r="X804" s="30">
        <f t="shared" ca="1" si="243"/>
        <v>5.5614234529374862</v>
      </c>
      <c r="Y804" s="30">
        <f t="shared" ca="1" si="243"/>
        <v>27.781527264110668</v>
      </c>
      <c r="Z804" s="30">
        <f t="shared" ca="1" si="243"/>
        <v>31.469637176155334</v>
      </c>
      <c r="AA804" s="26">
        <v>796</v>
      </c>
      <c r="AB804" s="31">
        <f t="shared" ca="1" si="240"/>
        <v>17</v>
      </c>
      <c r="AC804" s="31">
        <f t="shared" ca="1" si="229"/>
        <v>114</v>
      </c>
      <c r="AD804" s="31">
        <f t="shared" ca="1" si="230"/>
        <v>10</v>
      </c>
      <c r="AE804" s="31">
        <f t="shared" ca="1" si="231"/>
        <v>67</v>
      </c>
      <c r="AF804" s="31">
        <f t="shared" ca="1" si="232"/>
        <v>48</v>
      </c>
      <c r="AG804" s="31">
        <f t="shared" ca="1" si="233"/>
        <v>29</v>
      </c>
      <c r="AH804" s="31">
        <f t="shared" ca="1" si="234"/>
        <v>9</v>
      </c>
      <c r="AI804" s="31">
        <f t="shared" ca="1" si="235"/>
        <v>38</v>
      </c>
      <c r="AJ804" s="31">
        <f t="shared" ca="1" si="236"/>
        <v>2</v>
      </c>
      <c r="AK804" s="31">
        <f t="shared" ca="1" si="237"/>
        <v>6</v>
      </c>
      <c r="AL804" s="31">
        <f t="shared" ca="1" si="238"/>
        <v>59</v>
      </c>
      <c r="AM804" s="31">
        <f t="shared" ca="1" si="239"/>
        <v>95</v>
      </c>
    </row>
    <row r="805" spans="14:39">
      <c r="N805" s="26">
        <v>797</v>
      </c>
      <c r="O805" s="30">
        <f t="shared" ca="1" si="243"/>
        <v>9.6202073741903682</v>
      </c>
      <c r="P805" s="30">
        <f t="shared" ca="1" si="243"/>
        <v>20.100279736166051</v>
      </c>
      <c r="Q805" s="30">
        <f t="shared" ca="1" si="243"/>
        <v>26.979514890970925</v>
      </c>
      <c r="R805" s="30">
        <f t="shared" ca="1" si="243"/>
        <v>21.185972650262357</v>
      </c>
      <c r="S805" s="30">
        <f t="shared" ca="1" si="243"/>
        <v>8.75104874173919</v>
      </c>
      <c r="T805" s="30">
        <f t="shared" ca="1" si="243"/>
        <v>19.767673046358617</v>
      </c>
      <c r="U805" s="30">
        <f t="shared" ca="1" si="243"/>
        <v>16.409524959743411</v>
      </c>
      <c r="V805" s="30">
        <f t="shared" ca="1" si="243"/>
        <v>25.193889254257083</v>
      </c>
      <c r="W805" s="30">
        <f t="shared" ca="1" si="243"/>
        <v>26.45888958940823</v>
      </c>
      <c r="X805" s="30">
        <f t="shared" ca="1" si="243"/>
        <v>21.998508739837032</v>
      </c>
      <c r="Y805" s="30">
        <f t="shared" ca="1" si="243"/>
        <v>9.372555071568998</v>
      </c>
      <c r="Z805" s="30">
        <f t="shared" ca="1" si="243"/>
        <v>15.305711527143325</v>
      </c>
      <c r="AA805" s="26">
        <v>797</v>
      </c>
      <c r="AB805" s="31">
        <f t="shared" ca="1" si="240"/>
        <v>12</v>
      </c>
      <c r="AC805" s="31">
        <f t="shared" ca="1" si="229"/>
        <v>31</v>
      </c>
      <c r="AD805" s="31">
        <f t="shared" ca="1" si="230"/>
        <v>55</v>
      </c>
      <c r="AE805" s="31">
        <f t="shared" ca="1" si="231"/>
        <v>34</v>
      </c>
      <c r="AF805" s="31">
        <f t="shared" ca="1" si="232"/>
        <v>10</v>
      </c>
      <c r="AG805" s="31">
        <f t="shared" ca="1" si="233"/>
        <v>30</v>
      </c>
      <c r="AH805" s="31">
        <f t="shared" ca="1" si="234"/>
        <v>23</v>
      </c>
      <c r="AI805" s="31">
        <f t="shared" ca="1" si="235"/>
        <v>47</v>
      </c>
      <c r="AJ805" s="31">
        <f t="shared" ca="1" si="236"/>
        <v>52</v>
      </c>
      <c r="AK805" s="31">
        <f t="shared" ca="1" si="237"/>
        <v>36</v>
      </c>
      <c r="AL805" s="31">
        <f t="shared" ca="1" si="238"/>
        <v>11</v>
      </c>
      <c r="AM805" s="31">
        <f t="shared" ca="1" si="239"/>
        <v>21</v>
      </c>
    </row>
    <row r="806" spans="14:39">
      <c r="N806" s="26">
        <v>798</v>
      </c>
      <c r="O806" s="30">
        <f t="shared" ca="1" si="243"/>
        <v>9.6189715875840367</v>
      </c>
      <c r="P806" s="30">
        <f t="shared" ca="1" si="243"/>
        <v>31.99486381644493</v>
      </c>
      <c r="Q806" s="30">
        <f t="shared" ca="1" si="243"/>
        <v>18.142536459750541</v>
      </c>
      <c r="R806" s="30">
        <f t="shared" ca="1" si="243"/>
        <v>27.42943917235452</v>
      </c>
      <c r="S806" s="30">
        <f t="shared" ca="1" si="243"/>
        <v>19.114109138430404</v>
      </c>
      <c r="T806" s="30">
        <f t="shared" ca="1" si="243"/>
        <v>19.208130817811966</v>
      </c>
      <c r="U806" s="30">
        <f t="shared" ca="1" si="243"/>
        <v>7.7934538816594374</v>
      </c>
      <c r="V806" s="30">
        <f t="shared" ca="1" si="243"/>
        <v>30.362110285997431</v>
      </c>
      <c r="W806" s="30">
        <f t="shared" ca="1" si="243"/>
        <v>2.0646469254233071</v>
      </c>
      <c r="X806" s="30">
        <f t="shared" ca="1" si="243"/>
        <v>26.096079284313248</v>
      </c>
      <c r="Y806" s="30">
        <f t="shared" ca="1" si="243"/>
        <v>10.496494622477881</v>
      </c>
      <c r="Z806" s="30">
        <f t="shared" ca="1" si="243"/>
        <v>7.940314025741662</v>
      </c>
      <c r="AA806" s="26">
        <v>798</v>
      </c>
      <c r="AB806" s="31">
        <f t="shared" ca="1" si="240"/>
        <v>12</v>
      </c>
      <c r="AC806" s="31">
        <f t="shared" ca="1" si="229"/>
        <v>106</v>
      </c>
      <c r="AD806" s="31">
        <f t="shared" ca="1" si="230"/>
        <v>26</v>
      </c>
      <c r="AE806" s="31">
        <f t="shared" ca="1" si="231"/>
        <v>57</v>
      </c>
      <c r="AF806" s="31">
        <f t="shared" ca="1" si="232"/>
        <v>28</v>
      </c>
      <c r="AG806" s="31">
        <f t="shared" ca="1" si="233"/>
        <v>29</v>
      </c>
      <c r="AH806" s="31">
        <f t="shared" ca="1" si="234"/>
        <v>9</v>
      </c>
      <c r="AI806" s="31">
        <f t="shared" ca="1" si="235"/>
        <v>80</v>
      </c>
      <c r="AJ806" s="31">
        <f t="shared" ca="1" si="236"/>
        <v>3</v>
      </c>
      <c r="AK806" s="31">
        <f t="shared" ca="1" si="237"/>
        <v>51</v>
      </c>
      <c r="AL806" s="31">
        <f t="shared" ca="1" si="238"/>
        <v>13</v>
      </c>
      <c r="AM806" s="31">
        <f t="shared" ca="1" si="239"/>
        <v>9</v>
      </c>
    </row>
    <row r="807" spans="14:39">
      <c r="N807" s="26">
        <v>799</v>
      </c>
      <c r="O807" s="30">
        <f t="shared" ca="1" si="243"/>
        <v>12.163224585789211</v>
      </c>
      <c r="P807" s="30">
        <f t="shared" ca="1" si="243"/>
        <v>23.476463382490156</v>
      </c>
      <c r="Q807" s="30">
        <f t="shared" ca="1" si="243"/>
        <v>22.487763235557164</v>
      </c>
      <c r="R807" s="30">
        <f t="shared" ca="1" si="243"/>
        <v>14.496322202495778</v>
      </c>
      <c r="S807" s="30">
        <f t="shared" ca="1" si="243"/>
        <v>9.3620009781784717</v>
      </c>
      <c r="T807" s="30">
        <f t="shared" ca="1" si="243"/>
        <v>10.41176342042127</v>
      </c>
      <c r="U807" s="30">
        <f t="shared" ca="1" si="243"/>
        <v>22.224568141932647</v>
      </c>
      <c r="V807" s="30">
        <f t="shared" ca="1" si="243"/>
        <v>27.871034355054917</v>
      </c>
      <c r="W807" s="30">
        <f t="shared" ca="1" si="243"/>
        <v>11.975380683470659</v>
      </c>
      <c r="X807" s="30">
        <f t="shared" ca="1" si="243"/>
        <v>0.26217146261135199</v>
      </c>
      <c r="Y807" s="30">
        <f t="shared" ca="1" si="243"/>
        <v>21.243977291214353</v>
      </c>
      <c r="Z807" s="30">
        <f t="shared" ca="1" si="243"/>
        <v>27.811688206816932</v>
      </c>
      <c r="AA807" s="26">
        <v>799</v>
      </c>
      <c r="AB807" s="31">
        <f t="shared" ca="1" si="240"/>
        <v>15</v>
      </c>
      <c r="AC807" s="31">
        <f t="shared" ca="1" si="229"/>
        <v>41</v>
      </c>
      <c r="AD807" s="31">
        <f t="shared" ca="1" si="230"/>
        <v>37</v>
      </c>
      <c r="AE807" s="31">
        <f t="shared" ca="1" si="231"/>
        <v>19</v>
      </c>
      <c r="AF807" s="31">
        <f t="shared" ca="1" si="232"/>
        <v>11</v>
      </c>
      <c r="AG807" s="31">
        <f t="shared" ca="1" si="233"/>
        <v>13</v>
      </c>
      <c r="AH807" s="31">
        <f t="shared" ca="1" si="234"/>
        <v>37</v>
      </c>
      <c r="AI807" s="31">
        <f t="shared" ca="1" si="235"/>
        <v>60</v>
      </c>
      <c r="AJ807" s="31">
        <f t="shared" ca="1" si="236"/>
        <v>15</v>
      </c>
      <c r="AK807" s="31">
        <f t="shared" ca="1" si="237"/>
        <v>1</v>
      </c>
      <c r="AL807" s="31">
        <f t="shared" ca="1" si="238"/>
        <v>34</v>
      </c>
      <c r="AM807" s="31">
        <f t="shared" ca="1" si="239"/>
        <v>60</v>
      </c>
    </row>
    <row r="808" spans="14:39">
      <c r="N808" s="26">
        <v>800</v>
      </c>
      <c r="O808" s="30">
        <f t="shared" ca="1" si="243"/>
        <v>1.4861334745119832</v>
      </c>
      <c r="P808" s="30">
        <f t="shared" ca="1" si="243"/>
        <v>10.109308661827711</v>
      </c>
      <c r="Q808" s="30">
        <f t="shared" ca="1" si="243"/>
        <v>27.004446801038984</v>
      </c>
      <c r="R808" s="30">
        <f t="shared" ca="1" si="243"/>
        <v>15.478951529469594</v>
      </c>
      <c r="S808" s="30">
        <f t="shared" ca="1" si="243"/>
        <v>8.0475280790402213</v>
      </c>
      <c r="T808" s="30">
        <f t="shared" ca="1" si="243"/>
        <v>16.264894466932187</v>
      </c>
      <c r="U808" s="30">
        <f t="shared" ca="1" si="243"/>
        <v>23.724711538177974</v>
      </c>
      <c r="V808" s="30">
        <f t="shared" ca="1" si="243"/>
        <v>22.524810870105437</v>
      </c>
      <c r="W808" s="30">
        <f t="shared" ca="1" si="243"/>
        <v>19.896973475881396</v>
      </c>
      <c r="X808" s="30">
        <f t="shared" ca="1" si="243"/>
        <v>2.5244751874106224</v>
      </c>
      <c r="Y808" s="30">
        <f t="shared" ca="1" si="243"/>
        <v>4.3774824168167425</v>
      </c>
      <c r="Z808" s="30">
        <f t="shared" ca="1" si="243"/>
        <v>16.204468329503985</v>
      </c>
      <c r="AA808" s="26">
        <v>800</v>
      </c>
      <c r="AB808" s="31">
        <f t="shared" ca="1" si="240"/>
        <v>2</v>
      </c>
      <c r="AC808" s="31">
        <f t="shared" ca="1" si="229"/>
        <v>12</v>
      </c>
      <c r="AD808" s="31">
        <f t="shared" ca="1" si="230"/>
        <v>55</v>
      </c>
      <c r="AE808" s="31">
        <f t="shared" ca="1" si="231"/>
        <v>21</v>
      </c>
      <c r="AF808" s="31">
        <f t="shared" ca="1" si="232"/>
        <v>10</v>
      </c>
      <c r="AG808" s="31">
        <f t="shared" ca="1" si="233"/>
        <v>22</v>
      </c>
      <c r="AH808" s="31">
        <f t="shared" ca="1" si="234"/>
        <v>41</v>
      </c>
      <c r="AI808" s="31">
        <f t="shared" ca="1" si="235"/>
        <v>37</v>
      </c>
      <c r="AJ808" s="31">
        <f t="shared" ca="1" si="236"/>
        <v>30</v>
      </c>
      <c r="AK808" s="31">
        <f t="shared" ca="1" si="237"/>
        <v>3</v>
      </c>
      <c r="AL808" s="31">
        <f t="shared" ca="1" si="238"/>
        <v>5</v>
      </c>
      <c r="AM808" s="31">
        <f t="shared" ca="1" si="239"/>
        <v>22</v>
      </c>
    </row>
    <row r="809" spans="14:39">
      <c r="N809" s="26">
        <v>801</v>
      </c>
      <c r="O809" s="30">
        <f t="shared" ref="O809:Z818" ca="1" si="244">RAND()*sumweights</f>
        <v>22.041245232480026</v>
      </c>
      <c r="P809" s="30">
        <f t="shared" ca="1" si="244"/>
        <v>12.975874806038721</v>
      </c>
      <c r="Q809" s="30">
        <f t="shared" ca="1" si="244"/>
        <v>25.462864543819482</v>
      </c>
      <c r="R809" s="30">
        <f t="shared" ca="1" si="244"/>
        <v>4.2616631546989758</v>
      </c>
      <c r="S809" s="30">
        <f t="shared" ca="1" si="244"/>
        <v>1.6044276181185855</v>
      </c>
      <c r="T809" s="30">
        <f t="shared" ca="1" si="244"/>
        <v>2.7282717134615746</v>
      </c>
      <c r="U809" s="30">
        <f t="shared" ca="1" si="244"/>
        <v>8.7298323382279488</v>
      </c>
      <c r="V809" s="30">
        <f t="shared" ca="1" si="244"/>
        <v>13.159283732156092</v>
      </c>
      <c r="W809" s="30">
        <f t="shared" ca="1" si="244"/>
        <v>1.4108706668389248</v>
      </c>
      <c r="X809" s="30">
        <f t="shared" ca="1" si="244"/>
        <v>6.4345313508626569</v>
      </c>
      <c r="Y809" s="30">
        <f t="shared" ca="1" si="244"/>
        <v>25.682338097367499</v>
      </c>
      <c r="Z809" s="30">
        <f t="shared" ca="1" si="244"/>
        <v>12.751609792232108</v>
      </c>
      <c r="AA809" s="26">
        <v>801</v>
      </c>
      <c r="AB809" s="31">
        <f t="shared" ca="1" si="240"/>
        <v>36</v>
      </c>
      <c r="AC809" s="31">
        <f t="shared" ca="1" si="229"/>
        <v>17</v>
      </c>
      <c r="AD809" s="31">
        <f t="shared" ca="1" si="230"/>
        <v>48</v>
      </c>
      <c r="AE809" s="31">
        <f t="shared" ca="1" si="231"/>
        <v>5</v>
      </c>
      <c r="AF809" s="31">
        <f t="shared" ca="1" si="232"/>
        <v>2</v>
      </c>
      <c r="AG809" s="31">
        <f t="shared" ca="1" si="233"/>
        <v>3</v>
      </c>
      <c r="AH809" s="31">
        <f t="shared" ca="1" si="234"/>
        <v>10</v>
      </c>
      <c r="AI809" s="31">
        <f t="shared" ca="1" si="235"/>
        <v>17</v>
      </c>
      <c r="AJ809" s="31">
        <f t="shared" ca="1" si="236"/>
        <v>2</v>
      </c>
      <c r="AK809" s="31">
        <f t="shared" ca="1" si="237"/>
        <v>8</v>
      </c>
      <c r="AL809" s="31">
        <f t="shared" ca="1" si="238"/>
        <v>49</v>
      </c>
      <c r="AM809" s="31">
        <f t="shared" ca="1" si="239"/>
        <v>16</v>
      </c>
    </row>
    <row r="810" spans="14:39">
      <c r="N810" s="26">
        <v>802</v>
      </c>
      <c r="O810" s="30">
        <f t="shared" ca="1" si="244"/>
        <v>28.9571420070363</v>
      </c>
      <c r="P810" s="30">
        <f t="shared" ca="1" si="244"/>
        <v>25.152342453158454</v>
      </c>
      <c r="Q810" s="30">
        <f t="shared" ca="1" si="244"/>
        <v>12.645581951278619</v>
      </c>
      <c r="R810" s="30">
        <f t="shared" ca="1" si="244"/>
        <v>10.253560402579122</v>
      </c>
      <c r="S810" s="30">
        <f t="shared" ca="1" si="244"/>
        <v>26.908494964199267</v>
      </c>
      <c r="T810" s="30">
        <f t="shared" ca="1" si="244"/>
        <v>22.220092190823916</v>
      </c>
      <c r="U810" s="30">
        <f t="shared" ca="1" si="244"/>
        <v>12.937844547657669</v>
      </c>
      <c r="V810" s="30">
        <f t="shared" ca="1" si="244"/>
        <v>14.820093628231275</v>
      </c>
      <c r="W810" s="30">
        <f t="shared" ca="1" si="244"/>
        <v>2.5343396803075602</v>
      </c>
      <c r="X810" s="30">
        <f t="shared" ca="1" si="244"/>
        <v>7.2858690378552948</v>
      </c>
      <c r="Y810" s="30">
        <f t="shared" ca="1" si="244"/>
        <v>9.3931719359633181</v>
      </c>
      <c r="Z810" s="30">
        <f t="shared" ca="1" si="244"/>
        <v>5.7507547055002597</v>
      </c>
      <c r="AA810" s="26">
        <v>802</v>
      </c>
      <c r="AB810" s="31">
        <f t="shared" ca="1" si="240"/>
        <v>67</v>
      </c>
      <c r="AC810" s="31">
        <f t="shared" ca="1" si="229"/>
        <v>47</v>
      </c>
      <c r="AD810" s="31">
        <f t="shared" ca="1" si="230"/>
        <v>16</v>
      </c>
      <c r="AE810" s="31">
        <f t="shared" ca="1" si="231"/>
        <v>13</v>
      </c>
      <c r="AF810" s="31">
        <f t="shared" ca="1" si="232"/>
        <v>55</v>
      </c>
      <c r="AG810" s="31">
        <f t="shared" ca="1" si="233"/>
        <v>37</v>
      </c>
      <c r="AH810" s="31">
        <f t="shared" ca="1" si="234"/>
        <v>17</v>
      </c>
      <c r="AI810" s="31">
        <f t="shared" ca="1" si="235"/>
        <v>20</v>
      </c>
      <c r="AJ810" s="31">
        <f t="shared" ca="1" si="236"/>
        <v>3</v>
      </c>
      <c r="AK810" s="31">
        <f t="shared" ca="1" si="237"/>
        <v>9</v>
      </c>
      <c r="AL810" s="31">
        <f t="shared" ca="1" si="238"/>
        <v>11</v>
      </c>
      <c r="AM810" s="31">
        <f t="shared" ca="1" si="239"/>
        <v>7</v>
      </c>
    </row>
    <row r="811" spans="14:39">
      <c r="N811" s="26">
        <v>803</v>
      </c>
      <c r="O811" s="30">
        <f t="shared" ca="1" si="244"/>
        <v>4.352477663846388</v>
      </c>
      <c r="P811" s="30">
        <f t="shared" ca="1" si="244"/>
        <v>4.154339804252726</v>
      </c>
      <c r="Q811" s="30">
        <f t="shared" ca="1" si="244"/>
        <v>4.1213969280750868</v>
      </c>
      <c r="R811" s="30">
        <f t="shared" ca="1" si="244"/>
        <v>26.608242539534274</v>
      </c>
      <c r="S811" s="30">
        <f t="shared" ca="1" si="244"/>
        <v>32.194361431630682</v>
      </c>
      <c r="T811" s="30">
        <f t="shared" ca="1" si="244"/>
        <v>13.063515553195327</v>
      </c>
      <c r="U811" s="30">
        <f t="shared" ca="1" si="244"/>
        <v>28.307270972294603</v>
      </c>
      <c r="V811" s="30">
        <f t="shared" ca="1" si="244"/>
        <v>26.690533617021991</v>
      </c>
      <c r="W811" s="30">
        <f t="shared" ca="1" si="244"/>
        <v>21.054446558698583</v>
      </c>
      <c r="X811" s="30">
        <f t="shared" ca="1" si="244"/>
        <v>26.099154245564698</v>
      </c>
      <c r="Y811" s="30">
        <f t="shared" ca="1" si="244"/>
        <v>9.6241426508587917</v>
      </c>
      <c r="Z811" s="30">
        <f t="shared" ca="1" si="244"/>
        <v>22.724865782528521</v>
      </c>
      <c r="AA811" s="26">
        <v>803</v>
      </c>
      <c r="AB811" s="31">
        <f t="shared" ca="1" si="240"/>
        <v>5</v>
      </c>
      <c r="AC811" s="31">
        <f t="shared" ca="1" si="229"/>
        <v>5</v>
      </c>
      <c r="AD811" s="31">
        <f t="shared" ca="1" si="230"/>
        <v>5</v>
      </c>
      <c r="AE811" s="31">
        <f t="shared" ca="1" si="231"/>
        <v>53</v>
      </c>
      <c r="AF811" s="31">
        <f t="shared" ca="1" si="232"/>
        <v>111</v>
      </c>
      <c r="AG811" s="31">
        <f t="shared" ca="1" si="233"/>
        <v>17</v>
      </c>
      <c r="AH811" s="31">
        <f t="shared" ca="1" si="234"/>
        <v>63</v>
      </c>
      <c r="AI811" s="31">
        <f t="shared" ca="1" si="235"/>
        <v>53</v>
      </c>
      <c r="AJ811" s="31">
        <f t="shared" ca="1" si="236"/>
        <v>33</v>
      </c>
      <c r="AK811" s="31">
        <f t="shared" ca="1" si="237"/>
        <v>51</v>
      </c>
      <c r="AL811" s="31">
        <f t="shared" ca="1" si="238"/>
        <v>12</v>
      </c>
      <c r="AM811" s="31">
        <f t="shared" ca="1" si="239"/>
        <v>38</v>
      </c>
    </row>
    <row r="812" spans="14:39">
      <c r="N812" s="26">
        <v>804</v>
      </c>
      <c r="O812" s="30">
        <f t="shared" ca="1" si="244"/>
        <v>23.860916767441559</v>
      </c>
      <c r="P812" s="30">
        <f t="shared" ca="1" si="244"/>
        <v>3.8416263276141511</v>
      </c>
      <c r="Q812" s="30">
        <f t="shared" ca="1" si="244"/>
        <v>1.7100796294542522</v>
      </c>
      <c r="R812" s="30">
        <f t="shared" ca="1" si="244"/>
        <v>7.6295661567344126</v>
      </c>
      <c r="S812" s="30">
        <f t="shared" ca="1" si="244"/>
        <v>13.293752994776046</v>
      </c>
      <c r="T812" s="30">
        <f t="shared" ca="1" si="244"/>
        <v>9.913714905088101</v>
      </c>
      <c r="U812" s="30">
        <f t="shared" ca="1" si="244"/>
        <v>6.5842399163574736</v>
      </c>
      <c r="V812" s="30">
        <f t="shared" ca="1" si="244"/>
        <v>0.29595037922288203</v>
      </c>
      <c r="W812" s="30">
        <f t="shared" ca="1" si="244"/>
        <v>20.264034528189768</v>
      </c>
      <c r="X812" s="30">
        <f t="shared" ca="1" si="244"/>
        <v>9.5574950783783201</v>
      </c>
      <c r="Y812" s="30">
        <f t="shared" ca="1" si="244"/>
        <v>21.17556665790611</v>
      </c>
      <c r="Z812" s="30">
        <f t="shared" ca="1" si="244"/>
        <v>27.799141360532285</v>
      </c>
      <c r="AA812" s="26">
        <v>804</v>
      </c>
      <c r="AB812" s="31">
        <f t="shared" ca="1" si="240"/>
        <v>42</v>
      </c>
      <c r="AC812" s="31">
        <f t="shared" ca="1" si="229"/>
        <v>5</v>
      </c>
      <c r="AD812" s="31">
        <f t="shared" ca="1" si="230"/>
        <v>2</v>
      </c>
      <c r="AE812" s="31">
        <f t="shared" ca="1" si="231"/>
        <v>9</v>
      </c>
      <c r="AF812" s="31">
        <f t="shared" ca="1" si="232"/>
        <v>17</v>
      </c>
      <c r="AG812" s="31">
        <f t="shared" ca="1" si="233"/>
        <v>12</v>
      </c>
      <c r="AH812" s="31">
        <f t="shared" ca="1" si="234"/>
        <v>8</v>
      </c>
      <c r="AI812" s="31">
        <f t="shared" ca="1" si="235"/>
        <v>1</v>
      </c>
      <c r="AJ812" s="31">
        <f t="shared" ca="1" si="236"/>
        <v>31</v>
      </c>
      <c r="AK812" s="31">
        <f t="shared" ca="1" si="237"/>
        <v>12</v>
      </c>
      <c r="AL812" s="31">
        <f t="shared" ca="1" si="238"/>
        <v>34</v>
      </c>
      <c r="AM812" s="31">
        <f t="shared" ca="1" si="239"/>
        <v>59</v>
      </c>
    </row>
    <row r="813" spans="14:39">
      <c r="N813" s="26">
        <v>805</v>
      </c>
      <c r="O813" s="30">
        <f t="shared" ca="1" si="244"/>
        <v>25.12079276293926</v>
      </c>
      <c r="P813" s="30">
        <f t="shared" ca="1" si="244"/>
        <v>17.512422368962724</v>
      </c>
      <c r="Q813" s="30">
        <f t="shared" ca="1" si="244"/>
        <v>27.461563549308426</v>
      </c>
      <c r="R813" s="30">
        <f t="shared" ca="1" si="244"/>
        <v>1.8544297556542031</v>
      </c>
      <c r="S813" s="30">
        <f t="shared" ca="1" si="244"/>
        <v>28.148428795931412</v>
      </c>
      <c r="T813" s="30">
        <f t="shared" ca="1" si="244"/>
        <v>16.949395987946446</v>
      </c>
      <c r="U813" s="30">
        <f t="shared" ca="1" si="244"/>
        <v>13.460214721517096</v>
      </c>
      <c r="V813" s="30">
        <f t="shared" ca="1" si="244"/>
        <v>0.16811139274397094</v>
      </c>
      <c r="W813" s="30">
        <f t="shared" ca="1" si="244"/>
        <v>13.927547140037071</v>
      </c>
      <c r="X813" s="30">
        <f t="shared" ca="1" si="244"/>
        <v>13.020995940437661</v>
      </c>
      <c r="Y813" s="30">
        <f t="shared" ca="1" si="244"/>
        <v>23.727205333779782</v>
      </c>
      <c r="Z813" s="30">
        <f t="shared" ca="1" si="244"/>
        <v>8.8015957586040656</v>
      </c>
      <c r="AA813" s="26">
        <v>805</v>
      </c>
      <c r="AB813" s="31">
        <f t="shared" ca="1" si="240"/>
        <v>46</v>
      </c>
      <c r="AC813" s="31">
        <f t="shared" ca="1" si="229"/>
        <v>25</v>
      </c>
      <c r="AD813" s="31">
        <f t="shared" ca="1" si="230"/>
        <v>58</v>
      </c>
      <c r="AE813" s="31">
        <f t="shared" ca="1" si="231"/>
        <v>2</v>
      </c>
      <c r="AF813" s="31">
        <f t="shared" ca="1" si="232"/>
        <v>62</v>
      </c>
      <c r="AG813" s="31">
        <f t="shared" ca="1" si="233"/>
        <v>24</v>
      </c>
      <c r="AH813" s="31">
        <f t="shared" ca="1" si="234"/>
        <v>17</v>
      </c>
      <c r="AI813" s="31">
        <f t="shared" ca="1" si="235"/>
        <v>1</v>
      </c>
      <c r="AJ813" s="31">
        <f t="shared" ca="1" si="236"/>
        <v>18</v>
      </c>
      <c r="AK813" s="31">
        <f t="shared" ca="1" si="237"/>
        <v>17</v>
      </c>
      <c r="AL813" s="31">
        <f t="shared" ca="1" si="238"/>
        <v>41</v>
      </c>
      <c r="AM813" s="31">
        <f t="shared" ca="1" si="239"/>
        <v>11</v>
      </c>
    </row>
    <row r="814" spans="14:39">
      <c r="N814" s="26">
        <v>806</v>
      </c>
      <c r="O814" s="30">
        <f t="shared" ca="1" si="244"/>
        <v>26.216382544924915</v>
      </c>
      <c r="P814" s="30">
        <f t="shared" ca="1" si="244"/>
        <v>24.772771782108279</v>
      </c>
      <c r="Q814" s="30">
        <f t="shared" ca="1" si="244"/>
        <v>7.2262409018328118</v>
      </c>
      <c r="R814" s="30">
        <f t="shared" ca="1" si="244"/>
        <v>32.161067244051956</v>
      </c>
      <c r="S814" s="30">
        <f t="shared" ca="1" si="244"/>
        <v>31.772059181396909</v>
      </c>
      <c r="T814" s="30">
        <f t="shared" ca="1" si="244"/>
        <v>12.751952752856507</v>
      </c>
      <c r="U814" s="30">
        <f t="shared" ca="1" si="244"/>
        <v>16.751557664902212</v>
      </c>
      <c r="V814" s="30">
        <f t="shared" ca="1" si="244"/>
        <v>4.5841675881900494</v>
      </c>
      <c r="W814" s="30">
        <f t="shared" ca="1" si="244"/>
        <v>4.5466044633984133</v>
      </c>
      <c r="X814" s="30">
        <f t="shared" ca="1" si="244"/>
        <v>10.695055961638518</v>
      </c>
      <c r="Y814" s="30">
        <f t="shared" ca="1" si="244"/>
        <v>16.29906023335047</v>
      </c>
      <c r="Z814" s="30">
        <f t="shared" ca="1" si="244"/>
        <v>3.4344243921521809</v>
      </c>
      <c r="AA814" s="26">
        <v>806</v>
      </c>
      <c r="AB814" s="31">
        <f t="shared" ca="1" si="240"/>
        <v>51</v>
      </c>
      <c r="AC814" s="31">
        <f t="shared" ca="1" si="229"/>
        <v>45</v>
      </c>
      <c r="AD814" s="31">
        <f t="shared" ca="1" si="230"/>
        <v>9</v>
      </c>
      <c r="AE814" s="31">
        <f t="shared" ca="1" si="231"/>
        <v>110</v>
      </c>
      <c r="AF814" s="31">
        <f t="shared" ca="1" si="232"/>
        <v>101</v>
      </c>
      <c r="AG814" s="31">
        <f t="shared" ca="1" si="233"/>
        <v>16</v>
      </c>
      <c r="AH814" s="31">
        <f t="shared" ca="1" si="234"/>
        <v>23</v>
      </c>
      <c r="AI814" s="31">
        <f t="shared" ca="1" si="235"/>
        <v>5</v>
      </c>
      <c r="AJ814" s="31">
        <f t="shared" ca="1" si="236"/>
        <v>5</v>
      </c>
      <c r="AK814" s="31">
        <f t="shared" ca="1" si="237"/>
        <v>13</v>
      </c>
      <c r="AL814" s="31">
        <f t="shared" ca="1" si="238"/>
        <v>23</v>
      </c>
      <c r="AM814" s="31">
        <f t="shared" ca="1" si="239"/>
        <v>4</v>
      </c>
    </row>
    <row r="815" spans="14:39">
      <c r="N815" s="26">
        <v>807</v>
      </c>
      <c r="O815" s="30">
        <f t="shared" ca="1" si="244"/>
        <v>15.317170881493212</v>
      </c>
      <c r="P815" s="30">
        <f t="shared" ca="1" si="244"/>
        <v>16.282009349245932</v>
      </c>
      <c r="Q815" s="30">
        <f t="shared" ca="1" si="244"/>
        <v>10.058826131025109</v>
      </c>
      <c r="R815" s="30">
        <f t="shared" ca="1" si="244"/>
        <v>8.0153383597638008</v>
      </c>
      <c r="S815" s="30">
        <f t="shared" ca="1" si="244"/>
        <v>2.1884670447171573</v>
      </c>
      <c r="T815" s="30">
        <f t="shared" ca="1" si="244"/>
        <v>0.80977532180790901</v>
      </c>
      <c r="U815" s="30">
        <f t="shared" ca="1" si="244"/>
        <v>20.577432732007743</v>
      </c>
      <c r="V815" s="30">
        <f t="shared" ca="1" si="244"/>
        <v>17.312699764623449</v>
      </c>
      <c r="W815" s="30">
        <f t="shared" ca="1" si="244"/>
        <v>14.371411255202464</v>
      </c>
      <c r="X815" s="30">
        <f t="shared" ca="1" si="244"/>
        <v>30.285301749640805</v>
      </c>
      <c r="Y815" s="30">
        <f t="shared" ca="1" si="244"/>
        <v>14.878642777024753</v>
      </c>
      <c r="Z815" s="30">
        <f t="shared" ca="1" si="244"/>
        <v>14.838973557559326</v>
      </c>
      <c r="AA815" s="26">
        <v>807</v>
      </c>
      <c r="AB815" s="31">
        <f t="shared" ca="1" si="240"/>
        <v>21</v>
      </c>
      <c r="AC815" s="31">
        <f t="shared" ca="1" si="229"/>
        <v>23</v>
      </c>
      <c r="AD815" s="31">
        <f t="shared" ca="1" si="230"/>
        <v>12</v>
      </c>
      <c r="AE815" s="31">
        <f t="shared" ca="1" si="231"/>
        <v>10</v>
      </c>
      <c r="AF815" s="31">
        <f t="shared" ca="1" si="232"/>
        <v>3</v>
      </c>
      <c r="AG815" s="31">
        <f t="shared" ca="1" si="233"/>
        <v>1</v>
      </c>
      <c r="AH815" s="31">
        <f t="shared" ca="1" si="234"/>
        <v>32</v>
      </c>
      <c r="AI815" s="31">
        <f t="shared" ca="1" si="235"/>
        <v>25</v>
      </c>
      <c r="AJ815" s="31">
        <f t="shared" ca="1" si="236"/>
        <v>19</v>
      </c>
      <c r="AK815" s="31">
        <f t="shared" ca="1" si="237"/>
        <v>79</v>
      </c>
      <c r="AL815" s="31">
        <f t="shared" ca="1" si="238"/>
        <v>20</v>
      </c>
      <c r="AM815" s="31">
        <f t="shared" ca="1" si="239"/>
        <v>20</v>
      </c>
    </row>
    <row r="816" spans="14:39">
      <c r="N816" s="26">
        <v>808</v>
      </c>
      <c r="O816" s="30">
        <f t="shared" ca="1" si="244"/>
        <v>18.013559751092643</v>
      </c>
      <c r="P816" s="30">
        <f t="shared" ca="1" si="244"/>
        <v>31.282092375575292</v>
      </c>
      <c r="Q816" s="30">
        <f t="shared" ca="1" si="244"/>
        <v>3.5820369961426062</v>
      </c>
      <c r="R816" s="30">
        <f t="shared" ca="1" si="244"/>
        <v>11.244286961946955</v>
      </c>
      <c r="S816" s="30">
        <f t="shared" ca="1" si="244"/>
        <v>28.370011944127548</v>
      </c>
      <c r="T816" s="30">
        <f t="shared" ca="1" si="244"/>
        <v>1.2244440852451723</v>
      </c>
      <c r="U816" s="30">
        <f t="shared" ca="1" si="244"/>
        <v>32.863962544710155</v>
      </c>
      <c r="V816" s="30">
        <f t="shared" ca="1" si="244"/>
        <v>1.0523229202730326</v>
      </c>
      <c r="W816" s="30">
        <f t="shared" ca="1" si="244"/>
        <v>15.302479948821764</v>
      </c>
      <c r="X816" s="30">
        <f t="shared" ca="1" si="244"/>
        <v>22.047733576416732</v>
      </c>
      <c r="Y816" s="30">
        <f t="shared" ca="1" si="244"/>
        <v>30.517333111529055</v>
      </c>
      <c r="Z816" s="30">
        <f t="shared" ca="1" si="244"/>
        <v>27.828877763714594</v>
      </c>
      <c r="AA816" s="26">
        <v>808</v>
      </c>
      <c r="AB816" s="31">
        <f t="shared" ca="1" si="240"/>
        <v>26</v>
      </c>
      <c r="AC816" s="31">
        <f t="shared" ca="1" si="229"/>
        <v>92</v>
      </c>
      <c r="AD816" s="31">
        <f t="shared" ca="1" si="230"/>
        <v>4</v>
      </c>
      <c r="AE816" s="31">
        <f t="shared" ca="1" si="231"/>
        <v>14</v>
      </c>
      <c r="AF816" s="31">
        <f t="shared" ca="1" si="232"/>
        <v>63</v>
      </c>
      <c r="AG816" s="31">
        <f t="shared" ca="1" si="233"/>
        <v>2</v>
      </c>
      <c r="AH816" s="31">
        <f t="shared" ca="1" si="234"/>
        <v>140</v>
      </c>
      <c r="AI816" s="31">
        <f t="shared" ca="1" si="235"/>
        <v>2</v>
      </c>
      <c r="AJ816" s="31">
        <f t="shared" ca="1" si="236"/>
        <v>21</v>
      </c>
      <c r="AK816" s="31">
        <f t="shared" ca="1" si="237"/>
        <v>36</v>
      </c>
      <c r="AL816" s="31">
        <f t="shared" ca="1" si="238"/>
        <v>82</v>
      </c>
      <c r="AM816" s="31">
        <f t="shared" ca="1" si="239"/>
        <v>60</v>
      </c>
    </row>
    <row r="817" spans="14:39">
      <c r="N817" s="26">
        <v>809</v>
      </c>
      <c r="O817" s="30">
        <f t="shared" ca="1" si="244"/>
        <v>10.206565002131699</v>
      </c>
      <c r="P817" s="30">
        <f t="shared" ca="1" si="244"/>
        <v>32.835890752336212</v>
      </c>
      <c r="Q817" s="30">
        <f t="shared" ca="1" si="244"/>
        <v>28.707606098945575</v>
      </c>
      <c r="R817" s="30">
        <f t="shared" ca="1" si="244"/>
        <v>31.868201615818485</v>
      </c>
      <c r="S817" s="30">
        <f t="shared" ca="1" si="244"/>
        <v>30.094447149557432</v>
      </c>
      <c r="T817" s="30">
        <f t="shared" ca="1" si="244"/>
        <v>5.139643361272066</v>
      </c>
      <c r="U817" s="30">
        <f t="shared" ca="1" si="244"/>
        <v>16.939209151006448</v>
      </c>
      <c r="V817" s="30">
        <f t="shared" ca="1" si="244"/>
        <v>28.530359574279707</v>
      </c>
      <c r="W817" s="30">
        <f t="shared" ca="1" si="244"/>
        <v>24.522764599681487</v>
      </c>
      <c r="X817" s="30">
        <f t="shared" ca="1" si="244"/>
        <v>2.237519251111439</v>
      </c>
      <c r="Y817" s="30">
        <f t="shared" ca="1" si="244"/>
        <v>10.113356175717092</v>
      </c>
      <c r="Z817" s="30">
        <f t="shared" ca="1" si="244"/>
        <v>30.883119558896095</v>
      </c>
      <c r="AA817" s="26">
        <v>809</v>
      </c>
      <c r="AB817" s="31">
        <f t="shared" ca="1" si="240"/>
        <v>13</v>
      </c>
      <c r="AC817" s="31">
        <f t="shared" ca="1" si="229"/>
        <v>139</v>
      </c>
      <c r="AD817" s="31">
        <f t="shared" ca="1" si="230"/>
        <v>65</v>
      </c>
      <c r="AE817" s="31">
        <f t="shared" ca="1" si="231"/>
        <v>103</v>
      </c>
      <c r="AF817" s="31">
        <f t="shared" ca="1" si="232"/>
        <v>77</v>
      </c>
      <c r="AG817" s="31">
        <f t="shared" ca="1" si="233"/>
        <v>6</v>
      </c>
      <c r="AH817" s="31">
        <f t="shared" ca="1" si="234"/>
        <v>24</v>
      </c>
      <c r="AI817" s="31">
        <f t="shared" ca="1" si="235"/>
        <v>64</v>
      </c>
      <c r="AJ817" s="31">
        <f t="shared" ca="1" si="236"/>
        <v>44</v>
      </c>
      <c r="AK817" s="31">
        <f t="shared" ca="1" si="237"/>
        <v>3</v>
      </c>
      <c r="AL817" s="31">
        <f t="shared" ca="1" si="238"/>
        <v>12</v>
      </c>
      <c r="AM817" s="31">
        <f t="shared" ca="1" si="239"/>
        <v>86</v>
      </c>
    </row>
    <row r="818" spans="14:39">
      <c r="N818" s="26">
        <v>810</v>
      </c>
      <c r="O818" s="30">
        <f t="shared" ca="1" si="244"/>
        <v>4.6584597846696107</v>
      </c>
      <c r="P818" s="30">
        <f t="shared" ca="1" si="244"/>
        <v>13.010494501624811</v>
      </c>
      <c r="Q818" s="30">
        <f t="shared" ca="1" si="244"/>
        <v>1.8269500448939486</v>
      </c>
      <c r="R818" s="30">
        <f t="shared" ca="1" si="244"/>
        <v>2.3231511353613219</v>
      </c>
      <c r="S818" s="30">
        <f t="shared" ca="1" si="244"/>
        <v>27.858461125609388</v>
      </c>
      <c r="T818" s="30">
        <f t="shared" ca="1" si="244"/>
        <v>4.7573020366297216</v>
      </c>
      <c r="U818" s="30">
        <f t="shared" ca="1" si="244"/>
        <v>31.359034863064291</v>
      </c>
      <c r="V818" s="30">
        <f t="shared" ca="1" si="244"/>
        <v>7.0744389015209954</v>
      </c>
      <c r="W818" s="30">
        <f t="shared" ca="1" si="244"/>
        <v>12.111525395678083</v>
      </c>
      <c r="X818" s="30">
        <f t="shared" ca="1" si="244"/>
        <v>25.994562782421646</v>
      </c>
      <c r="Y818" s="30">
        <f t="shared" ca="1" si="244"/>
        <v>1.0234713498639927</v>
      </c>
      <c r="Z818" s="30">
        <f t="shared" ca="1" si="244"/>
        <v>30.858896155278646</v>
      </c>
      <c r="AA818" s="26">
        <v>810</v>
      </c>
      <c r="AB818" s="31">
        <f t="shared" ca="1" si="240"/>
        <v>5</v>
      </c>
      <c r="AC818" s="31">
        <f t="shared" ca="1" si="229"/>
        <v>17</v>
      </c>
      <c r="AD818" s="31">
        <f t="shared" ca="1" si="230"/>
        <v>2</v>
      </c>
      <c r="AE818" s="31">
        <f t="shared" ca="1" si="231"/>
        <v>3</v>
      </c>
      <c r="AF818" s="31">
        <f t="shared" ca="1" si="232"/>
        <v>60</v>
      </c>
      <c r="AG818" s="31">
        <f t="shared" ca="1" si="233"/>
        <v>6</v>
      </c>
      <c r="AH818" s="31">
        <f t="shared" ca="1" si="234"/>
        <v>93</v>
      </c>
      <c r="AI818" s="31">
        <f t="shared" ca="1" si="235"/>
        <v>8</v>
      </c>
      <c r="AJ818" s="31">
        <f t="shared" ca="1" si="236"/>
        <v>15</v>
      </c>
      <c r="AK818" s="31">
        <f t="shared" ca="1" si="237"/>
        <v>50</v>
      </c>
      <c r="AL818" s="31">
        <f t="shared" ca="1" si="238"/>
        <v>2</v>
      </c>
      <c r="AM818" s="31">
        <f t="shared" ca="1" si="239"/>
        <v>86</v>
      </c>
    </row>
    <row r="819" spans="14:39">
      <c r="N819" s="26">
        <v>811</v>
      </c>
      <c r="O819" s="30">
        <f t="shared" ref="O819:Z828" ca="1" si="245">RAND()*sumweights</f>
        <v>14.680431996094004</v>
      </c>
      <c r="P819" s="30">
        <f t="shared" ca="1" si="245"/>
        <v>26.292190763621733</v>
      </c>
      <c r="Q819" s="30">
        <f t="shared" ca="1" si="245"/>
        <v>2.9803946294344552</v>
      </c>
      <c r="R819" s="30">
        <f t="shared" ca="1" si="245"/>
        <v>8.2597998721113495</v>
      </c>
      <c r="S819" s="30">
        <f t="shared" ca="1" si="245"/>
        <v>23.203198230940913</v>
      </c>
      <c r="T819" s="30">
        <f t="shared" ca="1" si="245"/>
        <v>30.682797340215799</v>
      </c>
      <c r="U819" s="30">
        <f t="shared" ca="1" si="245"/>
        <v>6.8843322774860098</v>
      </c>
      <c r="V819" s="30">
        <f t="shared" ca="1" si="245"/>
        <v>16.882508359863984</v>
      </c>
      <c r="W819" s="30">
        <f t="shared" ca="1" si="245"/>
        <v>20.06215762276172</v>
      </c>
      <c r="X819" s="30">
        <f t="shared" ca="1" si="245"/>
        <v>9.9556083108459603</v>
      </c>
      <c r="Y819" s="30">
        <f t="shared" ca="1" si="245"/>
        <v>7.8931745772982636</v>
      </c>
      <c r="Z819" s="30">
        <f t="shared" ca="1" si="245"/>
        <v>30.27163095732579</v>
      </c>
      <c r="AA819" s="26">
        <v>811</v>
      </c>
      <c r="AB819" s="31">
        <f t="shared" ca="1" si="240"/>
        <v>20</v>
      </c>
      <c r="AC819" s="31">
        <f t="shared" ca="1" si="229"/>
        <v>52</v>
      </c>
      <c r="AD819" s="31">
        <f t="shared" ca="1" si="230"/>
        <v>4</v>
      </c>
      <c r="AE819" s="31">
        <f t="shared" ca="1" si="231"/>
        <v>10</v>
      </c>
      <c r="AF819" s="31">
        <f t="shared" ca="1" si="232"/>
        <v>40</v>
      </c>
      <c r="AG819" s="31">
        <f t="shared" ca="1" si="233"/>
        <v>84</v>
      </c>
      <c r="AH819" s="31">
        <f t="shared" ca="1" si="234"/>
        <v>8</v>
      </c>
      <c r="AI819" s="31">
        <f t="shared" ca="1" si="235"/>
        <v>24</v>
      </c>
      <c r="AJ819" s="31">
        <f t="shared" ca="1" si="236"/>
        <v>31</v>
      </c>
      <c r="AK819" s="31">
        <f t="shared" ca="1" si="237"/>
        <v>12</v>
      </c>
      <c r="AL819" s="31">
        <f t="shared" ca="1" si="238"/>
        <v>9</v>
      </c>
      <c r="AM819" s="31">
        <f t="shared" ca="1" si="239"/>
        <v>79</v>
      </c>
    </row>
    <row r="820" spans="14:39">
      <c r="N820" s="26">
        <v>812</v>
      </c>
      <c r="O820" s="30">
        <f t="shared" ca="1" si="245"/>
        <v>1.7509118904331811</v>
      </c>
      <c r="P820" s="30">
        <f t="shared" ca="1" si="245"/>
        <v>13.544020215562449</v>
      </c>
      <c r="Q820" s="30">
        <f t="shared" ca="1" si="245"/>
        <v>21.848477547984999</v>
      </c>
      <c r="R820" s="30">
        <f t="shared" ca="1" si="245"/>
        <v>32.866766168457751</v>
      </c>
      <c r="S820" s="30">
        <f t="shared" ca="1" si="245"/>
        <v>26.242931701948141</v>
      </c>
      <c r="T820" s="30">
        <f t="shared" ca="1" si="245"/>
        <v>26.345861736483371</v>
      </c>
      <c r="U820" s="30">
        <f t="shared" ca="1" si="245"/>
        <v>8.9874842157039083</v>
      </c>
      <c r="V820" s="30">
        <f t="shared" ca="1" si="245"/>
        <v>9.6301240111469415</v>
      </c>
      <c r="W820" s="30">
        <f t="shared" ca="1" si="245"/>
        <v>15.136015610683943</v>
      </c>
      <c r="X820" s="30">
        <f t="shared" ca="1" si="245"/>
        <v>7.9534517516261367</v>
      </c>
      <c r="Y820" s="30">
        <f t="shared" ca="1" si="245"/>
        <v>32.257927775318194</v>
      </c>
      <c r="Z820" s="30">
        <f t="shared" ca="1" si="245"/>
        <v>19.627155160862621</v>
      </c>
      <c r="AA820" s="26">
        <v>812</v>
      </c>
      <c r="AB820" s="31">
        <f t="shared" ca="1" si="240"/>
        <v>2</v>
      </c>
      <c r="AC820" s="31">
        <f t="shared" ca="1" si="229"/>
        <v>18</v>
      </c>
      <c r="AD820" s="31">
        <f t="shared" ca="1" si="230"/>
        <v>35</v>
      </c>
      <c r="AE820" s="31">
        <f t="shared" ca="1" si="231"/>
        <v>141</v>
      </c>
      <c r="AF820" s="31">
        <f t="shared" ca="1" si="232"/>
        <v>51</v>
      </c>
      <c r="AG820" s="31">
        <f t="shared" ca="1" si="233"/>
        <v>52</v>
      </c>
      <c r="AH820" s="31">
        <f t="shared" ca="1" si="234"/>
        <v>11</v>
      </c>
      <c r="AI820" s="31">
        <f t="shared" ca="1" si="235"/>
        <v>12</v>
      </c>
      <c r="AJ820" s="31">
        <f t="shared" ca="1" si="236"/>
        <v>20</v>
      </c>
      <c r="AK820" s="31">
        <f t="shared" ca="1" si="237"/>
        <v>9</v>
      </c>
      <c r="AL820" s="31">
        <f t="shared" ca="1" si="238"/>
        <v>113</v>
      </c>
      <c r="AM820" s="31">
        <f t="shared" ca="1" si="239"/>
        <v>30</v>
      </c>
    </row>
    <row r="821" spans="14:39">
      <c r="N821" s="26">
        <v>813</v>
      </c>
      <c r="O821" s="30">
        <f t="shared" ca="1" si="245"/>
        <v>0.57698398128827277</v>
      </c>
      <c r="P821" s="30">
        <f t="shared" ca="1" si="245"/>
        <v>9.124260437867969</v>
      </c>
      <c r="Q821" s="30">
        <f t="shared" ca="1" si="245"/>
        <v>7.8612796186549039</v>
      </c>
      <c r="R821" s="30">
        <f t="shared" ca="1" si="245"/>
        <v>17.236697060465897</v>
      </c>
      <c r="S821" s="30">
        <f t="shared" ca="1" si="245"/>
        <v>23.035380912291885</v>
      </c>
      <c r="T821" s="30">
        <f t="shared" ca="1" si="245"/>
        <v>2.978082876412286</v>
      </c>
      <c r="U821" s="30">
        <f t="shared" ca="1" si="245"/>
        <v>13.324997871728325</v>
      </c>
      <c r="V821" s="30">
        <f t="shared" ca="1" si="245"/>
        <v>25.332259881426261</v>
      </c>
      <c r="W821" s="30">
        <f t="shared" ca="1" si="245"/>
        <v>28.129361202367839</v>
      </c>
      <c r="X821" s="30">
        <f t="shared" ca="1" si="245"/>
        <v>11.332228241568288</v>
      </c>
      <c r="Y821" s="30">
        <f t="shared" ca="1" si="245"/>
        <v>2.1779134779240157</v>
      </c>
      <c r="Z821" s="30">
        <f t="shared" ca="1" si="245"/>
        <v>12.09833064796039</v>
      </c>
      <c r="AA821" s="26">
        <v>813</v>
      </c>
      <c r="AB821" s="31">
        <f t="shared" ca="1" si="240"/>
        <v>1</v>
      </c>
      <c r="AC821" s="31">
        <f t="shared" ca="1" si="229"/>
        <v>11</v>
      </c>
      <c r="AD821" s="31">
        <f t="shared" ca="1" si="230"/>
        <v>9</v>
      </c>
      <c r="AE821" s="31">
        <f t="shared" ca="1" si="231"/>
        <v>24</v>
      </c>
      <c r="AF821" s="31">
        <f t="shared" ca="1" si="232"/>
        <v>39</v>
      </c>
      <c r="AG821" s="31">
        <f t="shared" ca="1" si="233"/>
        <v>4</v>
      </c>
      <c r="AH821" s="31">
        <f t="shared" ca="1" si="234"/>
        <v>17</v>
      </c>
      <c r="AI821" s="31">
        <f t="shared" ca="1" si="235"/>
        <v>47</v>
      </c>
      <c r="AJ821" s="31">
        <f t="shared" ca="1" si="236"/>
        <v>61</v>
      </c>
      <c r="AK821" s="31">
        <f t="shared" ca="1" si="237"/>
        <v>14</v>
      </c>
      <c r="AL821" s="31">
        <f t="shared" ca="1" si="238"/>
        <v>3</v>
      </c>
      <c r="AM821" s="31">
        <f t="shared" ca="1" si="239"/>
        <v>15</v>
      </c>
    </row>
    <row r="822" spans="14:39">
      <c r="N822" s="26">
        <v>814</v>
      </c>
      <c r="O822" s="30">
        <f t="shared" ca="1" si="245"/>
        <v>22.506554267837473</v>
      </c>
      <c r="P822" s="30">
        <f t="shared" ca="1" si="245"/>
        <v>28.800406187606185</v>
      </c>
      <c r="Q822" s="30">
        <f t="shared" ca="1" si="245"/>
        <v>13.378525587859782</v>
      </c>
      <c r="R822" s="30">
        <f t="shared" ca="1" si="245"/>
        <v>1.5871277094042155</v>
      </c>
      <c r="S822" s="30">
        <f t="shared" ca="1" si="245"/>
        <v>29.666596275433804</v>
      </c>
      <c r="T822" s="30">
        <f t="shared" ca="1" si="245"/>
        <v>22.553548740160949</v>
      </c>
      <c r="U822" s="30">
        <f t="shared" ca="1" si="245"/>
        <v>26.399201754578783</v>
      </c>
      <c r="V822" s="30">
        <f t="shared" ca="1" si="245"/>
        <v>7.836009992580756</v>
      </c>
      <c r="W822" s="30">
        <f t="shared" ca="1" si="245"/>
        <v>32.967287952501458</v>
      </c>
      <c r="X822" s="30">
        <f t="shared" ca="1" si="245"/>
        <v>23.06567494700213</v>
      </c>
      <c r="Y822" s="30">
        <f t="shared" ca="1" si="245"/>
        <v>23.556246643360261</v>
      </c>
      <c r="Z822" s="30">
        <f t="shared" ca="1" si="245"/>
        <v>9.5665329396263097</v>
      </c>
      <c r="AA822" s="26">
        <v>814</v>
      </c>
      <c r="AB822" s="31">
        <f t="shared" ca="1" si="240"/>
        <v>37</v>
      </c>
      <c r="AC822" s="31">
        <f t="shared" ca="1" si="229"/>
        <v>66</v>
      </c>
      <c r="AD822" s="31">
        <f t="shared" ca="1" si="230"/>
        <v>17</v>
      </c>
      <c r="AE822" s="31">
        <f t="shared" ca="1" si="231"/>
        <v>2</v>
      </c>
      <c r="AF822" s="31">
        <f t="shared" ca="1" si="232"/>
        <v>73</v>
      </c>
      <c r="AG822" s="31">
        <f t="shared" ca="1" si="233"/>
        <v>38</v>
      </c>
      <c r="AH822" s="31">
        <f t="shared" ca="1" si="234"/>
        <v>52</v>
      </c>
      <c r="AI822" s="31">
        <f t="shared" ca="1" si="235"/>
        <v>9</v>
      </c>
      <c r="AJ822" s="31">
        <f t="shared" ca="1" si="236"/>
        <v>149</v>
      </c>
      <c r="AK822" s="31">
        <f t="shared" ca="1" si="237"/>
        <v>39</v>
      </c>
      <c r="AL822" s="31">
        <f t="shared" ca="1" si="238"/>
        <v>41</v>
      </c>
      <c r="AM822" s="31">
        <f t="shared" ca="1" si="239"/>
        <v>12</v>
      </c>
    </row>
    <row r="823" spans="14:39">
      <c r="N823" s="26">
        <v>815</v>
      </c>
      <c r="O823" s="30">
        <f t="shared" ca="1" si="245"/>
        <v>8.083791024954456</v>
      </c>
      <c r="P823" s="30">
        <f t="shared" ca="1" si="245"/>
        <v>2.2204495051607025</v>
      </c>
      <c r="Q823" s="30">
        <f t="shared" ca="1" si="245"/>
        <v>3.8832071007639626</v>
      </c>
      <c r="R823" s="30">
        <f t="shared" ca="1" si="245"/>
        <v>12.411709570028782</v>
      </c>
      <c r="S823" s="30">
        <f t="shared" ca="1" si="245"/>
        <v>29.66008931247471</v>
      </c>
      <c r="T823" s="30">
        <f t="shared" ca="1" si="245"/>
        <v>17.444325935198666</v>
      </c>
      <c r="U823" s="30">
        <f t="shared" ca="1" si="245"/>
        <v>13.585389379522821</v>
      </c>
      <c r="V823" s="30">
        <f t="shared" ca="1" si="245"/>
        <v>15.173544549582543</v>
      </c>
      <c r="W823" s="30">
        <f t="shared" ca="1" si="245"/>
        <v>9.579227643093903</v>
      </c>
      <c r="X823" s="30">
        <f t="shared" ca="1" si="245"/>
        <v>11.252705506293742</v>
      </c>
      <c r="Y823" s="30">
        <f t="shared" ca="1" si="245"/>
        <v>1.8660275277371152</v>
      </c>
      <c r="Z823" s="30">
        <f t="shared" ca="1" si="245"/>
        <v>28.443983121925566</v>
      </c>
      <c r="AA823" s="26">
        <v>815</v>
      </c>
      <c r="AB823" s="31">
        <f t="shared" ca="1" si="240"/>
        <v>10</v>
      </c>
      <c r="AC823" s="31">
        <f t="shared" ca="1" si="229"/>
        <v>3</v>
      </c>
      <c r="AD823" s="31">
        <f t="shared" ca="1" si="230"/>
        <v>5</v>
      </c>
      <c r="AE823" s="31">
        <f t="shared" ca="1" si="231"/>
        <v>16</v>
      </c>
      <c r="AF823" s="31">
        <f t="shared" ca="1" si="232"/>
        <v>73</v>
      </c>
      <c r="AG823" s="31">
        <f t="shared" ca="1" si="233"/>
        <v>25</v>
      </c>
      <c r="AH823" s="31">
        <f t="shared" ca="1" si="234"/>
        <v>18</v>
      </c>
      <c r="AI823" s="31">
        <f t="shared" ca="1" si="235"/>
        <v>20</v>
      </c>
      <c r="AJ823" s="31">
        <f t="shared" ca="1" si="236"/>
        <v>12</v>
      </c>
      <c r="AK823" s="31">
        <f t="shared" ca="1" si="237"/>
        <v>14</v>
      </c>
      <c r="AL823" s="31">
        <f t="shared" ca="1" si="238"/>
        <v>2</v>
      </c>
      <c r="AM823" s="31">
        <f t="shared" ca="1" si="239"/>
        <v>64</v>
      </c>
    </row>
    <row r="824" spans="14:39">
      <c r="N824" s="26">
        <v>816</v>
      </c>
      <c r="O824" s="30">
        <f t="shared" ca="1" si="245"/>
        <v>28.048994681621494</v>
      </c>
      <c r="P824" s="30">
        <f t="shared" ca="1" si="245"/>
        <v>28.454849587287786</v>
      </c>
      <c r="Q824" s="30">
        <f t="shared" ca="1" si="245"/>
        <v>6.5255746589647368</v>
      </c>
      <c r="R824" s="30">
        <f t="shared" ca="1" si="245"/>
        <v>0.54534650623862924</v>
      </c>
      <c r="S824" s="30">
        <f t="shared" ca="1" si="245"/>
        <v>12.922052327923254</v>
      </c>
      <c r="T824" s="30">
        <f t="shared" ca="1" si="245"/>
        <v>7.9582024350385119</v>
      </c>
      <c r="U824" s="30">
        <f t="shared" ca="1" si="245"/>
        <v>31.336023175151489</v>
      </c>
      <c r="V824" s="30">
        <f t="shared" ca="1" si="245"/>
        <v>11.86473402841604</v>
      </c>
      <c r="W824" s="30">
        <f t="shared" ca="1" si="245"/>
        <v>32.610801243153951</v>
      </c>
      <c r="X824" s="30">
        <f t="shared" ca="1" si="245"/>
        <v>29.869245930604009</v>
      </c>
      <c r="Y824" s="30">
        <f t="shared" ca="1" si="245"/>
        <v>10.423991815013656</v>
      </c>
      <c r="Z824" s="30">
        <f t="shared" ca="1" si="245"/>
        <v>30.935292630957115</v>
      </c>
      <c r="AA824" s="26">
        <v>816</v>
      </c>
      <c r="AB824" s="31">
        <f t="shared" ca="1" si="240"/>
        <v>61</v>
      </c>
      <c r="AC824" s="31">
        <f t="shared" ca="1" si="229"/>
        <v>64</v>
      </c>
      <c r="AD824" s="31">
        <f t="shared" ca="1" si="230"/>
        <v>8</v>
      </c>
      <c r="AE824" s="31">
        <f t="shared" ca="1" si="231"/>
        <v>1</v>
      </c>
      <c r="AF824" s="31">
        <f t="shared" ca="1" si="232"/>
        <v>17</v>
      </c>
      <c r="AG824" s="31">
        <f t="shared" ca="1" si="233"/>
        <v>9</v>
      </c>
      <c r="AH824" s="31">
        <f t="shared" ca="1" si="234"/>
        <v>93</v>
      </c>
      <c r="AI824" s="31">
        <f t="shared" ca="1" si="235"/>
        <v>15</v>
      </c>
      <c r="AJ824" s="31">
        <f t="shared" ca="1" si="236"/>
        <v>126</v>
      </c>
      <c r="AK824" s="31">
        <f t="shared" ca="1" si="237"/>
        <v>75</v>
      </c>
      <c r="AL824" s="31">
        <f t="shared" ca="1" si="238"/>
        <v>13</v>
      </c>
      <c r="AM824" s="31">
        <f t="shared" ca="1" si="239"/>
        <v>87</v>
      </c>
    </row>
    <row r="825" spans="14:39">
      <c r="N825" s="26">
        <v>817</v>
      </c>
      <c r="O825" s="30">
        <f t="shared" ca="1" si="245"/>
        <v>31.873516716396757</v>
      </c>
      <c r="P825" s="30">
        <f t="shared" ca="1" si="245"/>
        <v>25.831390415040921</v>
      </c>
      <c r="Q825" s="30">
        <f t="shared" ca="1" si="245"/>
        <v>17.264234364451724</v>
      </c>
      <c r="R825" s="30">
        <f t="shared" ca="1" si="245"/>
        <v>24.413401785255569</v>
      </c>
      <c r="S825" s="30">
        <f t="shared" ca="1" si="245"/>
        <v>22.811448188439599</v>
      </c>
      <c r="T825" s="30">
        <f t="shared" ca="1" si="245"/>
        <v>18.877570899592865</v>
      </c>
      <c r="U825" s="30">
        <f t="shared" ca="1" si="245"/>
        <v>0.18200868113141883</v>
      </c>
      <c r="V825" s="30">
        <f t="shared" ca="1" si="245"/>
        <v>0.19868465479725586</v>
      </c>
      <c r="W825" s="30">
        <f t="shared" ca="1" si="245"/>
        <v>18.858326242611373</v>
      </c>
      <c r="X825" s="30">
        <f t="shared" ca="1" si="245"/>
        <v>2.6412834964201606</v>
      </c>
      <c r="Y825" s="30">
        <f t="shared" ca="1" si="245"/>
        <v>4.6525757212792138</v>
      </c>
      <c r="Z825" s="30">
        <f t="shared" ca="1" si="245"/>
        <v>29.524459099551613</v>
      </c>
      <c r="AA825" s="26">
        <v>817</v>
      </c>
      <c r="AB825" s="31">
        <f t="shared" ca="1" si="240"/>
        <v>103</v>
      </c>
      <c r="AC825" s="31">
        <f t="shared" ca="1" si="229"/>
        <v>49</v>
      </c>
      <c r="AD825" s="31">
        <f t="shared" ca="1" si="230"/>
        <v>24</v>
      </c>
      <c r="AE825" s="31">
        <f t="shared" ca="1" si="231"/>
        <v>44</v>
      </c>
      <c r="AF825" s="31">
        <f t="shared" ca="1" si="232"/>
        <v>38</v>
      </c>
      <c r="AG825" s="31">
        <f t="shared" ca="1" si="233"/>
        <v>28</v>
      </c>
      <c r="AH825" s="31">
        <f t="shared" ca="1" si="234"/>
        <v>1</v>
      </c>
      <c r="AI825" s="31">
        <f t="shared" ca="1" si="235"/>
        <v>1</v>
      </c>
      <c r="AJ825" s="31">
        <f t="shared" ca="1" si="236"/>
        <v>28</v>
      </c>
      <c r="AK825" s="31">
        <f t="shared" ca="1" si="237"/>
        <v>3</v>
      </c>
      <c r="AL825" s="31">
        <f t="shared" ca="1" si="238"/>
        <v>5</v>
      </c>
      <c r="AM825" s="31">
        <f t="shared" ca="1" si="239"/>
        <v>72</v>
      </c>
    </row>
    <row r="826" spans="14:39">
      <c r="N826" s="26">
        <v>818</v>
      </c>
      <c r="O826" s="30">
        <f t="shared" ca="1" si="245"/>
        <v>12.624727953922068</v>
      </c>
      <c r="P826" s="30">
        <f t="shared" ca="1" si="245"/>
        <v>5.0967548503546496</v>
      </c>
      <c r="Q826" s="30">
        <f t="shared" ca="1" si="245"/>
        <v>8.6781250180169955</v>
      </c>
      <c r="R826" s="30">
        <f t="shared" ca="1" si="245"/>
        <v>8.9519008477505935</v>
      </c>
      <c r="S826" s="30">
        <f t="shared" ca="1" si="245"/>
        <v>7.9867502911757757</v>
      </c>
      <c r="T826" s="30">
        <f t="shared" ca="1" si="245"/>
        <v>13.372962969714161</v>
      </c>
      <c r="U826" s="30">
        <f t="shared" ca="1" si="245"/>
        <v>1.8056730878322538</v>
      </c>
      <c r="V826" s="30">
        <f t="shared" ca="1" si="245"/>
        <v>27.200642673295295</v>
      </c>
      <c r="W826" s="30">
        <f t="shared" ca="1" si="245"/>
        <v>23.291727740511973</v>
      </c>
      <c r="X826" s="30">
        <f t="shared" ca="1" si="245"/>
        <v>22.760113676984705</v>
      </c>
      <c r="Y826" s="30">
        <f t="shared" ca="1" si="245"/>
        <v>6.3430125169469909</v>
      </c>
      <c r="Z826" s="30">
        <f t="shared" ca="1" si="245"/>
        <v>20.763255641214226</v>
      </c>
      <c r="AA826" s="26">
        <v>818</v>
      </c>
      <c r="AB826" s="31">
        <f t="shared" ca="1" si="240"/>
        <v>16</v>
      </c>
      <c r="AC826" s="31">
        <f t="shared" ca="1" si="229"/>
        <v>6</v>
      </c>
      <c r="AD826" s="31">
        <f t="shared" ca="1" si="230"/>
        <v>10</v>
      </c>
      <c r="AE826" s="31">
        <f t="shared" ca="1" si="231"/>
        <v>11</v>
      </c>
      <c r="AF826" s="31">
        <f t="shared" ca="1" si="232"/>
        <v>9</v>
      </c>
      <c r="AG826" s="31">
        <f t="shared" ca="1" si="233"/>
        <v>17</v>
      </c>
      <c r="AH826" s="31">
        <f t="shared" ca="1" si="234"/>
        <v>2</v>
      </c>
      <c r="AI826" s="31">
        <f t="shared" ca="1" si="235"/>
        <v>56</v>
      </c>
      <c r="AJ826" s="31">
        <f t="shared" ca="1" si="236"/>
        <v>40</v>
      </c>
      <c r="AK826" s="31">
        <f t="shared" ca="1" si="237"/>
        <v>38</v>
      </c>
      <c r="AL826" s="31">
        <f t="shared" ca="1" si="238"/>
        <v>7</v>
      </c>
      <c r="AM826" s="31">
        <f t="shared" ca="1" si="239"/>
        <v>33</v>
      </c>
    </row>
    <row r="827" spans="14:39">
      <c r="N827" s="26">
        <v>819</v>
      </c>
      <c r="O827" s="30">
        <f t="shared" ca="1" si="245"/>
        <v>1.438917955465004</v>
      </c>
      <c r="P827" s="30">
        <f t="shared" ca="1" si="245"/>
        <v>7.4444194630477236</v>
      </c>
      <c r="Q827" s="30">
        <f t="shared" ca="1" si="245"/>
        <v>1.2474306890407765</v>
      </c>
      <c r="R827" s="30">
        <f t="shared" ca="1" si="245"/>
        <v>26.732137548137047</v>
      </c>
      <c r="S827" s="30">
        <f t="shared" ca="1" si="245"/>
        <v>9.5047644825275981</v>
      </c>
      <c r="T827" s="30">
        <f t="shared" ca="1" si="245"/>
        <v>0.45492237580877576</v>
      </c>
      <c r="U827" s="30">
        <f t="shared" ca="1" si="245"/>
        <v>7.817463642701199</v>
      </c>
      <c r="V827" s="30">
        <f t="shared" ca="1" si="245"/>
        <v>7.2289819547645511</v>
      </c>
      <c r="W827" s="30">
        <f t="shared" ca="1" si="245"/>
        <v>27.036653092301957</v>
      </c>
      <c r="X827" s="30">
        <f t="shared" ca="1" si="245"/>
        <v>16.919750772536137</v>
      </c>
      <c r="Y827" s="30">
        <f t="shared" ca="1" si="245"/>
        <v>12.884502530375876</v>
      </c>
      <c r="Z827" s="30">
        <f t="shared" ca="1" si="245"/>
        <v>12.591600598855146</v>
      </c>
      <c r="AA827" s="26">
        <v>819</v>
      </c>
      <c r="AB827" s="31">
        <f t="shared" ca="1" si="240"/>
        <v>2</v>
      </c>
      <c r="AC827" s="31">
        <f t="shared" ca="1" si="229"/>
        <v>9</v>
      </c>
      <c r="AD827" s="31">
        <f t="shared" ca="1" si="230"/>
        <v>2</v>
      </c>
      <c r="AE827" s="31">
        <f t="shared" ca="1" si="231"/>
        <v>54</v>
      </c>
      <c r="AF827" s="31">
        <f t="shared" ca="1" si="232"/>
        <v>12</v>
      </c>
      <c r="AG827" s="31">
        <f t="shared" ca="1" si="233"/>
        <v>1</v>
      </c>
      <c r="AH827" s="31">
        <f t="shared" ca="1" si="234"/>
        <v>9</v>
      </c>
      <c r="AI827" s="31">
        <f t="shared" ca="1" si="235"/>
        <v>9</v>
      </c>
      <c r="AJ827" s="31">
        <f t="shared" ca="1" si="236"/>
        <v>55</v>
      </c>
      <c r="AK827" s="31">
        <f t="shared" ca="1" si="237"/>
        <v>24</v>
      </c>
      <c r="AL827" s="31">
        <f t="shared" ca="1" si="238"/>
        <v>17</v>
      </c>
      <c r="AM827" s="31">
        <f t="shared" ca="1" si="239"/>
        <v>16</v>
      </c>
    </row>
    <row r="828" spans="14:39">
      <c r="N828" s="26">
        <v>820</v>
      </c>
      <c r="O828" s="30">
        <f t="shared" ca="1" si="245"/>
        <v>1.3952794733343006</v>
      </c>
      <c r="P828" s="30">
        <f t="shared" ca="1" si="245"/>
        <v>10.256415498380633</v>
      </c>
      <c r="Q828" s="30">
        <f t="shared" ca="1" si="245"/>
        <v>11.189308245276811</v>
      </c>
      <c r="R828" s="30">
        <f t="shared" ca="1" si="245"/>
        <v>13.60893776870663</v>
      </c>
      <c r="S828" s="30">
        <f t="shared" ca="1" si="245"/>
        <v>25.73317917997641</v>
      </c>
      <c r="T828" s="30">
        <f t="shared" ca="1" si="245"/>
        <v>26.949717714686312</v>
      </c>
      <c r="U828" s="30">
        <f t="shared" ca="1" si="245"/>
        <v>16.679910524902855</v>
      </c>
      <c r="V828" s="30">
        <f t="shared" ca="1" si="245"/>
        <v>10.417962040936676</v>
      </c>
      <c r="W828" s="30">
        <f t="shared" ca="1" si="245"/>
        <v>22.929201579591208</v>
      </c>
      <c r="X828" s="30">
        <f t="shared" ca="1" si="245"/>
        <v>25.080555069462971</v>
      </c>
      <c r="Y828" s="30">
        <f t="shared" ca="1" si="245"/>
        <v>28.294564195649706</v>
      </c>
      <c r="Z828" s="30">
        <f t="shared" ca="1" si="245"/>
        <v>6.4184031441084581</v>
      </c>
      <c r="AA828" s="26">
        <v>820</v>
      </c>
      <c r="AB828" s="31">
        <f t="shared" ca="1" si="240"/>
        <v>2</v>
      </c>
      <c r="AC828" s="31">
        <f t="shared" ca="1" si="229"/>
        <v>13</v>
      </c>
      <c r="AD828" s="31">
        <f t="shared" ca="1" si="230"/>
        <v>14</v>
      </c>
      <c r="AE828" s="31">
        <f t="shared" ca="1" si="231"/>
        <v>18</v>
      </c>
      <c r="AF828" s="31">
        <f t="shared" ca="1" si="232"/>
        <v>49</v>
      </c>
      <c r="AG828" s="31">
        <f t="shared" ca="1" si="233"/>
        <v>55</v>
      </c>
      <c r="AH828" s="31">
        <f t="shared" ca="1" si="234"/>
        <v>23</v>
      </c>
      <c r="AI828" s="31">
        <f t="shared" ca="1" si="235"/>
        <v>13</v>
      </c>
      <c r="AJ828" s="31">
        <f t="shared" ca="1" si="236"/>
        <v>39</v>
      </c>
      <c r="AK828" s="31">
        <f t="shared" ca="1" si="237"/>
        <v>46</v>
      </c>
      <c r="AL828" s="31">
        <f t="shared" ca="1" si="238"/>
        <v>63</v>
      </c>
      <c r="AM828" s="31">
        <f t="shared" ca="1" si="239"/>
        <v>8</v>
      </c>
    </row>
    <row r="829" spans="14:39">
      <c r="N829" s="26">
        <v>821</v>
      </c>
      <c r="O829" s="30">
        <f t="shared" ref="O829:Z838" ca="1" si="246">RAND()*sumweights</f>
        <v>29.888651147027954</v>
      </c>
      <c r="P829" s="30">
        <f t="shared" ca="1" si="246"/>
        <v>28.463363475208244</v>
      </c>
      <c r="Q829" s="30">
        <f t="shared" ca="1" si="246"/>
        <v>4.8135571034555449</v>
      </c>
      <c r="R829" s="30">
        <f t="shared" ca="1" si="246"/>
        <v>13.694178821470954</v>
      </c>
      <c r="S829" s="30">
        <f t="shared" ca="1" si="246"/>
        <v>16.056159077297611</v>
      </c>
      <c r="T829" s="30">
        <f t="shared" ca="1" si="246"/>
        <v>8.796654388718304</v>
      </c>
      <c r="U829" s="30">
        <f t="shared" ca="1" si="246"/>
        <v>19.48235735205462</v>
      </c>
      <c r="V829" s="30">
        <f t="shared" ca="1" si="246"/>
        <v>16.403604299976713</v>
      </c>
      <c r="W829" s="30">
        <f t="shared" ca="1" si="246"/>
        <v>6.4570013131761748</v>
      </c>
      <c r="X829" s="30">
        <f t="shared" ca="1" si="246"/>
        <v>24.333646675860123</v>
      </c>
      <c r="Y829" s="30">
        <f t="shared" ca="1" si="246"/>
        <v>3.0657337599465606</v>
      </c>
      <c r="Z829" s="30">
        <f t="shared" ca="1" si="246"/>
        <v>24.952333648512127</v>
      </c>
      <c r="AA829" s="26">
        <v>821</v>
      </c>
      <c r="AB829" s="31">
        <f t="shared" ca="1" si="240"/>
        <v>75</v>
      </c>
      <c r="AC829" s="31">
        <f t="shared" ca="1" si="229"/>
        <v>64</v>
      </c>
      <c r="AD829" s="31">
        <f t="shared" ca="1" si="230"/>
        <v>6</v>
      </c>
      <c r="AE829" s="31">
        <f t="shared" ca="1" si="231"/>
        <v>18</v>
      </c>
      <c r="AF829" s="31">
        <f t="shared" ca="1" si="232"/>
        <v>22</v>
      </c>
      <c r="AG829" s="31">
        <f t="shared" ca="1" si="233"/>
        <v>11</v>
      </c>
      <c r="AH829" s="31">
        <f t="shared" ca="1" si="234"/>
        <v>29</v>
      </c>
      <c r="AI829" s="31">
        <f t="shared" ca="1" si="235"/>
        <v>23</v>
      </c>
      <c r="AJ829" s="31">
        <f t="shared" ca="1" si="236"/>
        <v>8</v>
      </c>
      <c r="AK829" s="31">
        <f t="shared" ca="1" si="237"/>
        <v>43</v>
      </c>
      <c r="AL829" s="31">
        <f t="shared" ca="1" si="238"/>
        <v>4</v>
      </c>
      <c r="AM829" s="31">
        <f t="shared" ca="1" si="239"/>
        <v>46</v>
      </c>
    </row>
    <row r="830" spans="14:39">
      <c r="N830" s="26">
        <v>822</v>
      </c>
      <c r="O830" s="30">
        <f t="shared" ca="1" si="246"/>
        <v>9.3248319650704179</v>
      </c>
      <c r="P830" s="30">
        <f t="shared" ca="1" si="246"/>
        <v>26.902324885377233</v>
      </c>
      <c r="Q830" s="30">
        <f t="shared" ca="1" si="246"/>
        <v>31.904446151309969</v>
      </c>
      <c r="R830" s="30">
        <f t="shared" ca="1" si="246"/>
        <v>32.90145559176527</v>
      </c>
      <c r="S830" s="30">
        <f t="shared" ca="1" si="246"/>
        <v>10.587912636423747</v>
      </c>
      <c r="T830" s="30">
        <f t="shared" ca="1" si="246"/>
        <v>1.7160870166571949</v>
      </c>
      <c r="U830" s="30">
        <f t="shared" ca="1" si="246"/>
        <v>6.75555807738957</v>
      </c>
      <c r="V830" s="30">
        <f t="shared" ca="1" si="246"/>
        <v>2.1764905631087923</v>
      </c>
      <c r="W830" s="30">
        <f t="shared" ca="1" si="246"/>
        <v>20.127141381535765</v>
      </c>
      <c r="X830" s="30">
        <f t="shared" ca="1" si="246"/>
        <v>12.831250719886828</v>
      </c>
      <c r="Y830" s="30">
        <f t="shared" ca="1" si="246"/>
        <v>14.458423498216465</v>
      </c>
      <c r="Z830" s="30">
        <f t="shared" ca="1" si="246"/>
        <v>14.252535207134407</v>
      </c>
      <c r="AA830" s="26">
        <v>822</v>
      </c>
      <c r="AB830" s="31">
        <f t="shared" ca="1" si="240"/>
        <v>11</v>
      </c>
      <c r="AC830" s="31">
        <f t="shared" ca="1" si="229"/>
        <v>55</v>
      </c>
      <c r="AD830" s="31">
        <f t="shared" ca="1" si="230"/>
        <v>104</v>
      </c>
      <c r="AE830" s="31">
        <f t="shared" ca="1" si="231"/>
        <v>143</v>
      </c>
      <c r="AF830" s="31">
        <f t="shared" ca="1" si="232"/>
        <v>13</v>
      </c>
      <c r="AG830" s="31">
        <f t="shared" ca="1" si="233"/>
        <v>2</v>
      </c>
      <c r="AH830" s="31">
        <f t="shared" ca="1" si="234"/>
        <v>8</v>
      </c>
      <c r="AI830" s="31">
        <f t="shared" ca="1" si="235"/>
        <v>3</v>
      </c>
      <c r="AJ830" s="31">
        <f t="shared" ca="1" si="236"/>
        <v>31</v>
      </c>
      <c r="AK830" s="31">
        <f t="shared" ca="1" si="237"/>
        <v>16</v>
      </c>
      <c r="AL830" s="31">
        <f t="shared" ca="1" si="238"/>
        <v>19</v>
      </c>
      <c r="AM830" s="31">
        <f t="shared" ca="1" si="239"/>
        <v>19</v>
      </c>
    </row>
    <row r="831" spans="14:39">
      <c r="N831" s="26">
        <v>823</v>
      </c>
      <c r="O831" s="30">
        <f t="shared" ca="1" si="246"/>
        <v>31.872941830294852</v>
      </c>
      <c r="P831" s="30">
        <f t="shared" ca="1" si="246"/>
        <v>2.7127513063811022</v>
      </c>
      <c r="Q831" s="30">
        <f t="shared" ca="1" si="246"/>
        <v>10.592530686445919</v>
      </c>
      <c r="R831" s="30">
        <f t="shared" ca="1" si="246"/>
        <v>13.749884549584406</v>
      </c>
      <c r="S831" s="30">
        <f t="shared" ca="1" si="246"/>
        <v>7.1513027422209152</v>
      </c>
      <c r="T831" s="30">
        <f t="shared" ca="1" si="246"/>
        <v>10.774291750869761</v>
      </c>
      <c r="U831" s="30">
        <f t="shared" ca="1" si="246"/>
        <v>19.734717342731212</v>
      </c>
      <c r="V831" s="30">
        <f t="shared" ca="1" si="246"/>
        <v>27.466933706319836</v>
      </c>
      <c r="W831" s="30">
        <f t="shared" ca="1" si="246"/>
        <v>29.252484848411825</v>
      </c>
      <c r="X831" s="30">
        <f t="shared" ca="1" si="246"/>
        <v>21.022077360416962</v>
      </c>
      <c r="Y831" s="30">
        <f t="shared" ca="1" si="246"/>
        <v>6.3746530891600886E-2</v>
      </c>
      <c r="Z831" s="30">
        <f t="shared" ca="1" si="246"/>
        <v>19.180092282129358</v>
      </c>
      <c r="AA831" s="26">
        <v>823</v>
      </c>
      <c r="AB831" s="31">
        <f t="shared" ca="1" si="240"/>
        <v>103</v>
      </c>
      <c r="AC831" s="31">
        <f t="shared" ca="1" si="229"/>
        <v>3</v>
      </c>
      <c r="AD831" s="31">
        <f t="shared" ca="1" si="230"/>
        <v>13</v>
      </c>
      <c r="AE831" s="31">
        <f t="shared" ca="1" si="231"/>
        <v>18</v>
      </c>
      <c r="AF831" s="31">
        <f t="shared" ca="1" si="232"/>
        <v>8</v>
      </c>
      <c r="AG831" s="31">
        <f t="shared" ca="1" si="233"/>
        <v>13</v>
      </c>
      <c r="AH831" s="31">
        <f t="shared" ca="1" si="234"/>
        <v>30</v>
      </c>
      <c r="AI831" s="31">
        <f t="shared" ca="1" si="235"/>
        <v>58</v>
      </c>
      <c r="AJ831" s="31">
        <f t="shared" ca="1" si="236"/>
        <v>69</v>
      </c>
      <c r="AK831" s="31">
        <f t="shared" ca="1" si="237"/>
        <v>33</v>
      </c>
      <c r="AL831" s="31">
        <f t="shared" ca="1" si="238"/>
        <v>1</v>
      </c>
      <c r="AM831" s="31">
        <f t="shared" ca="1" si="239"/>
        <v>29</v>
      </c>
    </row>
    <row r="832" spans="14:39">
      <c r="N832" s="26">
        <v>824</v>
      </c>
      <c r="O832" s="30">
        <f t="shared" ca="1" si="246"/>
        <v>3.0775962993159638</v>
      </c>
      <c r="P832" s="30">
        <f t="shared" ca="1" si="246"/>
        <v>8.9335132214730741</v>
      </c>
      <c r="Q832" s="30">
        <f t="shared" ca="1" si="246"/>
        <v>5.1095709100028195</v>
      </c>
      <c r="R832" s="30">
        <f t="shared" ca="1" si="246"/>
        <v>3.4291234003036455</v>
      </c>
      <c r="S832" s="30">
        <f t="shared" ca="1" si="246"/>
        <v>2.2798555731687942</v>
      </c>
      <c r="T832" s="30">
        <f t="shared" ca="1" si="246"/>
        <v>3.9743576177676267</v>
      </c>
      <c r="U832" s="30">
        <f t="shared" ca="1" si="246"/>
        <v>20.899010500764902</v>
      </c>
      <c r="V832" s="30">
        <f t="shared" ca="1" si="246"/>
        <v>32.561045634915715</v>
      </c>
      <c r="W832" s="30">
        <f t="shared" ca="1" si="246"/>
        <v>21.444116783622416</v>
      </c>
      <c r="X832" s="30">
        <f t="shared" ca="1" si="246"/>
        <v>11.481783558810346</v>
      </c>
      <c r="Y832" s="30">
        <f t="shared" ca="1" si="246"/>
        <v>12.453713625167719</v>
      </c>
      <c r="Z832" s="30">
        <f t="shared" ca="1" si="246"/>
        <v>9.9631908599436372</v>
      </c>
      <c r="AA832" s="26">
        <v>824</v>
      </c>
      <c r="AB832" s="31">
        <f t="shared" ca="1" si="240"/>
        <v>4</v>
      </c>
      <c r="AC832" s="31">
        <f t="shared" ca="1" si="229"/>
        <v>11</v>
      </c>
      <c r="AD832" s="31">
        <f t="shared" ca="1" si="230"/>
        <v>6</v>
      </c>
      <c r="AE832" s="31">
        <f t="shared" ca="1" si="231"/>
        <v>4</v>
      </c>
      <c r="AF832" s="31">
        <f t="shared" ca="1" si="232"/>
        <v>3</v>
      </c>
      <c r="AG832" s="31">
        <f t="shared" ca="1" si="233"/>
        <v>5</v>
      </c>
      <c r="AH832" s="31">
        <f t="shared" ca="1" si="234"/>
        <v>33</v>
      </c>
      <c r="AI832" s="31">
        <f t="shared" ca="1" si="235"/>
        <v>124</v>
      </c>
      <c r="AJ832" s="31">
        <f t="shared" ca="1" si="236"/>
        <v>34</v>
      </c>
      <c r="AK832" s="31">
        <f t="shared" ca="1" si="237"/>
        <v>14</v>
      </c>
      <c r="AL832" s="31">
        <f t="shared" ca="1" si="238"/>
        <v>16</v>
      </c>
      <c r="AM832" s="31">
        <f t="shared" ca="1" si="239"/>
        <v>12</v>
      </c>
    </row>
    <row r="833" spans="14:39">
      <c r="N833" s="26">
        <v>825</v>
      </c>
      <c r="O833" s="30">
        <f t="shared" ca="1" si="246"/>
        <v>18.090464285494644</v>
      </c>
      <c r="P833" s="30">
        <f t="shared" ca="1" si="246"/>
        <v>10.418594887310501</v>
      </c>
      <c r="Q833" s="30">
        <f t="shared" ca="1" si="246"/>
        <v>9.4715224537835461</v>
      </c>
      <c r="R833" s="30">
        <f t="shared" ca="1" si="246"/>
        <v>18.855050538555332</v>
      </c>
      <c r="S833" s="30">
        <f t="shared" ca="1" si="246"/>
        <v>14.925310028365608</v>
      </c>
      <c r="T833" s="30">
        <f t="shared" ca="1" si="246"/>
        <v>21.450366476151046</v>
      </c>
      <c r="U833" s="30">
        <f t="shared" ca="1" si="246"/>
        <v>13.13563809145529</v>
      </c>
      <c r="V833" s="30">
        <f t="shared" ca="1" si="246"/>
        <v>15.762295324154874</v>
      </c>
      <c r="W833" s="30">
        <f t="shared" ca="1" si="246"/>
        <v>24.006058095219345</v>
      </c>
      <c r="X833" s="30">
        <f t="shared" ca="1" si="246"/>
        <v>2.0093493031736389</v>
      </c>
      <c r="Y833" s="30">
        <f t="shared" ca="1" si="246"/>
        <v>11.465914756692785</v>
      </c>
      <c r="Z833" s="30">
        <f t="shared" ca="1" si="246"/>
        <v>28.866178372197293</v>
      </c>
      <c r="AA833" s="26">
        <v>825</v>
      </c>
      <c r="AB833" s="31">
        <f t="shared" ca="1" si="240"/>
        <v>26</v>
      </c>
      <c r="AC833" s="31">
        <f t="shared" ca="1" si="229"/>
        <v>13</v>
      </c>
      <c r="AD833" s="31">
        <f t="shared" ca="1" si="230"/>
        <v>11</v>
      </c>
      <c r="AE833" s="31">
        <f t="shared" ca="1" si="231"/>
        <v>28</v>
      </c>
      <c r="AF833" s="31">
        <f t="shared" ca="1" si="232"/>
        <v>20</v>
      </c>
      <c r="AG833" s="31">
        <f t="shared" ca="1" si="233"/>
        <v>34</v>
      </c>
      <c r="AH833" s="31">
        <f t="shared" ca="1" si="234"/>
        <v>17</v>
      </c>
      <c r="AI833" s="31">
        <f t="shared" ca="1" si="235"/>
        <v>22</v>
      </c>
      <c r="AJ833" s="31">
        <f t="shared" ca="1" si="236"/>
        <v>42</v>
      </c>
      <c r="AK833" s="31">
        <f t="shared" ca="1" si="237"/>
        <v>3</v>
      </c>
      <c r="AL833" s="31">
        <f t="shared" ca="1" si="238"/>
        <v>14</v>
      </c>
      <c r="AM833" s="31">
        <f t="shared" ca="1" si="239"/>
        <v>66</v>
      </c>
    </row>
    <row r="834" spans="14:39">
      <c r="N834" s="26">
        <v>826</v>
      </c>
      <c r="O834" s="30">
        <f t="shared" ca="1" si="246"/>
        <v>6.7606008950457337</v>
      </c>
      <c r="P834" s="30">
        <f t="shared" ca="1" si="246"/>
        <v>10.843790672936027</v>
      </c>
      <c r="Q834" s="30">
        <f t="shared" ca="1" si="246"/>
        <v>4.9950059813994097</v>
      </c>
      <c r="R834" s="30">
        <f t="shared" ca="1" si="246"/>
        <v>6.4384444447764819</v>
      </c>
      <c r="S834" s="30">
        <f t="shared" ca="1" si="246"/>
        <v>21.638411047722222</v>
      </c>
      <c r="T834" s="30">
        <f t="shared" ca="1" si="246"/>
        <v>1.8405774092893872</v>
      </c>
      <c r="U834" s="30">
        <f t="shared" ca="1" si="246"/>
        <v>32.08888122884207</v>
      </c>
      <c r="V834" s="30">
        <f t="shared" ca="1" si="246"/>
        <v>32.181597882219599</v>
      </c>
      <c r="W834" s="30">
        <f t="shared" ca="1" si="246"/>
        <v>1.3613059126036549</v>
      </c>
      <c r="X834" s="30">
        <f t="shared" ca="1" si="246"/>
        <v>10.784182352540082</v>
      </c>
      <c r="Y834" s="30">
        <f t="shared" ca="1" si="246"/>
        <v>8.6293367060768151</v>
      </c>
      <c r="Z834" s="30">
        <f t="shared" ca="1" si="246"/>
        <v>31.689412521637266</v>
      </c>
      <c r="AA834" s="26">
        <v>826</v>
      </c>
      <c r="AB834" s="31">
        <f t="shared" ca="1" si="240"/>
        <v>8</v>
      </c>
      <c r="AC834" s="31">
        <f t="shared" ca="1" si="229"/>
        <v>13</v>
      </c>
      <c r="AD834" s="31">
        <f t="shared" ca="1" si="230"/>
        <v>6</v>
      </c>
      <c r="AE834" s="31">
        <f t="shared" ca="1" si="231"/>
        <v>8</v>
      </c>
      <c r="AF834" s="31">
        <f t="shared" ca="1" si="232"/>
        <v>35</v>
      </c>
      <c r="AG834" s="31">
        <f t="shared" ca="1" si="233"/>
        <v>2</v>
      </c>
      <c r="AH834" s="31">
        <f t="shared" ca="1" si="234"/>
        <v>108</v>
      </c>
      <c r="AI834" s="31">
        <f t="shared" ca="1" si="235"/>
        <v>111</v>
      </c>
      <c r="AJ834" s="31">
        <f t="shared" ca="1" si="236"/>
        <v>2</v>
      </c>
      <c r="AK834" s="31">
        <f t="shared" ca="1" si="237"/>
        <v>13</v>
      </c>
      <c r="AL834" s="31">
        <f t="shared" ca="1" si="238"/>
        <v>10</v>
      </c>
      <c r="AM834" s="31">
        <f t="shared" ca="1" si="239"/>
        <v>99</v>
      </c>
    </row>
    <row r="835" spans="14:39">
      <c r="N835" s="26">
        <v>827</v>
      </c>
      <c r="O835" s="30">
        <f t="shared" ca="1" si="246"/>
        <v>5.7522297694560658</v>
      </c>
      <c r="P835" s="30">
        <f t="shared" ca="1" si="246"/>
        <v>18.009657440286386</v>
      </c>
      <c r="Q835" s="30">
        <f t="shared" ca="1" si="246"/>
        <v>17.664918837582231</v>
      </c>
      <c r="R835" s="30">
        <f t="shared" ca="1" si="246"/>
        <v>20.131385680588561</v>
      </c>
      <c r="S835" s="30">
        <f t="shared" ca="1" si="246"/>
        <v>13.7253657375829</v>
      </c>
      <c r="T835" s="30">
        <f t="shared" ca="1" si="246"/>
        <v>21.125084361802696</v>
      </c>
      <c r="U835" s="30">
        <f t="shared" ca="1" si="246"/>
        <v>33.26552543871157</v>
      </c>
      <c r="V835" s="30">
        <f t="shared" ca="1" si="246"/>
        <v>33.168908351364955</v>
      </c>
      <c r="W835" s="30">
        <f t="shared" ca="1" si="246"/>
        <v>21.457253295854194</v>
      </c>
      <c r="X835" s="30">
        <f t="shared" ca="1" si="246"/>
        <v>2.6118358135683382</v>
      </c>
      <c r="Y835" s="30">
        <f t="shared" ca="1" si="246"/>
        <v>15.384254594043488</v>
      </c>
      <c r="Z835" s="30">
        <f t="shared" ca="1" si="246"/>
        <v>19.147055491936115</v>
      </c>
      <c r="AA835" s="26">
        <v>827</v>
      </c>
      <c r="AB835" s="31">
        <f t="shared" ca="1" si="240"/>
        <v>7</v>
      </c>
      <c r="AC835" s="31">
        <f t="shared" ca="1" si="229"/>
        <v>26</v>
      </c>
      <c r="AD835" s="31">
        <f t="shared" ca="1" si="230"/>
        <v>25</v>
      </c>
      <c r="AE835" s="31">
        <f t="shared" ca="1" si="231"/>
        <v>31</v>
      </c>
      <c r="AF835" s="31">
        <f t="shared" ca="1" si="232"/>
        <v>18</v>
      </c>
      <c r="AG835" s="31">
        <f t="shared" ca="1" si="233"/>
        <v>33</v>
      </c>
      <c r="AH835" s="31">
        <f t="shared" ca="1" si="234"/>
        <v>204</v>
      </c>
      <c r="AI835" s="31">
        <f t="shared" ca="1" si="235"/>
        <v>175</v>
      </c>
      <c r="AJ835" s="31">
        <f t="shared" ca="1" si="236"/>
        <v>34</v>
      </c>
      <c r="AK835" s="31">
        <f t="shared" ca="1" si="237"/>
        <v>3</v>
      </c>
      <c r="AL835" s="31">
        <f t="shared" ca="1" si="238"/>
        <v>21</v>
      </c>
      <c r="AM835" s="31">
        <f t="shared" ca="1" si="239"/>
        <v>29</v>
      </c>
    </row>
    <row r="836" spans="14:39">
      <c r="N836" s="26">
        <v>828</v>
      </c>
      <c r="O836" s="30">
        <f t="shared" ca="1" si="246"/>
        <v>21.463122641812024</v>
      </c>
      <c r="P836" s="30">
        <f t="shared" ca="1" si="246"/>
        <v>29.262786870432048</v>
      </c>
      <c r="Q836" s="30">
        <f t="shared" ca="1" si="246"/>
        <v>8.7389860090861973</v>
      </c>
      <c r="R836" s="30">
        <f t="shared" ca="1" si="246"/>
        <v>18.348779239367204</v>
      </c>
      <c r="S836" s="30">
        <f t="shared" ca="1" si="246"/>
        <v>17.281310799686626</v>
      </c>
      <c r="T836" s="30">
        <f t="shared" ca="1" si="246"/>
        <v>24.540315735590031</v>
      </c>
      <c r="U836" s="30">
        <f t="shared" ca="1" si="246"/>
        <v>28.330032837406819</v>
      </c>
      <c r="V836" s="30">
        <f t="shared" ca="1" si="246"/>
        <v>7.0008118739648086</v>
      </c>
      <c r="W836" s="30">
        <f t="shared" ca="1" si="246"/>
        <v>10.63725479748099</v>
      </c>
      <c r="X836" s="30">
        <f t="shared" ca="1" si="246"/>
        <v>21.03097107452923</v>
      </c>
      <c r="Y836" s="30">
        <f t="shared" ca="1" si="246"/>
        <v>27.084712796577161</v>
      </c>
      <c r="Z836" s="30">
        <f t="shared" ca="1" si="246"/>
        <v>3.5674182623416923</v>
      </c>
      <c r="AA836" s="26">
        <v>828</v>
      </c>
      <c r="AB836" s="31">
        <f t="shared" ca="1" si="240"/>
        <v>34</v>
      </c>
      <c r="AC836" s="31">
        <f t="shared" ca="1" si="229"/>
        <v>70</v>
      </c>
      <c r="AD836" s="31">
        <f t="shared" ca="1" si="230"/>
        <v>10</v>
      </c>
      <c r="AE836" s="31">
        <f t="shared" ca="1" si="231"/>
        <v>27</v>
      </c>
      <c r="AF836" s="31">
        <f t="shared" ca="1" si="232"/>
        <v>24</v>
      </c>
      <c r="AG836" s="31">
        <f t="shared" ca="1" si="233"/>
        <v>44</v>
      </c>
      <c r="AH836" s="31">
        <f t="shared" ca="1" si="234"/>
        <v>63</v>
      </c>
      <c r="AI836" s="31">
        <f t="shared" ca="1" si="235"/>
        <v>8</v>
      </c>
      <c r="AJ836" s="31">
        <f t="shared" ca="1" si="236"/>
        <v>13</v>
      </c>
      <c r="AK836" s="31">
        <f t="shared" ca="1" si="237"/>
        <v>33</v>
      </c>
      <c r="AL836" s="31">
        <f t="shared" ca="1" si="238"/>
        <v>55</v>
      </c>
      <c r="AM836" s="31">
        <f t="shared" ca="1" si="239"/>
        <v>4</v>
      </c>
    </row>
    <row r="837" spans="14:39">
      <c r="N837" s="26">
        <v>829</v>
      </c>
      <c r="O837" s="30">
        <f t="shared" ca="1" si="246"/>
        <v>20.071032730601431</v>
      </c>
      <c r="P837" s="30">
        <f t="shared" ca="1" si="246"/>
        <v>1.8214845121840546</v>
      </c>
      <c r="Q837" s="30">
        <f t="shared" ca="1" si="246"/>
        <v>11.870640988491422</v>
      </c>
      <c r="R837" s="30">
        <f t="shared" ca="1" si="246"/>
        <v>10.578824399654307</v>
      </c>
      <c r="S837" s="30">
        <f t="shared" ca="1" si="246"/>
        <v>2.8571281020894652</v>
      </c>
      <c r="T837" s="30">
        <f t="shared" ca="1" si="246"/>
        <v>6.6328041750497215</v>
      </c>
      <c r="U837" s="30">
        <f t="shared" ca="1" si="246"/>
        <v>19.622931632340169</v>
      </c>
      <c r="V837" s="30">
        <f t="shared" ca="1" si="246"/>
        <v>14.942611110845077</v>
      </c>
      <c r="W837" s="30">
        <f t="shared" ca="1" si="246"/>
        <v>14.79362510029949</v>
      </c>
      <c r="X837" s="30">
        <f t="shared" ca="1" si="246"/>
        <v>20.86432174033245</v>
      </c>
      <c r="Y837" s="30">
        <f t="shared" ca="1" si="246"/>
        <v>1.6336235599532327</v>
      </c>
      <c r="Z837" s="30">
        <f t="shared" ca="1" si="246"/>
        <v>32.806784857016396</v>
      </c>
      <c r="AA837" s="26">
        <v>829</v>
      </c>
      <c r="AB837" s="31">
        <f t="shared" ca="1" si="240"/>
        <v>31</v>
      </c>
      <c r="AC837" s="31">
        <f t="shared" ca="1" si="229"/>
        <v>2</v>
      </c>
      <c r="AD837" s="31">
        <f t="shared" ca="1" si="230"/>
        <v>15</v>
      </c>
      <c r="AE837" s="31">
        <f t="shared" ca="1" si="231"/>
        <v>13</v>
      </c>
      <c r="AF837" s="31">
        <f t="shared" ca="1" si="232"/>
        <v>3</v>
      </c>
      <c r="AG837" s="31">
        <f t="shared" ca="1" si="233"/>
        <v>8</v>
      </c>
      <c r="AH837" s="31">
        <f t="shared" ca="1" si="234"/>
        <v>30</v>
      </c>
      <c r="AI837" s="31">
        <f t="shared" ca="1" si="235"/>
        <v>20</v>
      </c>
      <c r="AJ837" s="31">
        <f t="shared" ca="1" si="236"/>
        <v>20</v>
      </c>
      <c r="AK837" s="31">
        <f t="shared" ca="1" si="237"/>
        <v>33</v>
      </c>
      <c r="AL837" s="31">
        <f t="shared" ca="1" si="238"/>
        <v>2</v>
      </c>
      <c r="AM837" s="31">
        <f t="shared" ca="1" si="239"/>
        <v>137</v>
      </c>
    </row>
    <row r="838" spans="14:39">
      <c r="N838" s="26">
        <v>830</v>
      </c>
      <c r="O838" s="30">
        <f t="shared" ca="1" si="246"/>
        <v>16.699249338599731</v>
      </c>
      <c r="P838" s="30">
        <f t="shared" ca="1" si="246"/>
        <v>24.053941494086267</v>
      </c>
      <c r="Q838" s="30">
        <f t="shared" ca="1" si="246"/>
        <v>18.852662633032768</v>
      </c>
      <c r="R838" s="30">
        <f t="shared" ca="1" si="246"/>
        <v>30.156530332840248</v>
      </c>
      <c r="S838" s="30">
        <f t="shared" ca="1" si="246"/>
        <v>2.1233166909477479</v>
      </c>
      <c r="T838" s="30">
        <f t="shared" ca="1" si="246"/>
        <v>13.918549340440022</v>
      </c>
      <c r="U838" s="30">
        <f t="shared" ca="1" si="246"/>
        <v>15.916581370201229</v>
      </c>
      <c r="V838" s="30">
        <f t="shared" ca="1" si="246"/>
        <v>30.678227829278086</v>
      </c>
      <c r="W838" s="30">
        <f t="shared" ca="1" si="246"/>
        <v>26.355104917028221</v>
      </c>
      <c r="X838" s="30">
        <f t="shared" ca="1" si="246"/>
        <v>21.687293378169748</v>
      </c>
      <c r="Y838" s="30">
        <f t="shared" ca="1" si="246"/>
        <v>32.984298107873094</v>
      </c>
      <c r="Z838" s="30">
        <f t="shared" ca="1" si="246"/>
        <v>13.206498638565519</v>
      </c>
      <c r="AA838" s="26">
        <v>830</v>
      </c>
      <c r="AB838" s="31">
        <f t="shared" ca="1" si="240"/>
        <v>23</v>
      </c>
      <c r="AC838" s="31">
        <f t="shared" ca="1" si="229"/>
        <v>42</v>
      </c>
      <c r="AD838" s="31">
        <f t="shared" ca="1" si="230"/>
        <v>28</v>
      </c>
      <c r="AE838" s="31">
        <f t="shared" ca="1" si="231"/>
        <v>78</v>
      </c>
      <c r="AF838" s="31">
        <f t="shared" ca="1" si="232"/>
        <v>3</v>
      </c>
      <c r="AG838" s="31">
        <f t="shared" ca="1" si="233"/>
        <v>18</v>
      </c>
      <c r="AH838" s="31">
        <f t="shared" ca="1" si="234"/>
        <v>22</v>
      </c>
      <c r="AI838" s="31">
        <f t="shared" ca="1" si="235"/>
        <v>84</v>
      </c>
      <c r="AJ838" s="31">
        <f t="shared" ca="1" si="236"/>
        <v>52</v>
      </c>
      <c r="AK838" s="31">
        <f t="shared" ca="1" si="237"/>
        <v>35</v>
      </c>
      <c r="AL838" s="31">
        <f t="shared" ca="1" si="238"/>
        <v>150</v>
      </c>
      <c r="AM838" s="31">
        <f t="shared" ca="1" si="239"/>
        <v>17</v>
      </c>
    </row>
    <row r="839" spans="14:39">
      <c r="N839" s="26">
        <v>831</v>
      </c>
      <c r="O839" s="30">
        <f t="shared" ref="O839:Z848" ca="1" si="247">RAND()*sumweights</f>
        <v>18.043655971448928</v>
      </c>
      <c r="P839" s="30">
        <f t="shared" ca="1" si="247"/>
        <v>7.4670875393723195</v>
      </c>
      <c r="Q839" s="30">
        <f t="shared" ca="1" si="247"/>
        <v>17.326013947694978</v>
      </c>
      <c r="R839" s="30">
        <f t="shared" ca="1" si="247"/>
        <v>3.029821648813301</v>
      </c>
      <c r="S839" s="30">
        <f t="shared" ca="1" si="247"/>
        <v>7.3964642746149529</v>
      </c>
      <c r="T839" s="30">
        <f t="shared" ca="1" si="247"/>
        <v>8.8846143314588257</v>
      </c>
      <c r="U839" s="30">
        <f t="shared" ca="1" si="247"/>
        <v>6.3622635170418382</v>
      </c>
      <c r="V839" s="30">
        <f t="shared" ca="1" si="247"/>
        <v>13.277076807380496</v>
      </c>
      <c r="W839" s="30">
        <f t="shared" ca="1" si="247"/>
        <v>32.813619588446144</v>
      </c>
      <c r="X839" s="30">
        <f t="shared" ca="1" si="247"/>
        <v>28.909339422362599</v>
      </c>
      <c r="Y839" s="30">
        <f t="shared" ca="1" si="247"/>
        <v>11.787878484371832</v>
      </c>
      <c r="Z839" s="30">
        <f t="shared" ca="1" si="247"/>
        <v>32.376353252900785</v>
      </c>
      <c r="AA839" s="26">
        <v>831</v>
      </c>
      <c r="AB839" s="31">
        <f t="shared" ca="1" si="240"/>
        <v>26</v>
      </c>
      <c r="AC839" s="31">
        <f t="shared" ca="1" si="229"/>
        <v>9</v>
      </c>
      <c r="AD839" s="31">
        <f t="shared" ca="1" si="230"/>
        <v>25</v>
      </c>
      <c r="AE839" s="31">
        <f t="shared" ca="1" si="231"/>
        <v>4</v>
      </c>
      <c r="AF839" s="31">
        <f t="shared" ca="1" si="232"/>
        <v>9</v>
      </c>
      <c r="AG839" s="31">
        <f t="shared" ca="1" si="233"/>
        <v>11</v>
      </c>
      <c r="AH839" s="31">
        <f t="shared" ca="1" si="234"/>
        <v>7</v>
      </c>
      <c r="AI839" s="31">
        <f t="shared" ca="1" si="235"/>
        <v>17</v>
      </c>
      <c r="AJ839" s="31">
        <f t="shared" ca="1" si="236"/>
        <v>137</v>
      </c>
      <c r="AK839" s="31">
        <f t="shared" ca="1" si="237"/>
        <v>67</v>
      </c>
      <c r="AL839" s="31">
        <f t="shared" ca="1" si="238"/>
        <v>15</v>
      </c>
      <c r="AM839" s="31">
        <f t="shared" ca="1" si="239"/>
        <v>117</v>
      </c>
    </row>
    <row r="840" spans="14:39">
      <c r="N840" s="26">
        <v>832</v>
      </c>
      <c r="O840" s="30">
        <f t="shared" ca="1" si="247"/>
        <v>18.441913960483369</v>
      </c>
      <c r="P840" s="30">
        <f t="shared" ca="1" si="247"/>
        <v>27.34543715515094</v>
      </c>
      <c r="Q840" s="30">
        <f t="shared" ca="1" si="247"/>
        <v>8.5312401852269542</v>
      </c>
      <c r="R840" s="30">
        <f t="shared" ca="1" si="247"/>
        <v>31.8002480207875</v>
      </c>
      <c r="S840" s="30">
        <f t="shared" ca="1" si="247"/>
        <v>17.592761336112208</v>
      </c>
      <c r="T840" s="30">
        <f t="shared" ca="1" si="247"/>
        <v>11.726093928686808</v>
      </c>
      <c r="U840" s="30">
        <f t="shared" ca="1" si="247"/>
        <v>15.769469448519363</v>
      </c>
      <c r="V840" s="30">
        <f t="shared" ca="1" si="247"/>
        <v>3.2614482290317031</v>
      </c>
      <c r="W840" s="30">
        <f t="shared" ca="1" si="247"/>
        <v>27.794939541693306</v>
      </c>
      <c r="X840" s="30">
        <f t="shared" ca="1" si="247"/>
        <v>13.003321415265923</v>
      </c>
      <c r="Y840" s="30">
        <f t="shared" ca="1" si="247"/>
        <v>5.7949247756504905</v>
      </c>
      <c r="Z840" s="30">
        <f t="shared" ca="1" si="247"/>
        <v>4.4210406570843519</v>
      </c>
      <c r="AA840" s="26">
        <v>832</v>
      </c>
      <c r="AB840" s="31">
        <f t="shared" ca="1" si="240"/>
        <v>27</v>
      </c>
      <c r="AC840" s="31">
        <f t="shared" ca="1" si="229"/>
        <v>57</v>
      </c>
      <c r="AD840" s="31">
        <f t="shared" ca="1" si="230"/>
        <v>10</v>
      </c>
      <c r="AE840" s="31">
        <f t="shared" ca="1" si="231"/>
        <v>102</v>
      </c>
      <c r="AF840" s="31">
        <f t="shared" ca="1" si="232"/>
        <v>25</v>
      </c>
      <c r="AG840" s="31">
        <f t="shared" ca="1" si="233"/>
        <v>15</v>
      </c>
      <c r="AH840" s="31">
        <f t="shared" ca="1" si="234"/>
        <v>22</v>
      </c>
      <c r="AI840" s="31">
        <f t="shared" ca="1" si="235"/>
        <v>4</v>
      </c>
      <c r="AJ840" s="31">
        <f t="shared" ca="1" si="236"/>
        <v>59</v>
      </c>
      <c r="AK840" s="31">
        <f t="shared" ca="1" si="237"/>
        <v>17</v>
      </c>
      <c r="AL840" s="31">
        <f t="shared" ca="1" si="238"/>
        <v>7</v>
      </c>
      <c r="AM840" s="31">
        <f t="shared" ca="1" si="239"/>
        <v>5</v>
      </c>
    </row>
    <row r="841" spans="14:39">
      <c r="N841" s="26">
        <v>833</v>
      </c>
      <c r="O841" s="30">
        <f t="shared" ca="1" si="247"/>
        <v>23.962806435750792</v>
      </c>
      <c r="P841" s="30">
        <f t="shared" ca="1" si="247"/>
        <v>12.373992424549629</v>
      </c>
      <c r="Q841" s="30">
        <f t="shared" ca="1" si="247"/>
        <v>2.0619365521751583</v>
      </c>
      <c r="R841" s="30">
        <f t="shared" ca="1" si="247"/>
        <v>8.6371011047403279</v>
      </c>
      <c r="S841" s="30">
        <f t="shared" ca="1" si="247"/>
        <v>26.88492551122086</v>
      </c>
      <c r="T841" s="30">
        <f t="shared" ca="1" si="247"/>
        <v>1.2375289177900028</v>
      </c>
      <c r="U841" s="30">
        <f t="shared" ca="1" si="247"/>
        <v>29.790890863257843</v>
      </c>
      <c r="V841" s="30">
        <f t="shared" ca="1" si="247"/>
        <v>5.1547792361314606</v>
      </c>
      <c r="W841" s="30">
        <f t="shared" ca="1" si="247"/>
        <v>19.86196766166811</v>
      </c>
      <c r="X841" s="30">
        <f t="shared" ca="1" si="247"/>
        <v>28.354563036430594</v>
      </c>
      <c r="Y841" s="30">
        <f t="shared" ca="1" si="247"/>
        <v>18.011614452870109</v>
      </c>
      <c r="Z841" s="30">
        <f t="shared" ca="1" si="247"/>
        <v>7.4509529085542683</v>
      </c>
      <c r="AA841" s="26">
        <v>833</v>
      </c>
      <c r="AB841" s="31">
        <f t="shared" ca="1" si="240"/>
        <v>42</v>
      </c>
      <c r="AC841" s="31">
        <f t="shared" ref="AC841:AC904" ca="1" si="248">MATCH(P841,cum_wt,1)</f>
        <v>16</v>
      </c>
      <c r="AD841" s="31">
        <f t="shared" ref="AD841:AD904" ca="1" si="249">MATCH(Q841,cum_wt,1)</f>
        <v>3</v>
      </c>
      <c r="AE841" s="31">
        <f t="shared" ref="AE841:AE904" ca="1" si="250">MATCH(R841,cum_wt,1)</f>
        <v>10</v>
      </c>
      <c r="AF841" s="31">
        <f t="shared" ref="AF841:AF904" ca="1" si="251">MATCH(S841,cum_wt,1)</f>
        <v>54</v>
      </c>
      <c r="AG841" s="31">
        <f t="shared" ref="AG841:AG904" ca="1" si="252">MATCH(T841,cum_wt,1)</f>
        <v>2</v>
      </c>
      <c r="AH841" s="31">
        <f t="shared" ref="AH841:AH904" ca="1" si="253">MATCH(U841,cum_wt,1)</f>
        <v>74</v>
      </c>
      <c r="AI841" s="31">
        <f t="shared" ref="AI841:AI904" ca="1" si="254">MATCH(V841,cum_wt,1)</f>
        <v>6</v>
      </c>
      <c r="AJ841" s="31">
        <f t="shared" ref="AJ841:AJ904" ca="1" si="255">MATCH(W841,cum_wt,1)</f>
        <v>30</v>
      </c>
      <c r="AK841" s="31">
        <f t="shared" ref="AK841:AK904" ca="1" si="256">MATCH(X841,cum_wt,1)</f>
        <v>63</v>
      </c>
      <c r="AL841" s="31">
        <f t="shared" ref="AL841:AL904" ca="1" si="257">MATCH(Y841,cum_wt,1)</f>
        <v>26</v>
      </c>
      <c r="AM841" s="31">
        <f t="shared" ref="AM841:AM904" ca="1" si="258">MATCH(Z841,cum_wt,1)</f>
        <v>9</v>
      </c>
    </row>
    <row r="842" spans="14:39">
      <c r="N842" s="26">
        <v>834</v>
      </c>
      <c r="O842" s="30">
        <f t="shared" ca="1" si="247"/>
        <v>32.109736540193801</v>
      </c>
      <c r="P842" s="30">
        <f t="shared" ca="1" si="247"/>
        <v>9.6619390234825229</v>
      </c>
      <c r="Q842" s="30">
        <f t="shared" ca="1" si="247"/>
        <v>6.8704841280863223</v>
      </c>
      <c r="R842" s="30">
        <f t="shared" ca="1" si="247"/>
        <v>1.5058091019519158</v>
      </c>
      <c r="S842" s="30">
        <f t="shared" ca="1" si="247"/>
        <v>2.9014290020471187</v>
      </c>
      <c r="T842" s="30">
        <f t="shared" ca="1" si="247"/>
        <v>31.103675747757119</v>
      </c>
      <c r="U842" s="30">
        <f t="shared" ca="1" si="247"/>
        <v>29.393155445448247</v>
      </c>
      <c r="V842" s="30">
        <f t="shared" ca="1" si="247"/>
        <v>19.33054000443159</v>
      </c>
      <c r="W842" s="30">
        <f t="shared" ca="1" si="247"/>
        <v>20.740780412917619</v>
      </c>
      <c r="X842" s="30">
        <f t="shared" ca="1" si="247"/>
        <v>6.1942728475629965</v>
      </c>
      <c r="Y842" s="30">
        <f t="shared" ca="1" si="247"/>
        <v>27.114491133942185</v>
      </c>
      <c r="Z842" s="30">
        <f t="shared" ca="1" si="247"/>
        <v>25.323079143215327</v>
      </c>
      <c r="AA842" s="26">
        <v>834</v>
      </c>
      <c r="AB842" s="31">
        <f t="shared" ref="AB842:AB905" ca="1" si="259">MATCH(O842,cum_wt,1)</f>
        <v>109</v>
      </c>
      <c r="AC842" s="31">
        <f t="shared" ca="1" si="248"/>
        <v>12</v>
      </c>
      <c r="AD842" s="31">
        <f t="shared" ca="1" si="249"/>
        <v>8</v>
      </c>
      <c r="AE842" s="31">
        <f t="shared" ca="1" si="250"/>
        <v>2</v>
      </c>
      <c r="AF842" s="31">
        <f t="shared" ca="1" si="251"/>
        <v>3</v>
      </c>
      <c r="AG842" s="31">
        <f t="shared" ca="1" si="252"/>
        <v>89</v>
      </c>
      <c r="AH842" s="31">
        <f t="shared" ca="1" si="253"/>
        <v>71</v>
      </c>
      <c r="AI842" s="31">
        <f t="shared" ca="1" si="254"/>
        <v>29</v>
      </c>
      <c r="AJ842" s="31">
        <f t="shared" ca="1" si="255"/>
        <v>32</v>
      </c>
      <c r="AK842" s="31">
        <f t="shared" ca="1" si="256"/>
        <v>7</v>
      </c>
      <c r="AL842" s="31">
        <f t="shared" ca="1" si="257"/>
        <v>56</v>
      </c>
      <c r="AM842" s="31">
        <f t="shared" ca="1" si="258"/>
        <v>47</v>
      </c>
    </row>
    <row r="843" spans="14:39">
      <c r="N843" s="26">
        <v>835</v>
      </c>
      <c r="O843" s="30">
        <f t="shared" ca="1" si="247"/>
        <v>29.437470555359219</v>
      </c>
      <c r="P843" s="30">
        <f t="shared" ca="1" si="247"/>
        <v>11.709045531548465</v>
      </c>
      <c r="Q843" s="30">
        <f t="shared" ca="1" si="247"/>
        <v>22.219311336839198</v>
      </c>
      <c r="R843" s="30">
        <f t="shared" ca="1" si="247"/>
        <v>17.182256985803409</v>
      </c>
      <c r="S843" s="30">
        <f t="shared" ca="1" si="247"/>
        <v>11.558124360640786</v>
      </c>
      <c r="T843" s="30">
        <f t="shared" ca="1" si="247"/>
        <v>26.444985901506016</v>
      </c>
      <c r="U843" s="30">
        <f t="shared" ca="1" si="247"/>
        <v>17.333295619203522</v>
      </c>
      <c r="V843" s="30">
        <f t="shared" ca="1" si="247"/>
        <v>14.376099868578891</v>
      </c>
      <c r="W843" s="30">
        <f t="shared" ca="1" si="247"/>
        <v>27.662871862309864</v>
      </c>
      <c r="X843" s="30">
        <f t="shared" ca="1" si="247"/>
        <v>29.356914551723751</v>
      </c>
      <c r="Y843" s="30">
        <f t="shared" ca="1" si="247"/>
        <v>7.270914833720278</v>
      </c>
      <c r="Z843" s="30">
        <f t="shared" ca="1" si="247"/>
        <v>15.334714296776321</v>
      </c>
      <c r="AA843" s="26">
        <v>835</v>
      </c>
      <c r="AB843" s="31">
        <f t="shared" ca="1" si="259"/>
        <v>71</v>
      </c>
      <c r="AC843" s="31">
        <f t="shared" ca="1" si="248"/>
        <v>15</v>
      </c>
      <c r="AD843" s="31">
        <f t="shared" ca="1" si="249"/>
        <v>37</v>
      </c>
      <c r="AE843" s="31">
        <f t="shared" ca="1" si="250"/>
        <v>24</v>
      </c>
      <c r="AF843" s="31">
        <f t="shared" ca="1" si="251"/>
        <v>14</v>
      </c>
      <c r="AG843" s="31">
        <f t="shared" ca="1" si="252"/>
        <v>52</v>
      </c>
      <c r="AH843" s="31">
        <f t="shared" ca="1" si="253"/>
        <v>25</v>
      </c>
      <c r="AI843" s="31">
        <f t="shared" ca="1" si="254"/>
        <v>19</v>
      </c>
      <c r="AJ843" s="31">
        <f t="shared" ca="1" si="255"/>
        <v>59</v>
      </c>
      <c r="AK843" s="31">
        <f t="shared" ca="1" si="256"/>
        <v>70</v>
      </c>
      <c r="AL843" s="31">
        <f t="shared" ca="1" si="257"/>
        <v>9</v>
      </c>
      <c r="AM843" s="31">
        <f t="shared" ca="1" si="258"/>
        <v>21</v>
      </c>
    </row>
    <row r="844" spans="14:39">
      <c r="N844" s="26">
        <v>836</v>
      </c>
      <c r="O844" s="30">
        <f t="shared" ca="1" si="247"/>
        <v>32.871503669065085</v>
      </c>
      <c r="P844" s="30">
        <f t="shared" ca="1" si="247"/>
        <v>32.086612270728068</v>
      </c>
      <c r="Q844" s="30">
        <f t="shared" ca="1" si="247"/>
        <v>18.712169630050667</v>
      </c>
      <c r="R844" s="30">
        <f t="shared" ca="1" si="247"/>
        <v>7.6528302152839913</v>
      </c>
      <c r="S844" s="30">
        <f t="shared" ca="1" si="247"/>
        <v>32.216699211914928</v>
      </c>
      <c r="T844" s="30">
        <f t="shared" ca="1" si="247"/>
        <v>22.135280333995425</v>
      </c>
      <c r="U844" s="30">
        <f t="shared" ca="1" si="247"/>
        <v>14.221282455645978</v>
      </c>
      <c r="V844" s="30">
        <f t="shared" ca="1" si="247"/>
        <v>6.9524730481723182E-2</v>
      </c>
      <c r="W844" s="30">
        <f t="shared" ca="1" si="247"/>
        <v>12.375881639324499</v>
      </c>
      <c r="X844" s="30">
        <f t="shared" ca="1" si="247"/>
        <v>13.940787240219576</v>
      </c>
      <c r="Y844" s="30">
        <f t="shared" ca="1" si="247"/>
        <v>25.485799885270509</v>
      </c>
      <c r="Z844" s="30">
        <f t="shared" ca="1" si="247"/>
        <v>2.4193552757085159</v>
      </c>
      <c r="AA844" s="26">
        <v>836</v>
      </c>
      <c r="AB844" s="31">
        <f t="shared" ca="1" si="259"/>
        <v>141</v>
      </c>
      <c r="AC844" s="31">
        <f t="shared" ca="1" si="248"/>
        <v>108</v>
      </c>
      <c r="AD844" s="31">
        <f t="shared" ca="1" si="249"/>
        <v>28</v>
      </c>
      <c r="AE844" s="31">
        <f t="shared" ca="1" si="250"/>
        <v>9</v>
      </c>
      <c r="AF844" s="31">
        <f t="shared" ca="1" si="251"/>
        <v>112</v>
      </c>
      <c r="AG844" s="31">
        <f t="shared" ca="1" si="252"/>
        <v>36</v>
      </c>
      <c r="AH844" s="31">
        <f t="shared" ca="1" si="253"/>
        <v>19</v>
      </c>
      <c r="AI844" s="31">
        <f t="shared" ca="1" si="254"/>
        <v>1</v>
      </c>
      <c r="AJ844" s="31">
        <f t="shared" ca="1" si="255"/>
        <v>16</v>
      </c>
      <c r="AK844" s="31">
        <f t="shared" ca="1" si="256"/>
        <v>18</v>
      </c>
      <c r="AL844" s="31">
        <f t="shared" ca="1" si="257"/>
        <v>48</v>
      </c>
      <c r="AM844" s="31">
        <f t="shared" ca="1" si="258"/>
        <v>3</v>
      </c>
    </row>
    <row r="845" spans="14:39">
      <c r="N845" s="26">
        <v>837</v>
      </c>
      <c r="O845" s="30">
        <f t="shared" ca="1" si="247"/>
        <v>11.931882984732438</v>
      </c>
      <c r="P845" s="30">
        <f t="shared" ca="1" si="247"/>
        <v>23.314956875517392</v>
      </c>
      <c r="Q845" s="30">
        <f t="shared" ca="1" si="247"/>
        <v>18.247367762204878</v>
      </c>
      <c r="R845" s="30">
        <f t="shared" ca="1" si="247"/>
        <v>2.5646855975887184</v>
      </c>
      <c r="S845" s="30">
        <f t="shared" ca="1" si="247"/>
        <v>19.594519874635072</v>
      </c>
      <c r="T845" s="30">
        <f t="shared" ca="1" si="247"/>
        <v>9.2505813816573763</v>
      </c>
      <c r="U845" s="30">
        <f t="shared" ca="1" si="247"/>
        <v>32.4834461816424</v>
      </c>
      <c r="V845" s="30">
        <f t="shared" ca="1" si="247"/>
        <v>2.9646813595778352</v>
      </c>
      <c r="W845" s="30">
        <f t="shared" ca="1" si="247"/>
        <v>32.949082418153004</v>
      </c>
      <c r="X845" s="30">
        <f t="shared" ca="1" si="247"/>
        <v>22.281574852991355</v>
      </c>
      <c r="Y845" s="30">
        <f t="shared" ca="1" si="247"/>
        <v>21.251712315886465</v>
      </c>
      <c r="Z845" s="30">
        <f t="shared" ca="1" si="247"/>
        <v>20.746223854788742</v>
      </c>
      <c r="AA845" s="26">
        <v>837</v>
      </c>
      <c r="AB845" s="31">
        <f t="shared" ca="1" si="259"/>
        <v>15</v>
      </c>
      <c r="AC845" s="31">
        <f t="shared" ca="1" si="248"/>
        <v>40</v>
      </c>
      <c r="AD845" s="31">
        <f t="shared" ca="1" si="249"/>
        <v>27</v>
      </c>
      <c r="AE845" s="31">
        <f t="shared" ca="1" si="250"/>
        <v>3</v>
      </c>
      <c r="AF845" s="31">
        <f t="shared" ca="1" si="251"/>
        <v>30</v>
      </c>
      <c r="AG845" s="31">
        <f t="shared" ca="1" si="252"/>
        <v>11</v>
      </c>
      <c r="AH845" s="31">
        <f t="shared" ca="1" si="253"/>
        <v>121</v>
      </c>
      <c r="AI845" s="31">
        <f t="shared" ca="1" si="254"/>
        <v>4</v>
      </c>
      <c r="AJ845" s="31">
        <f t="shared" ca="1" si="255"/>
        <v>147</v>
      </c>
      <c r="AK845" s="31">
        <f t="shared" ca="1" si="256"/>
        <v>37</v>
      </c>
      <c r="AL845" s="31">
        <f t="shared" ca="1" si="257"/>
        <v>34</v>
      </c>
      <c r="AM845" s="31">
        <f t="shared" ca="1" si="258"/>
        <v>32</v>
      </c>
    </row>
    <row r="846" spans="14:39">
      <c r="N846" s="26">
        <v>838</v>
      </c>
      <c r="O846" s="30">
        <f t="shared" ca="1" si="247"/>
        <v>32.587845024510266</v>
      </c>
      <c r="P846" s="30">
        <f t="shared" ca="1" si="247"/>
        <v>17.36467496682047</v>
      </c>
      <c r="Q846" s="30">
        <f t="shared" ca="1" si="247"/>
        <v>30.106106908052919</v>
      </c>
      <c r="R846" s="30">
        <f t="shared" ca="1" si="247"/>
        <v>5.2174025482815987</v>
      </c>
      <c r="S846" s="30">
        <f t="shared" ca="1" si="247"/>
        <v>18.369909676456402</v>
      </c>
      <c r="T846" s="30">
        <f t="shared" ca="1" si="247"/>
        <v>31.779433853976418</v>
      </c>
      <c r="U846" s="30">
        <f t="shared" ca="1" si="247"/>
        <v>12.926671976488317</v>
      </c>
      <c r="V846" s="30">
        <f t="shared" ca="1" si="247"/>
        <v>30.053521352167575</v>
      </c>
      <c r="W846" s="30">
        <f t="shared" ca="1" si="247"/>
        <v>16.762189202242311</v>
      </c>
      <c r="X846" s="30">
        <f t="shared" ca="1" si="247"/>
        <v>11.778054342067744</v>
      </c>
      <c r="Y846" s="30">
        <f t="shared" ca="1" si="247"/>
        <v>28.408122910576957</v>
      </c>
      <c r="Z846" s="30">
        <f t="shared" ca="1" si="247"/>
        <v>14.12841618336269</v>
      </c>
      <c r="AA846" s="26">
        <v>838</v>
      </c>
      <c r="AB846" s="31">
        <f t="shared" ca="1" si="259"/>
        <v>125</v>
      </c>
      <c r="AC846" s="31">
        <f t="shared" ca="1" si="248"/>
        <v>25</v>
      </c>
      <c r="AD846" s="31">
        <f t="shared" ca="1" si="249"/>
        <v>77</v>
      </c>
      <c r="AE846" s="31">
        <f t="shared" ca="1" si="250"/>
        <v>6</v>
      </c>
      <c r="AF846" s="31">
        <f t="shared" ca="1" si="251"/>
        <v>27</v>
      </c>
      <c r="AG846" s="31">
        <f t="shared" ca="1" si="252"/>
        <v>101</v>
      </c>
      <c r="AH846" s="31">
        <f t="shared" ca="1" si="253"/>
        <v>17</v>
      </c>
      <c r="AI846" s="31">
        <f t="shared" ca="1" si="254"/>
        <v>77</v>
      </c>
      <c r="AJ846" s="31">
        <f t="shared" ca="1" si="255"/>
        <v>23</v>
      </c>
      <c r="AK846" s="31">
        <f t="shared" ca="1" si="256"/>
        <v>15</v>
      </c>
      <c r="AL846" s="31">
        <f t="shared" ca="1" si="257"/>
        <v>63</v>
      </c>
      <c r="AM846" s="31">
        <f t="shared" ca="1" si="258"/>
        <v>19</v>
      </c>
    </row>
    <row r="847" spans="14:39">
      <c r="N847" s="26">
        <v>839</v>
      </c>
      <c r="O847" s="30">
        <f t="shared" ca="1" si="247"/>
        <v>9.4637736602768037</v>
      </c>
      <c r="P847" s="30">
        <f t="shared" ca="1" si="247"/>
        <v>7.4840209281398016</v>
      </c>
      <c r="Q847" s="30">
        <f t="shared" ca="1" si="247"/>
        <v>17.640379015367699</v>
      </c>
      <c r="R847" s="30">
        <f t="shared" ca="1" si="247"/>
        <v>15.502286163753302</v>
      </c>
      <c r="S847" s="30">
        <f t="shared" ca="1" si="247"/>
        <v>8.2934414375940815</v>
      </c>
      <c r="T847" s="30">
        <f t="shared" ca="1" si="247"/>
        <v>24.581845892088204</v>
      </c>
      <c r="U847" s="30">
        <f t="shared" ca="1" si="247"/>
        <v>18.797911669507819</v>
      </c>
      <c r="V847" s="30">
        <f t="shared" ca="1" si="247"/>
        <v>20.596977298952709</v>
      </c>
      <c r="W847" s="30">
        <f t="shared" ca="1" si="247"/>
        <v>21.85540941359422</v>
      </c>
      <c r="X847" s="30">
        <f t="shared" ca="1" si="247"/>
        <v>28.542298552110935</v>
      </c>
      <c r="Y847" s="30">
        <f t="shared" ca="1" si="247"/>
        <v>20.477617658562437</v>
      </c>
      <c r="Z847" s="30">
        <f t="shared" ca="1" si="247"/>
        <v>0.97038119244977605</v>
      </c>
      <c r="AA847" s="26">
        <v>839</v>
      </c>
      <c r="AB847" s="31">
        <f t="shared" ca="1" si="259"/>
        <v>11</v>
      </c>
      <c r="AC847" s="31">
        <f t="shared" ca="1" si="248"/>
        <v>9</v>
      </c>
      <c r="AD847" s="31">
        <f t="shared" ca="1" si="249"/>
        <v>25</v>
      </c>
      <c r="AE847" s="31">
        <f t="shared" ca="1" si="250"/>
        <v>21</v>
      </c>
      <c r="AF847" s="31">
        <f t="shared" ca="1" si="251"/>
        <v>10</v>
      </c>
      <c r="AG847" s="31">
        <f t="shared" ca="1" si="252"/>
        <v>44</v>
      </c>
      <c r="AH847" s="31">
        <f t="shared" ca="1" si="253"/>
        <v>28</v>
      </c>
      <c r="AI847" s="31">
        <f t="shared" ca="1" si="254"/>
        <v>32</v>
      </c>
      <c r="AJ847" s="31">
        <f t="shared" ca="1" si="255"/>
        <v>36</v>
      </c>
      <c r="AK847" s="31">
        <f t="shared" ca="1" si="256"/>
        <v>64</v>
      </c>
      <c r="AL847" s="31">
        <f t="shared" ca="1" si="257"/>
        <v>32</v>
      </c>
      <c r="AM847" s="31">
        <f t="shared" ca="1" si="258"/>
        <v>1</v>
      </c>
    </row>
    <row r="848" spans="14:39">
      <c r="N848" s="26">
        <v>840</v>
      </c>
      <c r="O848" s="30">
        <f t="shared" ca="1" si="247"/>
        <v>29.642691612133348</v>
      </c>
      <c r="P848" s="30">
        <f t="shared" ca="1" si="247"/>
        <v>21.240675134694918</v>
      </c>
      <c r="Q848" s="30">
        <f t="shared" ca="1" si="247"/>
        <v>8.5896485679209924</v>
      </c>
      <c r="R848" s="30">
        <f t="shared" ca="1" si="247"/>
        <v>3.5096848953017319</v>
      </c>
      <c r="S848" s="30">
        <f t="shared" ca="1" si="247"/>
        <v>2.2747246439502851</v>
      </c>
      <c r="T848" s="30">
        <f t="shared" ca="1" si="247"/>
        <v>16.369684568112302</v>
      </c>
      <c r="U848" s="30">
        <f t="shared" ca="1" si="247"/>
        <v>27.048422188425267</v>
      </c>
      <c r="V848" s="30">
        <f t="shared" ca="1" si="247"/>
        <v>21.029007589357377</v>
      </c>
      <c r="W848" s="30">
        <f t="shared" ca="1" si="247"/>
        <v>12.808885416981596</v>
      </c>
      <c r="X848" s="30">
        <f t="shared" ca="1" si="247"/>
        <v>16.161413681967524</v>
      </c>
      <c r="Y848" s="30">
        <f t="shared" ca="1" si="247"/>
        <v>1.914929966369936</v>
      </c>
      <c r="Z848" s="30">
        <f t="shared" ca="1" si="247"/>
        <v>9.1421048388693098</v>
      </c>
      <c r="AA848" s="26">
        <v>840</v>
      </c>
      <c r="AB848" s="31">
        <f t="shared" ca="1" si="259"/>
        <v>73</v>
      </c>
      <c r="AC848" s="31">
        <f t="shared" ca="1" si="248"/>
        <v>34</v>
      </c>
      <c r="AD848" s="31">
        <f t="shared" ca="1" si="249"/>
        <v>10</v>
      </c>
      <c r="AE848" s="31">
        <f t="shared" ca="1" si="250"/>
        <v>4</v>
      </c>
      <c r="AF848" s="31">
        <f t="shared" ca="1" si="251"/>
        <v>3</v>
      </c>
      <c r="AG848" s="31">
        <f t="shared" ca="1" si="252"/>
        <v>23</v>
      </c>
      <c r="AH848" s="31">
        <f t="shared" ca="1" si="253"/>
        <v>55</v>
      </c>
      <c r="AI848" s="31">
        <f t="shared" ca="1" si="254"/>
        <v>33</v>
      </c>
      <c r="AJ848" s="31">
        <f t="shared" ca="1" si="255"/>
        <v>16</v>
      </c>
      <c r="AK848" s="31">
        <f t="shared" ca="1" si="256"/>
        <v>22</v>
      </c>
      <c r="AL848" s="31">
        <f t="shared" ca="1" si="257"/>
        <v>2</v>
      </c>
      <c r="AM848" s="31">
        <f t="shared" ca="1" si="258"/>
        <v>11</v>
      </c>
    </row>
    <row r="849" spans="14:39">
      <c r="N849" s="26">
        <v>841</v>
      </c>
      <c r="O849" s="30">
        <f t="shared" ref="O849:Z858" ca="1" si="260">RAND()*sumweights</f>
        <v>10.152073013985037</v>
      </c>
      <c r="P849" s="30">
        <f t="shared" ca="1" si="260"/>
        <v>24.846874379648785</v>
      </c>
      <c r="Q849" s="30">
        <f t="shared" ca="1" si="260"/>
        <v>19.370752501341972</v>
      </c>
      <c r="R849" s="30">
        <f t="shared" ca="1" si="260"/>
        <v>26.522708018827299</v>
      </c>
      <c r="S849" s="30">
        <f t="shared" ca="1" si="260"/>
        <v>4.7961489151181835</v>
      </c>
      <c r="T849" s="30">
        <f t="shared" ca="1" si="260"/>
        <v>32.115848863241034</v>
      </c>
      <c r="U849" s="30">
        <f t="shared" ca="1" si="260"/>
        <v>4.3256493998113106</v>
      </c>
      <c r="V849" s="30">
        <f t="shared" ca="1" si="260"/>
        <v>17.500646834474342</v>
      </c>
      <c r="W849" s="30">
        <f t="shared" ca="1" si="260"/>
        <v>31.339786082252306</v>
      </c>
      <c r="X849" s="30">
        <f t="shared" ca="1" si="260"/>
        <v>20.266644169321587</v>
      </c>
      <c r="Y849" s="30">
        <f t="shared" ca="1" si="260"/>
        <v>23.631324789962751</v>
      </c>
      <c r="Z849" s="30">
        <f t="shared" ca="1" si="260"/>
        <v>13.772407241332482</v>
      </c>
      <c r="AA849" s="26">
        <v>841</v>
      </c>
      <c r="AB849" s="31">
        <f t="shared" ca="1" si="259"/>
        <v>12</v>
      </c>
      <c r="AC849" s="31">
        <f t="shared" ca="1" si="248"/>
        <v>45</v>
      </c>
      <c r="AD849" s="31">
        <f t="shared" ca="1" si="249"/>
        <v>29</v>
      </c>
      <c r="AE849" s="31">
        <f t="shared" ca="1" si="250"/>
        <v>53</v>
      </c>
      <c r="AF849" s="31">
        <f t="shared" ca="1" si="251"/>
        <v>6</v>
      </c>
      <c r="AG849" s="31">
        <f t="shared" ca="1" si="252"/>
        <v>109</v>
      </c>
      <c r="AH849" s="31">
        <f t="shared" ca="1" si="253"/>
        <v>5</v>
      </c>
      <c r="AI849" s="31">
        <f t="shared" ca="1" si="254"/>
        <v>25</v>
      </c>
      <c r="AJ849" s="31">
        <f t="shared" ca="1" si="255"/>
        <v>93</v>
      </c>
      <c r="AK849" s="31">
        <f t="shared" ca="1" si="256"/>
        <v>31</v>
      </c>
      <c r="AL849" s="31">
        <f t="shared" ca="1" si="257"/>
        <v>41</v>
      </c>
      <c r="AM849" s="31">
        <f t="shared" ca="1" si="258"/>
        <v>18</v>
      </c>
    </row>
    <row r="850" spans="14:39">
      <c r="N850" s="26">
        <v>842</v>
      </c>
      <c r="O850" s="30">
        <f t="shared" ca="1" si="260"/>
        <v>28.49128554250467</v>
      </c>
      <c r="P850" s="30">
        <f t="shared" ca="1" si="260"/>
        <v>9.9084914026747928</v>
      </c>
      <c r="Q850" s="30">
        <f t="shared" ca="1" si="260"/>
        <v>30.34962959318662</v>
      </c>
      <c r="R850" s="30">
        <f t="shared" ca="1" si="260"/>
        <v>5.1136079507017831</v>
      </c>
      <c r="S850" s="30">
        <f t="shared" ca="1" si="260"/>
        <v>28.186125760308066</v>
      </c>
      <c r="T850" s="30">
        <f t="shared" ca="1" si="260"/>
        <v>1.7161777767368229</v>
      </c>
      <c r="U850" s="30">
        <f t="shared" ca="1" si="260"/>
        <v>5.4997924513896548</v>
      </c>
      <c r="V850" s="30">
        <f t="shared" ca="1" si="260"/>
        <v>22.192862653019091</v>
      </c>
      <c r="W850" s="30">
        <f t="shared" ca="1" si="260"/>
        <v>11.011481945245741</v>
      </c>
      <c r="X850" s="30">
        <f t="shared" ca="1" si="260"/>
        <v>32.279158643488145</v>
      </c>
      <c r="Y850" s="30">
        <f t="shared" ca="1" si="260"/>
        <v>14.117867308937589</v>
      </c>
      <c r="Z850" s="30">
        <f t="shared" ca="1" si="260"/>
        <v>6.4720108624619916</v>
      </c>
      <c r="AA850" s="26">
        <v>842</v>
      </c>
      <c r="AB850" s="31">
        <f t="shared" ca="1" si="259"/>
        <v>64</v>
      </c>
      <c r="AC850" s="31">
        <f t="shared" ca="1" si="248"/>
        <v>12</v>
      </c>
      <c r="AD850" s="31">
        <f t="shared" ca="1" si="249"/>
        <v>80</v>
      </c>
      <c r="AE850" s="31">
        <f t="shared" ca="1" si="250"/>
        <v>6</v>
      </c>
      <c r="AF850" s="31">
        <f t="shared" ca="1" si="251"/>
        <v>62</v>
      </c>
      <c r="AG850" s="31">
        <f t="shared" ca="1" si="252"/>
        <v>2</v>
      </c>
      <c r="AH850" s="31">
        <f t="shared" ca="1" si="253"/>
        <v>6</v>
      </c>
      <c r="AI850" s="31">
        <f t="shared" ca="1" si="254"/>
        <v>36</v>
      </c>
      <c r="AJ850" s="31">
        <f t="shared" ca="1" si="255"/>
        <v>14</v>
      </c>
      <c r="AK850" s="31">
        <f t="shared" ca="1" si="256"/>
        <v>114</v>
      </c>
      <c r="AL850" s="31">
        <f t="shared" ca="1" si="257"/>
        <v>19</v>
      </c>
      <c r="AM850" s="31">
        <f t="shared" ca="1" si="258"/>
        <v>8</v>
      </c>
    </row>
    <row r="851" spans="14:39">
      <c r="N851" s="26">
        <v>843</v>
      </c>
      <c r="O851" s="30">
        <f t="shared" ca="1" si="260"/>
        <v>32.340863827680003</v>
      </c>
      <c r="P851" s="30">
        <f t="shared" ca="1" si="260"/>
        <v>30.976168063927396</v>
      </c>
      <c r="Q851" s="30">
        <f t="shared" ca="1" si="260"/>
        <v>28.689591618572702</v>
      </c>
      <c r="R851" s="30">
        <f t="shared" ca="1" si="260"/>
        <v>20.831117100858677</v>
      </c>
      <c r="S851" s="30">
        <f t="shared" ca="1" si="260"/>
        <v>33.139455247330922</v>
      </c>
      <c r="T851" s="30">
        <f t="shared" ca="1" si="260"/>
        <v>18.356552608578827</v>
      </c>
      <c r="U851" s="30">
        <f t="shared" ca="1" si="260"/>
        <v>27.551189944551645</v>
      </c>
      <c r="V851" s="30">
        <f t="shared" ca="1" si="260"/>
        <v>27.489960375658921</v>
      </c>
      <c r="W851" s="30">
        <f t="shared" ca="1" si="260"/>
        <v>5.0866793075909653</v>
      </c>
      <c r="X851" s="30">
        <f t="shared" ca="1" si="260"/>
        <v>16.350656476031642</v>
      </c>
      <c r="Y851" s="30">
        <f t="shared" ca="1" si="260"/>
        <v>16.19975592221342</v>
      </c>
      <c r="Z851" s="30">
        <f t="shared" ca="1" si="260"/>
        <v>25.524792199294396</v>
      </c>
      <c r="AA851" s="26">
        <v>843</v>
      </c>
      <c r="AB851" s="31">
        <f t="shared" ca="1" si="259"/>
        <v>116</v>
      </c>
      <c r="AC851" s="31">
        <f t="shared" ca="1" si="248"/>
        <v>87</v>
      </c>
      <c r="AD851" s="31">
        <f t="shared" ca="1" si="249"/>
        <v>65</v>
      </c>
      <c r="AE851" s="31">
        <f t="shared" ca="1" si="250"/>
        <v>33</v>
      </c>
      <c r="AF851" s="31">
        <f t="shared" ca="1" si="251"/>
        <v>169</v>
      </c>
      <c r="AG851" s="31">
        <f t="shared" ca="1" si="252"/>
        <v>27</v>
      </c>
      <c r="AH851" s="31">
        <f t="shared" ca="1" si="253"/>
        <v>58</v>
      </c>
      <c r="AI851" s="31">
        <f t="shared" ca="1" si="254"/>
        <v>58</v>
      </c>
      <c r="AJ851" s="31">
        <f t="shared" ca="1" si="255"/>
        <v>6</v>
      </c>
      <c r="AK851" s="31">
        <f t="shared" ca="1" si="256"/>
        <v>23</v>
      </c>
      <c r="AL851" s="31">
        <f t="shared" ca="1" si="257"/>
        <v>22</v>
      </c>
      <c r="AM851" s="31">
        <f t="shared" ca="1" si="258"/>
        <v>48</v>
      </c>
    </row>
    <row r="852" spans="14:39">
      <c r="N852" s="26">
        <v>844</v>
      </c>
      <c r="O852" s="30">
        <f t="shared" ca="1" si="260"/>
        <v>6.390656380738192</v>
      </c>
      <c r="P852" s="30">
        <f t="shared" ca="1" si="260"/>
        <v>32.550159431764357</v>
      </c>
      <c r="Q852" s="30">
        <f t="shared" ca="1" si="260"/>
        <v>19.956777956266162</v>
      </c>
      <c r="R852" s="30">
        <f t="shared" ca="1" si="260"/>
        <v>22.854668966816639</v>
      </c>
      <c r="S852" s="30">
        <f t="shared" ca="1" si="260"/>
        <v>33.195898759471383</v>
      </c>
      <c r="T852" s="30">
        <f t="shared" ca="1" si="260"/>
        <v>28.262027261968555</v>
      </c>
      <c r="U852" s="30">
        <f t="shared" ca="1" si="260"/>
        <v>5.52863173124683</v>
      </c>
      <c r="V852" s="30">
        <f t="shared" ca="1" si="260"/>
        <v>10.023031033786792</v>
      </c>
      <c r="W852" s="30">
        <f t="shared" ca="1" si="260"/>
        <v>28.342029626519679</v>
      </c>
      <c r="X852" s="30">
        <f t="shared" ca="1" si="260"/>
        <v>33.164518804618105</v>
      </c>
      <c r="Y852" s="30">
        <f t="shared" ca="1" si="260"/>
        <v>21.722092622928116</v>
      </c>
      <c r="Z852" s="30">
        <f t="shared" ca="1" si="260"/>
        <v>32.106679192160932</v>
      </c>
      <c r="AA852" s="26">
        <v>844</v>
      </c>
      <c r="AB852" s="31">
        <f t="shared" ca="1" si="259"/>
        <v>7</v>
      </c>
      <c r="AC852" s="31">
        <f t="shared" ca="1" si="248"/>
        <v>124</v>
      </c>
      <c r="AD852" s="31">
        <f t="shared" ca="1" si="249"/>
        <v>30</v>
      </c>
      <c r="AE852" s="31">
        <f t="shared" ca="1" si="250"/>
        <v>38</v>
      </c>
      <c r="AF852" s="31">
        <f t="shared" ca="1" si="251"/>
        <v>181</v>
      </c>
      <c r="AG852" s="31">
        <f t="shared" ca="1" si="252"/>
        <v>62</v>
      </c>
      <c r="AH852" s="31">
        <f t="shared" ca="1" si="253"/>
        <v>6</v>
      </c>
      <c r="AI852" s="31">
        <f t="shared" ca="1" si="254"/>
        <v>12</v>
      </c>
      <c r="AJ852" s="31">
        <f t="shared" ca="1" si="255"/>
        <v>63</v>
      </c>
      <c r="AK852" s="31">
        <f t="shared" ca="1" si="256"/>
        <v>174</v>
      </c>
      <c r="AL852" s="31">
        <f t="shared" ca="1" si="257"/>
        <v>35</v>
      </c>
      <c r="AM852" s="31">
        <f t="shared" ca="1" si="258"/>
        <v>109</v>
      </c>
    </row>
    <row r="853" spans="14:39">
      <c r="N853" s="26">
        <v>845</v>
      </c>
      <c r="O853" s="30">
        <f t="shared" ca="1" si="260"/>
        <v>28.512077668248828</v>
      </c>
      <c r="P853" s="30">
        <f t="shared" ca="1" si="260"/>
        <v>3.5971360536597419</v>
      </c>
      <c r="Q853" s="30">
        <f t="shared" ca="1" si="260"/>
        <v>14.457397874442286</v>
      </c>
      <c r="R853" s="30">
        <f t="shared" ca="1" si="260"/>
        <v>17.31407426973356</v>
      </c>
      <c r="S853" s="30">
        <f t="shared" ca="1" si="260"/>
        <v>4.9053156406695981</v>
      </c>
      <c r="T853" s="30">
        <f t="shared" ca="1" si="260"/>
        <v>2.2914656305195864</v>
      </c>
      <c r="U853" s="30">
        <f t="shared" ca="1" si="260"/>
        <v>12.064847253273788</v>
      </c>
      <c r="V853" s="30">
        <f t="shared" ca="1" si="260"/>
        <v>23.441359131021827</v>
      </c>
      <c r="W853" s="30">
        <f t="shared" ca="1" si="260"/>
        <v>31.880419277828842</v>
      </c>
      <c r="X853" s="30">
        <f t="shared" ca="1" si="260"/>
        <v>5.3154904523470128</v>
      </c>
      <c r="Y853" s="30">
        <f t="shared" ca="1" si="260"/>
        <v>19.297236771512029</v>
      </c>
      <c r="Z853" s="30">
        <f t="shared" ca="1" si="260"/>
        <v>21.42596283044427</v>
      </c>
      <c r="AA853" s="26">
        <v>845</v>
      </c>
      <c r="AB853" s="31">
        <f t="shared" ca="1" si="259"/>
        <v>64</v>
      </c>
      <c r="AC853" s="31">
        <f t="shared" ca="1" si="248"/>
        <v>4</v>
      </c>
      <c r="AD853" s="31">
        <f t="shared" ca="1" si="249"/>
        <v>19</v>
      </c>
      <c r="AE853" s="31">
        <f t="shared" ca="1" si="250"/>
        <v>25</v>
      </c>
      <c r="AF853" s="31">
        <f t="shared" ca="1" si="251"/>
        <v>6</v>
      </c>
      <c r="AG853" s="31">
        <f t="shared" ca="1" si="252"/>
        <v>3</v>
      </c>
      <c r="AH853" s="31">
        <f t="shared" ca="1" si="253"/>
        <v>15</v>
      </c>
      <c r="AI853" s="31">
        <f t="shared" ca="1" si="254"/>
        <v>40</v>
      </c>
      <c r="AJ853" s="31">
        <f t="shared" ca="1" si="255"/>
        <v>103</v>
      </c>
      <c r="AK853" s="31">
        <f t="shared" ca="1" si="256"/>
        <v>6</v>
      </c>
      <c r="AL853" s="31">
        <f t="shared" ca="1" si="257"/>
        <v>29</v>
      </c>
      <c r="AM853" s="31">
        <f t="shared" ca="1" si="258"/>
        <v>34</v>
      </c>
    </row>
    <row r="854" spans="14:39">
      <c r="N854" s="26">
        <v>846</v>
      </c>
      <c r="O854" s="30">
        <f t="shared" ca="1" si="260"/>
        <v>15.829616893691675</v>
      </c>
      <c r="P854" s="30">
        <f t="shared" ca="1" si="260"/>
        <v>17.120665454328623</v>
      </c>
      <c r="Q854" s="30">
        <f t="shared" ca="1" si="260"/>
        <v>20.760153443701093</v>
      </c>
      <c r="R854" s="30">
        <f t="shared" ca="1" si="260"/>
        <v>23.975498857428082</v>
      </c>
      <c r="S854" s="30">
        <f t="shared" ca="1" si="260"/>
        <v>20.453108496099752</v>
      </c>
      <c r="T854" s="30">
        <f t="shared" ca="1" si="260"/>
        <v>11.442907539742118</v>
      </c>
      <c r="U854" s="30">
        <f t="shared" ca="1" si="260"/>
        <v>17.186833543261518</v>
      </c>
      <c r="V854" s="30">
        <f t="shared" ca="1" si="260"/>
        <v>1.0349671226841124</v>
      </c>
      <c r="W854" s="30">
        <f t="shared" ca="1" si="260"/>
        <v>6.4685016034017373</v>
      </c>
      <c r="X854" s="30">
        <f t="shared" ca="1" si="260"/>
        <v>26.166691537052863</v>
      </c>
      <c r="Y854" s="30">
        <f t="shared" ca="1" si="260"/>
        <v>15.541991569681793</v>
      </c>
      <c r="Z854" s="30">
        <f t="shared" ca="1" si="260"/>
        <v>8.7262735249705194</v>
      </c>
      <c r="AA854" s="26">
        <v>846</v>
      </c>
      <c r="AB854" s="31">
        <f t="shared" ca="1" si="259"/>
        <v>22</v>
      </c>
      <c r="AC854" s="31">
        <f t="shared" ca="1" si="248"/>
        <v>24</v>
      </c>
      <c r="AD854" s="31">
        <f t="shared" ca="1" si="249"/>
        <v>33</v>
      </c>
      <c r="AE854" s="31">
        <f t="shared" ca="1" si="250"/>
        <v>42</v>
      </c>
      <c r="AF854" s="31">
        <f t="shared" ca="1" si="251"/>
        <v>32</v>
      </c>
      <c r="AG854" s="31">
        <f t="shared" ca="1" si="252"/>
        <v>14</v>
      </c>
      <c r="AH854" s="31">
        <f t="shared" ca="1" si="253"/>
        <v>24</v>
      </c>
      <c r="AI854" s="31">
        <f t="shared" ca="1" si="254"/>
        <v>2</v>
      </c>
      <c r="AJ854" s="31">
        <f t="shared" ca="1" si="255"/>
        <v>8</v>
      </c>
      <c r="AK854" s="31">
        <f t="shared" ca="1" si="256"/>
        <v>51</v>
      </c>
      <c r="AL854" s="31">
        <f t="shared" ca="1" si="257"/>
        <v>21</v>
      </c>
      <c r="AM854" s="31">
        <f t="shared" ca="1" si="258"/>
        <v>10</v>
      </c>
    </row>
    <row r="855" spans="14:39">
      <c r="N855" s="26">
        <v>847</v>
      </c>
      <c r="O855" s="30">
        <f t="shared" ca="1" si="260"/>
        <v>0.92756789744887491</v>
      </c>
      <c r="P855" s="30">
        <f t="shared" ca="1" si="260"/>
        <v>4.3224966580713087</v>
      </c>
      <c r="Q855" s="30">
        <f t="shared" ca="1" si="260"/>
        <v>9.6463462418027976</v>
      </c>
      <c r="R855" s="30">
        <f t="shared" ca="1" si="260"/>
        <v>24.960873460034168</v>
      </c>
      <c r="S855" s="30">
        <f t="shared" ca="1" si="260"/>
        <v>6.8707689825864682</v>
      </c>
      <c r="T855" s="30">
        <f t="shared" ca="1" si="260"/>
        <v>7.0693763043705875</v>
      </c>
      <c r="U855" s="30">
        <f t="shared" ca="1" si="260"/>
        <v>5.7294916153652355</v>
      </c>
      <c r="V855" s="30">
        <f t="shared" ca="1" si="260"/>
        <v>21.83876381954456</v>
      </c>
      <c r="W855" s="30">
        <f t="shared" ca="1" si="260"/>
        <v>3.5975191181156037</v>
      </c>
      <c r="X855" s="30">
        <f t="shared" ca="1" si="260"/>
        <v>0.57245400345576469</v>
      </c>
      <c r="Y855" s="30">
        <f t="shared" ca="1" si="260"/>
        <v>19.989245712411918</v>
      </c>
      <c r="Z855" s="30">
        <f t="shared" ca="1" si="260"/>
        <v>12.922902550401943</v>
      </c>
      <c r="AA855" s="26">
        <v>847</v>
      </c>
      <c r="AB855" s="31">
        <f t="shared" ca="1" si="259"/>
        <v>1</v>
      </c>
      <c r="AC855" s="31">
        <f t="shared" ca="1" si="248"/>
        <v>5</v>
      </c>
      <c r="AD855" s="31">
        <f t="shared" ca="1" si="249"/>
        <v>12</v>
      </c>
      <c r="AE855" s="31">
        <f t="shared" ca="1" si="250"/>
        <v>46</v>
      </c>
      <c r="AF855" s="31">
        <f t="shared" ca="1" si="251"/>
        <v>8</v>
      </c>
      <c r="AG855" s="31">
        <f t="shared" ca="1" si="252"/>
        <v>8</v>
      </c>
      <c r="AH855" s="31">
        <f t="shared" ca="1" si="253"/>
        <v>7</v>
      </c>
      <c r="AI855" s="31">
        <f t="shared" ca="1" si="254"/>
        <v>35</v>
      </c>
      <c r="AJ855" s="31">
        <f t="shared" ca="1" si="255"/>
        <v>4</v>
      </c>
      <c r="AK855" s="31">
        <f t="shared" ca="1" si="256"/>
        <v>1</v>
      </c>
      <c r="AL855" s="31">
        <f t="shared" ca="1" si="257"/>
        <v>31</v>
      </c>
      <c r="AM855" s="31">
        <f t="shared" ca="1" si="258"/>
        <v>17</v>
      </c>
    </row>
    <row r="856" spans="14:39">
      <c r="N856" s="26">
        <v>848</v>
      </c>
      <c r="O856" s="30">
        <f t="shared" ca="1" si="260"/>
        <v>30.986885379487529</v>
      </c>
      <c r="P856" s="30">
        <f t="shared" ca="1" si="260"/>
        <v>20.38136650444055</v>
      </c>
      <c r="Q856" s="30">
        <f t="shared" ca="1" si="260"/>
        <v>1.6676885074707315</v>
      </c>
      <c r="R856" s="30">
        <f t="shared" ca="1" si="260"/>
        <v>30.078292582939934</v>
      </c>
      <c r="S856" s="30">
        <f t="shared" ca="1" si="260"/>
        <v>27.005187030974614</v>
      </c>
      <c r="T856" s="30">
        <f t="shared" ca="1" si="260"/>
        <v>10.683344345126205</v>
      </c>
      <c r="U856" s="30">
        <f t="shared" ca="1" si="260"/>
        <v>27.19500908845691</v>
      </c>
      <c r="V856" s="30">
        <f t="shared" ca="1" si="260"/>
        <v>2.0641351461213904</v>
      </c>
      <c r="W856" s="30">
        <f t="shared" ca="1" si="260"/>
        <v>0.62110420624319784</v>
      </c>
      <c r="X856" s="30">
        <f t="shared" ca="1" si="260"/>
        <v>9.6927631397157068</v>
      </c>
      <c r="Y856" s="30">
        <f t="shared" ca="1" si="260"/>
        <v>20.451297158403481</v>
      </c>
      <c r="Z856" s="30">
        <f t="shared" ca="1" si="260"/>
        <v>31.840035391902919</v>
      </c>
      <c r="AA856" s="26">
        <v>848</v>
      </c>
      <c r="AB856" s="31">
        <f t="shared" ca="1" si="259"/>
        <v>88</v>
      </c>
      <c r="AC856" s="31">
        <f t="shared" ca="1" si="248"/>
        <v>32</v>
      </c>
      <c r="AD856" s="31">
        <f t="shared" ca="1" si="249"/>
        <v>2</v>
      </c>
      <c r="AE856" s="31">
        <f t="shared" ca="1" si="250"/>
        <v>77</v>
      </c>
      <c r="AF856" s="31">
        <f t="shared" ca="1" si="251"/>
        <v>55</v>
      </c>
      <c r="AG856" s="31">
        <f t="shared" ca="1" si="252"/>
        <v>13</v>
      </c>
      <c r="AH856" s="31">
        <f t="shared" ca="1" si="253"/>
        <v>56</v>
      </c>
      <c r="AI856" s="31">
        <f t="shared" ca="1" si="254"/>
        <v>3</v>
      </c>
      <c r="AJ856" s="31">
        <f t="shared" ca="1" si="255"/>
        <v>1</v>
      </c>
      <c r="AK856" s="31">
        <f t="shared" ca="1" si="256"/>
        <v>12</v>
      </c>
      <c r="AL856" s="31">
        <f t="shared" ca="1" si="257"/>
        <v>32</v>
      </c>
      <c r="AM856" s="31">
        <f t="shared" ca="1" si="258"/>
        <v>102</v>
      </c>
    </row>
    <row r="857" spans="14:39">
      <c r="N857" s="26">
        <v>849</v>
      </c>
      <c r="O857" s="30">
        <f t="shared" ca="1" si="260"/>
        <v>4.6040403903293905</v>
      </c>
      <c r="P857" s="30">
        <f t="shared" ca="1" si="260"/>
        <v>13.015404961831445</v>
      </c>
      <c r="Q857" s="30">
        <f t="shared" ca="1" si="260"/>
        <v>1.0876815142969822</v>
      </c>
      <c r="R857" s="30">
        <f t="shared" ca="1" si="260"/>
        <v>29.303354432609996</v>
      </c>
      <c r="S857" s="30">
        <f t="shared" ca="1" si="260"/>
        <v>5.4757020037919766</v>
      </c>
      <c r="T857" s="30">
        <f t="shared" ca="1" si="260"/>
        <v>1.3171402342755578</v>
      </c>
      <c r="U857" s="30">
        <f t="shared" ca="1" si="260"/>
        <v>13.825867095362756</v>
      </c>
      <c r="V857" s="30">
        <f t="shared" ca="1" si="260"/>
        <v>0.7125543813956694</v>
      </c>
      <c r="W857" s="30">
        <f t="shared" ca="1" si="260"/>
        <v>20.406778871399318</v>
      </c>
      <c r="X857" s="30">
        <f t="shared" ca="1" si="260"/>
        <v>12.456327481840056</v>
      </c>
      <c r="Y857" s="30">
        <f t="shared" ca="1" si="260"/>
        <v>31.838096596719854</v>
      </c>
      <c r="Z857" s="30">
        <f t="shared" ca="1" si="260"/>
        <v>24.535068109338713</v>
      </c>
      <c r="AA857" s="26">
        <v>849</v>
      </c>
      <c r="AB857" s="31">
        <f t="shared" ca="1" si="259"/>
        <v>5</v>
      </c>
      <c r="AC857" s="31">
        <f t="shared" ca="1" si="248"/>
        <v>17</v>
      </c>
      <c r="AD857" s="31">
        <f t="shared" ca="1" si="249"/>
        <v>2</v>
      </c>
      <c r="AE857" s="31">
        <f t="shared" ca="1" si="250"/>
        <v>70</v>
      </c>
      <c r="AF857" s="31">
        <f t="shared" ca="1" si="251"/>
        <v>6</v>
      </c>
      <c r="AG857" s="31">
        <f t="shared" ca="1" si="252"/>
        <v>2</v>
      </c>
      <c r="AH857" s="31">
        <f t="shared" ca="1" si="253"/>
        <v>18</v>
      </c>
      <c r="AI857" s="31">
        <f t="shared" ca="1" si="254"/>
        <v>1</v>
      </c>
      <c r="AJ857" s="31">
        <f t="shared" ca="1" si="255"/>
        <v>32</v>
      </c>
      <c r="AK857" s="31">
        <f t="shared" ca="1" si="256"/>
        <v>16</v>
      </c>
      <c r="AL857" s="31">
        <f t="shared" ca="1" si="257"/>
        <v>102</v>
      </c>
      <c r="AM857" s="31">
        <f t="shared" ca="1" si="258"/>
        <v>44</v>
      </c>
    </row>
    <row r="858" spans="14:39">
      <c r="N858" s="26">
        <v>850</v>
      </c>
      <c r="O858" s="30">
        <f t="shared" ca="1" si="260"/>
        <v>4.1837890549821921</v>
      </c>
      <c r="P858" s="30">
        <f t="shared" ca="1" si="260"/>
        <v>1.0361538549692597</v>
      </c>
      <c r="Q858" s="30">
        <f t="shared" ca="1" si="260"/>
        <v>18.526530106277839</v>
      </c>
      <c r="R858" s="30">
        <f t="shared" ca="1" si="260"/>
        <v>25.785275977235592</v>
      </c>
      <c r="S858" s="30">
        <f t="shared" ca="1" si="260"/>
        <v>0.88031522578372989</v>
      </c>
      <c r="T858" s="30">
        <f t="shared" ca="1" si="260"/>
        <v>3.4685875179709456</v>
      </c>
      <c r="U858" s="30">
        <f t="shared" ca="1" si="260"/>
        <v>10.196813523760792</v>
      </c>
      <c r="V858" s="30">
        <f t="shared" ca="1" si="260"/>
        <v>14.151747721598312</v>
      </c>
      <c r="W858" s="30">
        <f t="shared" ca="1" si="260"/>
        <v>22.633740571816247</v>
      </c>
      <c r="X858" s="30">
        <f t="shared" ca="1" si="260"/>
        <v>12.429110572568883</v>
      </c>
      <c r="Y858" s="30">
        <f t="shared" ca="1" si="260"/>
        <v>21.539262123645781</v>
      </c>
      <c r="Z858" s="30">
        <f t="shared" ca="1" si="260"/>
        <v>10.669693728633263</v>
      </c>
      <c r="AA858" s="26">
        <v>850</v>
      </c>
      <c r="AB858" s="31">
        <f t="shared" ca="1" si="259"/>
        <v>5</v>
      </c>
      <c r="AC858" s="31">
        <f t="shared" ca="1" si="248"/>
        <v>2</v>
      </c>
      <c r="AD858" s="31">
        <f t="shared" ca="1" si="249"/>
        <v>27</v>
      </c>
      <c r="AE858" s="31">
        <f t="shared" ca="1" si="250"/>
        <v>49</v>
      </c>
      <c r="AF858" s="31">
        <f t="shared" ca="1" si="251"/>
        <v>1</v>
      </c>
      <c r="AG858" s="31">
        <f t="shared" ca="1" si="252"/>
        <v>4</v>
      </c>
      <c r="AH858" s="31">
        <f t="shared" ca="1" si="253"/>
        <v>12</v>
      </c>
      <c r="AI858" s="31">
        <f t="shared" ca="1" si="254"/>
        <v>19</v>
      </c>
      <c r="AJ858" s="31">
        <f t="shared" ca="1" si="255"/>
        <v>38</v>
      </c>
      <c r="AK858" s="31">
        <f t="shared" ca="1" si="256"/>
        <v>16</v>
      </c>
      <c r="AL858" s="31">
        <f t="shared" ca="1" si="257"/>
        <v>35</v>
      </c>
      <c r="AM858" s="31">
        <f t="shared" ca="1" si="258"/>
        <v>13</v>
      </c>
    </row>
    <row r="859" spans="14:39">
      <c r="N859" s="26">
        <v>851</v>
      </c>
      <c r="O859" s="30">
        <f t="shared" ref="O859:Z868" ca="1" si="261">RAND()*sumweights</f>
        <v>9.3825963049588736</v>
      </c>
      <c r="P859" s="30">
        <f t="shared" ca="1" si="261"/>
        <v>21.103510363336802</v>
      </c>
      <c r="Q859" s="30">
        <f t="shared" ca="1" si="261"/>
        <v>17.328246370780409</v>
      </c>
      <c r="R859" s="30">
        <f t="shared" ca="1" si="261"/>
        <v>3.5798674657992939</v>
      </c>
      <c r="S859" s="30">
        <f t="shared" ca="1" si="261"/>
        <v>14.637751283964635</v>
      </c>
      <c r="T859" s="30">
        <f t="shared" ca="1" si="261"/>
        <v>22.946635036063277</v>
      </c>
      <c r="U859" s="30">
        <f t="shared" ca="1" si="261"/>
        <v>25.920891016817777</v>
      </c>
      <c r="V859" s="30">
        <f t="shared" ca="1" si="261"/>
        <v>15.712257526654996</v>
      </c>
      <c r="W859" s="30">
        <f t="shared" ca="1" si="261"/>
        <v>17.5689954093659</v>
      </c>
      <c r="X859" s="30">
        <f t="shared" ca="1" si="261"/>
        <v>18.178955037873237</v>
      </c>
      <c r="Y859" s="30">
        <f t="shared" ca="1" si="261"/>
        <v>26.427173217948617</v>
      </c>
      <c r="Z859" s="30">
        <f t="shared" ca="1" si="261"/>
        <v>4.945356227411426</v>
      </c>
      <c r="AA859" s="26">
        <v>851</v>
      </c>
      <c r="AB859" s="31">
        <f t="shared" ca="1" si="259"/>
        <v>11</v>
      </c>
      <c r="AC859" s="31">
        <f t="shared" ca="1" si="248"/>
        <v>33</v>
      </c>
      <c r="AD859" s="31">
        <f t="shared" ca="1" si="249"/>
        <v>25</v>
      </c>
      <c r="AE859" s="31">
        <f t="shared" ca="1" si="250"/>
        <v>4</v>
      </c>
      <c r="AF859" s="31">
        <f t="shared" ca="1" si="251"/>
        <v>19</v>
      </c>
      <c r="AG859" s="31">
        <f t="shared" ca="1" si="252"/>
        <v>39</v>
      </c>
      <c r="AH859" s="31">
        <f t="shared" ca="1" si="253"/>
        <v>50</v>
      </c>
      <c r="AI859" s="31">
        <f t="shared" ca="1" si="254"/>
        <v>21</v>
      </c>
      <c r="AJ859" s="31">
        <f t="shared" ca="1" si="255"/>
        <v>25</v>
      </c>
      <c r="AK859" s="31">
        <f t="shared" ca="1" si="256"/>
        <v>26</v>
      </c>
      <c r="AL859" s="31">
        <f t="shared" ca="1" si="257"/>
        <v>52</v>
      </c>
      <c r="AM859" s="31">
        <f t="shared" ca="1" si="258"/>
        <v>6</v>
      </c>
    </row>
    <row r="860" spans="14:39">
      <c r="N860" s="26">
        <v>852</v>
      </c>
      <c r="O860" s="30">
        <f t="shared" ca="1" si="261"/>
        <v>24.977346157554599</v>
      </c>
      <c r="P860" s="30">
        <f t="shared" ca="1" si="261"/>
        <v>26.011207145426333</v>
      </c>
      <c r="Q860" s="30">
        <f t="shared" ca="1" si="261"/>
        <v>24.748188899877082</v>
      </c>
      <c r="R860" s="30">
        <f t="shared" ca="1" si="261"/>
        <v>15.105324683947595</v>
      </c>
      <c r="S860" s="30">
        <f t="shared" ca="1" si="261"/>
        <v>13.918402480528309</v>
      </c>
      <c r="T860" s="30">
        <f t="shared" ca="1" si="261"/>
        <v>24.389667928071464</v>
      </c>
      <c r="U860" s="30">
        <f t="shared" ca="1" si="261"/>
        <v>14.975732909961959</v>
      </c>
      <c r="V860" s="30">
        <f t="shared" ca="1" si="261"/>
        <v>1.1071839079436943</v>
      </c>
      <c r="W860" s="30">
        <f t="shared" ca="1" si="261"/>
        <v>13.398890359665778</v>
      </c>
      <c r="X860" s="30">
        <f t="shared" ca="1" si="261"/>
        <v>0.26404997441894218</v>
      </c>
      <c r="Y860" s="30">
        <f t="shared" ca="1" si="261"/>
        <v>6.0868898856848386</v>
      </c>
      <c r="Z860" s="30">
        <f t="shared" ca="1" si="261"/>
        <v>31.923508448833672</v>
      </c>
      <c r="AA860" s="26">
        <v>852</v>
      </c>
      <c r="AB860" s="31">
        <f t="shared" ca="1" si="259"/>
        <v>46</v>
      </c>
      <c r="AC860" s="31">
        <f t="shared" ca="1" si="248"/>
        <v>50</v>
      </c>
      <c r="AD860" s="31">
        <f t="shared" ca="1" si="249"/>
        <v>45</v>
      </c>
      <c r="AE860" s="31">
        <f t="shared" ca="1" si="250"/>
        <v>20</v>
      </c>
      <c r="AF860" s="31">
        <f t="shared" ca="1" si="251"/>
        <v>18</v>
      </c>
      <c r="AG860" s="31">
        <f t="shared" ca="1" si="252"/>
        <v>44</v>
      </c>
      <c r="AH860" s="31">
        <f t="shared" ca="1" si="253"/>
        <v>20</v>
      </c>
      <c r="AI860" s="31">
        <f t="shared" ca="1" si="254"/>
        <v>2</v>
      </c>
      <c r="AJ860" s="31">
        <f t="shared" ca="1" si="255"/>
        <v>17</v>
      </c>
      <c r="AK860" s="31">
        <f t="shared" ca="1" si="256"/>
        <v>1</v>
      </c>
      <c r="AL860" s="31">
        <f t="shared" ca="1" si="257"/>
        <v>7</v>
      </c>
      <c r="AM860" s="31">
        <f t="shared" ca="1" si="258"/>
        <v>104</v>
      </c>
    </row>
    <row r="861" spans="14:39">
      <c r="N861" s="26">
        <v>853</v>
      </c>
      <c r="O861" s="30">
        <f t="shared" ca="1" si="261"/>
        <v>33.234956921977343</v>
      </c>
      <c r="P861" s="30">
        <f t="shared" ca="1" si="261"/>
        <v>4.5775661203809079</v>
      </c>
      <c r="Q861" s="30">
        <f t="shared" ca="1" si="261"/>
        <v>8.0970553143103743</v>
      </c>
      <c r="R861" s="30">
        <f t="shared" ca="1" si="261"/>
        <v>3.5705292446816266</v>
      </c>
      <c r="S861" s="30">
        <f t="shared" ca="1" si="261"/>
        <v>22.32888307891664</v>
      </c>
      <c r="T861" s="30">
        <f t="shared" ca="1" si="261"/>
        <v>6.2609484644845219</v>
      </c>
      <c r="U861" s="30">
        <f t="shared" ca="1" si="261"/>
        <v>31.214753157145186</v>
      </c>
      <c r="V861" s="30">
        <f t="shared" ca="1" si="261"/>
        <v>15.010660396454194</v>
      </c>
      <c r="W861" s="30">
        <f t="shared" ca="1" si="261"/>
        <v>10.167601438945887</v>
      </c>
      <c r="X861" s="30">
        <f t="shared" ca="1" si="261"/>
        <v>1.3988834653034119</v>
      </c>
      <c r="Y861" s="30">
        <f t="shared" ca="1" si="261"/>
        <v>12.163002240235986</v>
      </c>
      <c r="Z861" s="30">
        <f t="shared" ca="1" si="261"/>
        <v>0.27361985759489504</v>
      </c>
      <c r="AA861" s="26">
        <v>853</v>
      </c>
      <c r="AB861" s="31">
        <f t="shared" ca="1" si="259"/>
        <v>192</v>
      </c>
      <c r="AC861" s="31">
        <f t="shared" ca="1" si="248"/>
        <v>5</v>
      </c>
      <c r="AD861" s="31">
        <f t="shared" ca="1" si="249"/>
        <v>10</v>
      </c>
      <c r="AE861" s="31">
        <f t="shared" ca="1" si="250"/>
        <v>4</v>
      </c>
      <c r="AF861" s="31">
        <f t="shared" ca="1" si="251"/>
        <v>37</v>
      </c>
      <c r="AG861" s="31">
        <f t="shared" ca="1" si="252"/>
        <v>7</v>
      </c>
      <c r="AH861" s="31">
        <f t="shared" ca="1" si="253"/>
        <v>91</v>
      </c>
      <c r="AI861" s="31">
        <f t="shared" ca="1" si="254"/>
        <v>20</v>
      </c>
      <c r="AJ861" s="31">
        <f t="shared" ca="1" si="255"/>
        <v>12</v>
      </c>
      <c r="AK861" s="31">
        <f t="shared" ca="1" si="256"/>
        <v>2</v>
      </c>
      <c r="AL861" s="31">
        <f t="shared" ca="1" si="257"/>
        <v>15</v>
      </c>
      <c r="AM861" s="31">
        <f t="shared" ca="1" si="258"/>
        <v>1</v>
      </c>
    </row>
    <row r="862" spans="14:39">
      <c r="N862" s="26">
        <v>854</v>
      </c>
      <c r="O862" s="30">
        <f t="shared" ca="1" si="261"/>
        <v>14.156659459798512</v>
      </c>
      <c r="P862" s="30">
        <f t="shared" ca="1" si="261"/>
        <v>27.211930202763305</v>
      </c>
      <c r="Q862" s="30">
        <f t="shared" ca="1" si="261"/>
        <v>30.739575957561904</v>
      </c>
      <c r="R862" s="30">
        <f t="shared" ca="1" si="261"/>
        <v>28.643098114942358</v>
      </c>
      <c r="S862" s="30">
        <f t="shared" ca="1" si="261"/>
        <v>6.7984830775032252</v>
      </c>
      <c r="T862" s="30">
        <f t="shared" ca="1" si="261"/>
        <v>31.715493120981574</v>
      </c>
      <c r="U862" s="30">
        <f t="shared" ca="1" si="261"/>
        <v>29.459887506173501</v>
      </c>
      <c r="V862" s="30">
        <f t="shared" ca="1" si="261"/>
        <v>19.532722792999365</v>
      </c>
      <c r="W862" s="30">
        <f t="shared" ca="1" si="261"/>
        <v>21.44735078703863</v>
      </c>
      <c r="X862" s="30">
        <f t="shared" ca="1" si="261"/>
        <v>7.92231539727839</v>
      </c>
      <c r="Y862" s="30">
        <f t="shared" ca="1" si="261"/>
        <v>25.593188262159931</v>
      </c>
      <c r="Z862" s="30">
        <f t="shared" ca="1" si="261"/>
        <v>20.849973606000908</v>
      </c>
      <c r="AA862" s="26">
        <v>854</v>
      </c>
      <c r="AB862" s="31">
        <f t="shared" ca="1" si="259"/>
        <v>19</v>
      </c>
      <c r="AC862" s="31">
        <f t="shared" ca="1" si="248"/>
        <v>56</v>
      </c>
      <c r="AD862" s="31">
        <f t="shared" ca="1" si="249"/>
        <v>84</v>
      </c>
      <c r="AE862" s="31">
        <f t="shared" ca="1" si="250"/>
        <v>65</v>
      </c>
      <c r="AF862" s="31">
        <f t="shared" ca="1" si="251"/>
        <v>8</v>
      </c>
      <c r="AG862" s="31">
        <f t="shared" ca="1" si="252"/>
        <v>100</v>
      </c>
      <c r="AH862" s="31">
        <f t="shared" ca="1" si="253"/>
        <v>71</v>
      </c>
      <c r="AI862" s="31">
        <f t="shared" ca="1" si="254"/>
        <v>29</v>
      </c>
      <c r="AJ862" s="31">
        <f t="shared" ca="1" si="255"/>
        <v>34</v>
      </c>
      <c r="AK862" s="31">
        <f t="shared" ca="1" si="256"/>
        <v>9</v>
      </c>
      <c r="AL862" s="31">
        <f t="shared" ca="1" si="257"/>
        <v>48</v>
      </c>
      <c r="AM862" s="31">
        <f t="shared" ca="1" si="258"/>
        <v>33</v>
      </c>
    </row>
    <row r="863" spans="14:39">
      <c r="N863" s="26">
        <v>855</v>
      </c>
      <c r="O863" s="30">
        <f t="shared" ca="1" si="261"/>
        <v>32.128131013932204</v>
      </c>
      <c r="P863" s="30">
        <f t="shared" ca="1" si="261"/>
        <v>26.324602374723426</v>
      </c>
      <c r="Q863" s="30">
        <f t="shared" ca="1" si="261"/>
        <v>9.3517721651325552</v>
      </c>
      <c r="R863" s="30">
        <f t="shared" ca="1" si="261"/>
        <v>29.871999516677434</v>
      </c>
      <c r="S863" s="30">
        <f t="shared" ca="1" si="261"/>
        <v>9.4135736020290608</v>
      </c>
      <c r="T863" s="30">
        <f t="shared" ca="1" si="261"/>
        <v>9.4699525539095522</v>
      </c>
      <c r="U863" s="30">
        <f t="shared" ca="1" si="261"/>
        <v>6.5906346951179184</v>
      </c>
      <c r="V863" s="30">
        <f t="shared" ca="1" si="261"/>
        <v>12.110289272475413</v>
      </c>
      <c r="W863" s="30">
        <f t="shared" ca="1" si="261"/>
        <v>5.149917113508546</v>
      </c>
      <c r="X863" s="30">
        <f t="shared" ca="1" si="261"/>
        <v>26.731622479169843</v>
      </c>
      <c r="Y863" s="30">
        <f t="shared" ca="1" si="261"/>
        <v>8.1550973358827399</v>
      </c>
      <c r="Z863" s="30">
        <f t="shared" ca="1" si="261"/>
        <v>27.577930174198055</v>
      </c>
      <c r="AA863" s="26">
        <v>855</v>
      </c>
      <c r="AB863" s="31">
        <f t="shared" ca="1" si="259"/>
        <v>109</v>
      </c>
      <c r="AC863" s="31">
        <f t="shared" ca="1" si="248"/>
        <v>52</v>
      </c>
      <c r="AD863" s="31">
        <f t="shared" ca="1" si="249"/>
        <v>11</v>
      </c>
      <c r="AE863" s="31">
        <f t="shared" ca="1" si="250"/>
        <v>75</v>
      </c>
      <c r="AF863" s="31">
        <f t="shared" ca="1" si="251"/>
        <v>11</v>
      </c>
      <c r="AG863" s="31">
        <f t="shared" ca="1" si="252"/>
        <v>11</v>
      </c>
      <c r="AH863" s="31">
        <f t="shared" ca="1" si="253"/>
        <v>8</v>
      </c>
      <c r="AI863" s="31">
        <f t="shared" ca="1" si="254"/>
        <v>15</v>
      </c>
      <c r="AJ863" s="31">
        <f t="shared" ca="1" si="255"/>
        <v>6</v>
      </c>
      <c r="AK863" s="31">
        <f t="shared" ca="1" si="256"/>
        <v>54</v>
      </c>
      <c r="AL863" s="31">
        <f t="shared" ca="1" si="257"/>
        <v>10</v>
      </c>
      <c r="AM863" s="31">
        <f t="shared" ca="1" si="258"/>
        <v>58</v>
      </c>
    </row>
    <row r="864" spans="14:39">
      <c r="N864" s="26">
        <v>856</v>
      </c>
      <c r="O864" s="30">
        <f t="shared" ca="1" si="261"/>
        <v>2.3664279847259504</v>
      </c>
      <c r="P864" s="30">
        <f t="shared" ca="1" si="261"/>
        <v>21.939922987985554</v>
      </c>
      <c r="Q864" s="30">
        <f t="shared" ca="1" si="261"/>
        <v>31.309311991179761</v>
      </c>
      <c r="R864" s="30">
        <f t="shared" ca="1" si="261"/>
        <v>11.97798423729645</v>
      </c>
      <c r="S864" s="30">
        <f t="shared" ca="1" si="261"/>
        <v>22.520658343678747</v>
      </c>
      <c r="T864" s="30">
        <f t="shared" ca="1" si="261"/>
        <v>19.600122542402225</v>
      </c>
      <c r="U864" s="30">
        <f t="shared" ca="1" si="261"/>
        <v>15.660674474986909</v>
      </c>
      <c r="V864" s="30">
        <f t="shared" ca="1" si="261"/>
        <v>16.617333535676313</v>
      </c>
      <c r="W864" s="30">
        <f t="shared" ca="1" si="261"/>
        <v>12.878469565063419</v>
      </c>
      <c r="X864" s="30">
        <f t="shared" ca="1" si="261"/>
        <v>5.3155652061665091</v>
      </c>
      <c r="Y864" s="30">
        <f t="shared" ca="1" si="261"/>
        <v>5.5682919329905447</v>
      </c>
      <c r="Z864" s="30">
        <f t="shared" ca="1" si="261"/>
        <v>9.960503363715091</v>
      </c>
      <c r="AA864" s="26">
        <v>856</v>
      </c>
      <c r="AB864" s="31">
        <f t="shared" ca="1" si="259"/>
        <v>3</v>
      </c>
      <c r="AC864" s="31">
        <f t="shared" ca="1" si="248"/>
        <v>36</v>
      </c>
      <c r="AD864" s="31">
        <f t="shared" ca="1" si="249"/>
        <v>92</v>
      </c>
      <c r="AE864" s="31">
        <f t="shared" ca="1" si="250"/>
        <v>15</v>
      </c>
      <c r="AF864" s="31">
        <f t="shared" ca="1" si="251"/>
        <v>37</v>
      </c>
      <c r="AG864" s="31">
        <f t="shared" ca="1" si="252"/>
        <v>30</v>
      </c>
      <c r="AH864" s="31">
        <f t="shared" ca="1" si="253"/>
        <v>21</v>
      </c>
      <c r="AI864" s="31">
        <f t="shared" ca="1" si="254"/>
        <v>23</v>
      </c>
      <c r="AJ864" s="31">
        <f t="shared" ca="1" si="255"/>
        <v>17</v>
      </c>
      <c r="AK864" s="31">
        <f t="shared" ca="1" si="256"/>
        <v>6</v>
      </c>
      <c r="AL864" s="31">
        <f t="shared" ca="1" si="257"/>
        <v>7</v>
      </c>
      <c r="AM864" s="31">
        <f t="shared" ca="1" si="258"/>
        <v>12</v>
      </c>
    </row>
    <row r="865" spans="14:39">
      <c r="N865" s="26">
        <v>857</v>
      </c>
      <c r="O865" s="30">
        <f t="shared" ca="1" si="261"/>
        <v>22.659744985671761</v>
      </c>
      <c r="P865" s="30">
        <f t="shared" ca="1" si="261"/>
        <v>7.8673882672822666</v>
      </c>
      <c r="Q865" s="30">
        <f t="shared" ca="1" si="261"/>
        <v>1.4446772277447304</v>
      </c>
      <c r="R865" s="30">
        <f t="shared" ca="1" si="261"/>
        <v>25.37985006238296</v>
      </c>
      <c r="S865" s="30">
        <f t="shared" ca="1" si="261"/>
        <v>23.014172906450572</v>
      </c>
      <c r="T865" s="30">
        <f t="shared" ca="1" si="261"/>
        <v>6.747786582307663</v>
      </c>
      <c r="U865" s="30">
        <f t="shared" ca="1" si="261"/>
        <v>14.702750233375278</v>
      </c>
      <c r="V865" s="30">
        <f t="shared" ca="1" si="261"/>
        <v>5.5784613573483668</v>
      </c>
      <c r="W865" s="30">
        <f t="shared" ca="1" si="261"/>
        <v>21.876363300834271</v>
      </c>
      <c r="X865" s="30">
        <f t="shared" ca="1" si="261"/>
        <v>28.33717003375309</v>
      </c>
      <c r="Y865" s="30">
        <f t="shared" ca="1" si="261"/>
        <v>6.2503006024217145</v>
      </c>
      <c r="Z865" s="30">
        <f t="shared" ca="1" si="261"/>
        <v>13.453622612459304</v>
      </c>
      <c r="AA865" s="26">
        <v>857</v>
      </c>
      <c r="AB865" s="31">
        <f t="shared" ca="1" si="259"/>
        <v>38</v>
      </c>
      <c r="AC865" s="31">
        <f t="shared" ca="1" si="248"/>
        <v>9</v>
      </c>
      <c r="AD865" s="31">
        <f t="shared" ca="1" si="249"/>
        <v>2</v>
      </c>
      <c r="AE865" s="31">
        <f t="shared" ca="1" si="250"/>
        <v>48</v>
      </c>
      <c r="AF865" s="31">
        <f t="shared" ca="1" si="251"/>
        <v>39</v>
      </c>
      <c r="AG865" s="31">
        <f t="shared" ca="1" si="252"/>
        <v>8</v>
      </c>
      <c r="AH865" s="31">
        <f t="shared" ca="1" si="253"/>
        <v>20</v>
      </c>
      <c r="AI865" s="31">
        <f t="shared" ca="1" si="254"/>
        <v>7</v>
      </c>
      <c r="AJ865" s="31">
        <f t="shared" ca="1" si="255"/>
        <v>36</v>
      </c>
      <c r="AK865" s="31">
        <f t="shared" ca="1" si="256"/>
        <v>63</v>
      </c>
      <c r="AL865" s="31">
        <f t="shared" ca="1" si="257"/>
        <v>7</v>
      </c>
      <c r="AM865" s="31">
        <f t="shared" ca="1" si="258"/>
        <v>17</v>
      </c>
    </row>
    <row r="866" spans="14:39">
      <c r="N866" s="26">
        <v>858</v>
      </c>
      <c r="O866" s="30">
        <f t="shared" ca="1" si="261"/>
        <v>16.109029146691206</v>
      </c>
      <c r="P866" s="30">
        <f t="shared" ca="1" si="261"/>
        <v>1.4423535232007021</v>
      </c>
      <c r="Q866" s="30">
        <f t="shared" ca="1" si="261"/>
        <v>24.602260813997397</v>
      </c>
      <c r="R866" s="30">
        <f t="shared" ca="1" si="261"/>
        <v>10.99213990946971</v>
      </c>
      <c r="S866" s="30">
        <f t="shared" ca="1" si="261"/>
        <v>18.113732762056738</v>
      </c>
      <c r="T866" s="30">
        <f t="shared" ca="1" si="261"/>
        <v>5.2598895686775302</v>
      </c>
      <c r="U866" s="30">
        <f t="shared" ca="1" si="261"/>
        <v>11.765721361116038</v>
      </c>
      <c r="V866" s="30">
        <f t="shared" ca="1" si="261"/>
        <v>29.462251276181004</v>
      </c>
      <c r="W866" s="30">
        <f t="shared" ca="1" si="261"/>
        <v>29.382946071538932</v>
      </c>
      <c r="X866" s="30">
        <f t="shared" ca="1" si="261"/>
        <v>8.9917906790410811</v>
      </c>
      <c r="Y866" s="30">
        <f t="shared" ca="1" si="261"/>
        <v>0.5925180135658954</v>
      </c>
      <c r="Z866" s="30">
        <f t="shared" ca="1" si="261"/>
        <v>33.238609031559015</v>
      </c>
      <c r="AA866" s="26">
        <v>858</v>
      </c>
      <c r="AB866" s="31">
        <f t="shared" ca="1" si="259"/>
        <v>22</v>
      </c>
      <c r="AC866" s="31">
        <f t="shared" ca="1" si="248"/>
        <v>2</v>
      </c>
      <c r="AD866" s="31">
        <f t="shared" ca="1" si="249"/>
        <v>44</v>
      </c>
      <c r="AE866" s="31">
        <f t="shared" ca="1" si="250"/>
        <v>14</v>
      </c>
      <c r="AF866" s="31">
        <f t="shared" ca="1" si="251"/>
        <v>26</v>
      </c>
      <c r="AG866" s="31">
        <f t="shared" ca="1" si="252"/>
        <v>6</v>
      </c>
      <c r="AH866" s="31">
        <f t="shared" ca="1" si="253"/>
        <v>15</v>
      </c>
      <c r="AI866" s="31">
        <f t="shared" ca="1" si="254"/>
        <v>71</v>
      </c>
      <c r="AJ866" s="31">
        <f t="shared" ca="1" si="255"/>
        <v>71</v>
      </c>
      <c r="AK866" s="31">
        <f t="shared" ca="1" si="256"/>
        <v>11</v>
      </c>
      <c r="AL866" s="31">
        <f t="shared" ca="1" si="257"/>
        <v>1</v>
      </c>
      <c r="AM866" s="31">
        <f t="shared" ca="1" si="258"/>
        <v>193</v>
      </c>
    </row>
    <row r="867" spans="14:39">
      <c r="N867" s="26">
        <v>859</v>
      </c>
      <c r="O867" s="30">
        <f t="shared" ca="1" si="261"/>
        <v>26.18789404590898</v>
      </c>
      <c r="P867" s="30">
        <f t="shared" ca="1" si="261"/>
        <v>17.167991727684619</v>
      </c>
      <c r="Q867" s="30">
        <f t="shared" ca="1" si="261"/>
        <v>31.729187214484583</v>
      </c>
      <c r="R867" s="30">
        <f t="shared" ca="1" si="261"/>
        <v>9.7874121147144653</v>
      </c>
      <c r="S867" s="30">
        <f t="shared" ca="1" si="261"/>
        <v>28.746223215863424</v>
      </c>
      <c r="T867" s="30">
        <f t="shared" ca="1" si="261"/>
        <v>22.980531909122139</v>
      </c>
      <c r="U867" s="30">
        <f t="shared" ca="1" si="261"/>
        <v>26.880418039548882</v>
      </c>
      <c r="V867" s="30">
        <f t="shared" ca="1" si="261"/>
        <v>3.0241097222725295</v>
      </c>
      <c r="W867" s="30">
        <f t="shared" ca="1" si="261"/>
        <v>29.861850099063087</v>
      </c>
      <c r="X867" s="30">
        <f t="shared" ca="1" si="261"/>
        <v>22.297308378643901</v>
      </c>
      <c r="Y867" s="30">
        <f t="shared" ca="1" si="261"/>
        <v>7.0179183836709864</v>
      </c>
      <c r="Z867" s="30">
        <f t="shared" ca="1" si="261"/>
        <v>21.402252626421021</v>
      </c>
      <c r="AA867" s="26">
        <v>859</v>
      </c>
      <c r="AB867" s="31">
        <f t="shared" ca="1" si="259"/>
        <v>51</v>
      </c>
      <c r="AC867" s="31">
        <f t="shared" ca="1" si="248"/>
        <v>24</v>
      </c>
      <c r="AD867" s="31">
        <f t="shared" ca="1" si="249"/>
        <v>100</v>
      </c>
      <c r="AE867" s="31">
        <f t="shared" ca="1" si="250"/>
        <v>12</v>
      </c>
      <c r="AF867" s="31">
        <f t="shared" ca="1" si="251"/>
        <v>66</v>
      </c>
      <c r="AG867" s="31">
        <f t="shared" ca="1" si="252"/>
        <v>39</v>
      </c>
      <c r="AH867" s="31">
        <f t="shared" ca="1" si="253"/>
        <v>54</v>
      </c>
      <c r="AI867" s="31">
        <f t="shared" ca="1" si="254"/>
        <v>4</v>
      </c>
      <c r="AJ867" s="31">
        <f t="shared" ca="1" si="255"/>
        <v>75</v>
      </c>
      <c r="AK867" s="31">
        <f t="shared" ca="1" si="256"/>
        <v>37</v>
      </c>
      <c r="AL867" s="31">
        <f t="shared" ca="1" si="257"/>
        <v>8</v>
      </c>
      <c r="AM867" s="31">
        <f t="shared" ca="1" si="258"/>
        <v>34</v>
      </c>
    </row>
    <row r="868" spans="14:39">
      <c r="N868" s="26">
        <v>860</v>
      </c>
      <c r="O868" s="30">
        <f t="shared" ca="1" si="261"/>
        <v>17.176867413275644</v>
      </c>
      <c r="P868" s="30">
        <f t="shared" ca="1" si="261"/>
        <v>10.481996887652992</v>
      </c>
      <c r="Q868" s="30">
        <f t="shared" ca="1" si="261"/>
        <v>32.063526356588241</v>
      </c>
      <c r="R868" s="30">
        <f t="shared" ca="1" si="261"/>
        <v>24.736443416307399</v>
      </c>
      <c r="S868" s="30">
        <f t="shared" ca="1" si="261"/>
        <v>25.314832423127569</v>
      </c>
      <c r="T868" s="30">
        <f t="shared" ca="1" si="261"/>
        <v>27.190535051241199</v>
      </c>
      <c r="U868" s="30">
        <f t="shared" ca="1" si="261"/>
        <v>30.289405696484046</v>
      </c>
      <c r="V868" s="30">
        <f t="shared" ca="1" si="261"/>
        <v>10.745674682184701</v>
      </c>
      <c r="W868" s="30">
        <f t="shared" ca="1" si="261"/>
        <v>6.5731805203229277</v>
      </c>
      <c r="X868" s="30">
        <f t="shared" ca="1" si="261"/>
        <v>22.012911396736506</v>
      </c>
      <c r="Y868" s="30">
        <f t="shared" ca="1" si="261"/>
        <v>25.436530435000023</v>
      </c>
      <c r="Z868" s="30">
        <f t="shared" ca="1" si="261"/>
        <v>7.4858054099143398</v>
      </c>
      <c r="AA868" s="26">
        <v>860</v>
      </c>
      <c r="AB868" s="31">
        <f t="shared" ca="1" si="259"/>
        <v>24</v>
      </c>
      <c r="AC868" s="31">
        <f t="shared" ca="1" si="248"/>
        <v>13</v>
      </c>
      <c r="AD868" s="31">
        <f t="shared" ca="1" si="249"/>
        <v>108</v>
      </c>
      <c r="AE868" s="31">
        <f t="shared" ca="1" si="250"/>
        <v>45</v>
      </c>
      <c r="AF868" s="31">
        <f t="shared" ca="1" si="251"/>
        <v>47</v>
      </c>
      <c r="AG868" s="31">
        <f t="shared" ca="1" si="252"/>
        <v>56</v>
      </c>
      <c r="AH868" s="31">
        <f t="shared" ca="1" si="253"/>
        <v>79</v>
      </c>
      <c r="AI868" s="31">
        <f t="shared" ca="1" si="254"/>
        <v>13</v>
      </c>
      <c r="AJ868" s="31">
        <f t="shared" ca="1" si="255"/>
        <v>8</v>
      </c>
      <c r="AK868" s="31">
        <f t="shared" ca="1" si="256"/>
        <v>36</v>
      </c>
      <c r="AL868" s="31">
        <f t="shared" ca="1" si="257"/>
        <v>48</v>
      </c>
      <c r="AM868" s="31">
        <f t="shared" ca="1" si="258"/>
        <v>9</v>
      </c>
    </row>
    <row r="869" spans="14:39">
      <c r="N869" s="26">
        <v>861</v>
      </c>
      <c r="O869" s="30">
        <f t="shared" ref="O869:Z878" ca="1" si="262">RAND()*sumweights</f>
        <v>32.18135192758097</v>
      </c>
      <c r="P869" s="30">
        <f t="shared" ca="1" si="262"/>
        <v>8.6656483994805011</v>
      </c>
      <c r="Q869" s="30">
        <f t="shared" ca="1" si="262"/>
        <v>19.62733668131429</v>
      </c>
      <c r="R869" s="30">
        <f t="shared" ca="1" si="262"/>
        <v>13.305013729234872</v>
      </c>
      <c r="S869" s="30">
        <f t="shared" ca="1" si="262"/>
        <v>14.947992112212448</v>
      </c>
      <c r="T869" s="30">
        <f t="shared" ca="1" si="262"/>
        <v>13.215349792902581</v>
      </c>
      <c r="U869" s="30">
        <f t="shared" ca="1" si="262"/>
        <v>3.8393459128063521</v>
      </c>
      <c r="V869" s="30">
        <f t="shared" ca="1" si="262"/>
        <v>23.745827927195528</v>
      </c>
      <c r="W869" s="30">
        <f t="shared" ca="1" si="262"/>
        <v>31.160891682894416</v>
      </c>
      <c r="X869" s="30">
        <f t="shared" ca="1" si="262"/>
        <v>9.7827245888522008</v>
      </c>
      <c r="Y869" s="30">
        <f t="shared" ca="1" si="262"/>
        <v>8.802825868565705</v>
      </c>
      <c r="Z869" s="30">
        <f t="shared" ca="1" si="262"/>
        <v>7.7820561670620174</v>
      </c>
      <c r="AA869" s="26">
        <v>861</v>
      </c>
      <c r="AB869" s="31">
        <f t="shared" ca="1" si="259"/>
        <v>111</v>
      </c>
      <c r="AC869" s="31">
        <f t="shared" ca="1" si="248"/>
        <v>10</v>
      </c>
      <c r="AD869" s="31">
        <f t="shared" ca="1" si="249"/>
        <v>30</v>
      </c>
      <c r="AE869" s="31">
        <f t="shared" ca="1" si="250"/>
        <v>17</v>
      </c>
      <c r="AF869" s="31">
        <f t="shared" ca="1" si="251"/>
        <v>20</v>
      </c>
      <c r="AG869" s="31">
        <f t="shared" ca="1" si="252"/>
        <v>17</v>
      </c>
      <c r="AH869" s="31">
        <f t="shared" ca="1" si="253"/>
        <v>5</v>
      </c>
      <c r="AI869" s="31">
        <f t="shared" ca="1" si="254"/>
        <v>41</v>
      </c>
      <c r="AJ869" s="31">
        <f t="shared" ca="1" si="255"/>
        <v>90</v>
      </c>
      <c r="AK869" s="31">
        <f t="shared" ca="1" si="256"/>
        <v>12</v>
      </c>
      <c r="AL869" s="31">
        <f t="shared" ca="1" si="257"/>
        <v>11</v>
      </c>
      <c r="AM869" s="31">
        <f t="shared" ca="1" si="258"/>
        <v>9</v>
      </c>
    </row>
    <row r="870" spans="14:39">
      <c r="N870" s="26">
        <v>862</v>
      </c>
      <c r="O870" s="30">
        <f t="shared" ca="1" si="262"/>
        <v>16.386902652955609</v>
      </c>
      <c r="P870" s="30">
        <f t="shared" ca="1" si="262"/>
        <v>7.0271683301433461</v>
      </c>
      <c r="Q870" s="30">
        <f t="shared" ca="1" si="262"/>
        <v>15.440746253788586</v>
      </c>
      <c r="R870" s="30">
        <f t="shared" ca="1" si="262"/>
        <v>19.586950071921908</v>
      </c>
      <c r="S870" s="30">
        <f t="shared" ca="1" si="262"/>
        <v>9.6017047036435059</v>
      </c>
      <c r="T870" s="30">
        <f t="shared" ca="1" si="262"/>
        <v>14.867900250194889</v>
      </c>
      <c r="U870" s="30">
        <f t="shared" ca="1" si="262"/>
        <v>19.837809034062342</v>
      </c>
      <c r="V870" s="30">
        <f t="shared" ca="1" si="262"/>
        <v>20.325991036690013</v>
      </c>
      <c r="W870" s="30">
        <f t="shared" ca="1" si="262"/>
        <v>14.180804985145548</v>
      </c>
      <c r="X870" s="30">
        <f t="shared" ca="1" si="262"/>
        <v>16.988768184013868</v>
      </c>
      <c r="Y870" s="30">
        <f t="shared" ca="1" si="262"/>
        <v>2.8808720324467614</v>
      </c>
      <c r="Z870" s="30">
        <f t="shared" ca="1" si="262"/>
        <v>33.08272216987757</v>
      </c>
      <c r="AA870" s="26">
        <v>862</v>
      </c>
      <c r="AB870" s="31">
        <f t="shared" ca="1" si="259"/>
        <v>23</v>
      </c>
      <c r="AC870" s="31">
        <f t="shared" ca="1" si="248"/>
        <v>8</v>
      </c>
      <c r="AD870" s="31">
        <f t="shared" ca="1" si="249"/>
        <v>21</v>
      </c>
      <c r="AE870" s="31">
        <f t="shared" ca="1" si="250"/>
        <v>30</v>
      </c>
      <c r="AF870" s="31">
        <f t="shared" ca="1" si="251"/>
        <v>12</v>
      </c>
      <c r="AG870" s="31">
        <f t="shared" ca="1" si="252"/>
        <v>20</v>
      </c>
      <c r="AH870" s="31">
        <f t="shared" ca="1" si="253"/>
        <v>30</v>
      </c>
      <c r="AI870" s="31">
        <f t="shared" ca="1" si="254"/>
        <v>31</v>
      </c>
      <c r="AJ870" s="31">
        <f t="shared" ca="1" si="255"/>
        <v>19</v>
      </c>
      <c r="AK870" s="31">
        <f t="shared" ca="1" si="256"/>
        <v>24</v>
      </c>
      <c r="AL870" s="31">
        <f t="shared" ca="1" si="257"/>
        <v>3</v>
      </c>
      <c r="AM870" s="31">
        <f t="shared" ca="1" si="258"/>
        <v>161</v>
      </c>
    </row>
    <row r="871" spans="14:39">
      <c r="N871" s="26">
        <v>863</v>
      </c>
      <c r="O871" s="30">
        <f t="shared" ca="1" si="262"/>
        <v>32.485106307874261</v>
      </c>
      <c r="P871" s="30">
        <f t="shared" ca="1" si="262"/>
        <v>19.71723918632058</v>
      </c>
      <c r="Q871" s="30">
        <f t="shared" ca="1" si="262"/>
        <v>11.536118006009184</v>
      </c>
      <c r="R871" s="30">
        <f t="shared" ca="1" si="262"/>
        <v>6.9516676737392329</v>
      </c>
      <c r="S871" s="30">
        <f t="shared" ca="1" si="262"/>
        <v>3.8126601072196307</v>
      </c>
      <c r="T871" s="30">
        <f t="shared" ca="1" si="262"/>
        <v>19.296069240412386</v>
      </c>
      <c r="U871" s="30">
        <f t="shared" ca="1" si="262"/>
        <v>29.851927666598435</v>
      </c>
      <c r="V871" s="30">
        <f t="shared" ca="1" si="262"/>
        <v>18.213843725866521</v>
      </c>
      <c r="W871" s="30">
        <f t="shared" ca="1" si="262"/>
        <v>29.352884016819072</v>
      </c>
      <c r="X871" s="30">
        <f t="shared" ca="1" si="262"/>
        <v>22.779216169613925</v>
      </c>
      <c r="Y871" s="30">
        <f t="shared" ca="1" si="262"/>
        <v>25.450738008195295</v>
      </c>
      <c r="Z871" s="30">
        <f t="shared" ca="1" si="262"/>
        <v>19.09504626120199</v>
      </c>
      <c r="AA871" s="26">
        <v>863</v>
      </c>
      <c r="AB871" s="31">
        <f t="shared" ca="1" si="259"/>
        <v>121</v>
      </c>
      <c r="AC871" s="31">
        <f t="shared" ca="1" si="248"/>
        <v>30</v>
      </c>
      <c r="AD871" s="31">
        <f t="shared" ca="1" si="249"/>
        <v>14</v>
      </c>
      <c r="AE871" s="31">
        <f t="shared" ca="1" si="250"/>
        <v>8</v>
      </c>
      <c r="AF871" s="31">
        <f t="shared" ca="1" si="251"/>
        <v>4</v>
      </c>
      <c r="AG871" s="31">
        <f t="shared" ca="1" si="252"/>
        <v>29</v>
      </c>
      <c r="AH871" s="31">
        <f t="shared" ca="1" si="253"/>
        <v>75</v>
      </c>
      <c r="AI871" s="31">
        <f t="shared" ca="1" si="254"/>
        <v>26</v>
      </c>
      <c r="AJ871" s="31">
        <f t="shared" ca="1" si="255"/>
        <v>70</v>
      </c>
      <c r="AK871" s="31">
        <f t="shared" ca="1" si="256"/>
        <v>38</v>
      </c>
      <c r="AL871" s="31">
        <f t="shared" ca="1" si="257"/>
        <v>48</v>
      </c>
      <c r="AM871" s="31">
        <f t="shared" ca="1" si="258"/>
        <v>28</v>
      </c>
    </row>
    <row r="872" spans="14:39">
      <c r="N872" s="26">
        <v>864</v>
      </c>
      <c r="O872" s="30">
        <f t="shared" ca="1" si="262"/>
        <v>18.118669796976853</v>
      </c>
      <c r="P872" s="30">
        <f t="shared" ca="1" si="262"/>
        <v>6.0705251349326987</v>
      </c>
      <c r="Q872" s="30">
        <f t="shared" ca="1" si="262"/>
        <v>15.467578056078612</v>
      </c>
      <c r="R872" s="30">
        <f t="shared" ca="1" si="262"/>
        <v>31.58957249952843</v>
      </c>
      <c r="S872" s="30">
        <f t="shared" ca="1" si="262"/>
        <v>7.3163495407852785</v>
      </c>
      <c r="T872" s="30">
        <f t="shared" ca="1" si="262"/>
        <v>8.8490465030182133</v>
      </c>
      <c r="U872" s="30">
        <f t="shared" ca="1" si="262"/>
        <v>28.912857679055321</v>
      </c>
      <c r="V872" s="30">
        <f t="shared" ca="1" si="262"/>
        <v>30.006428958295047</v>
      </c>
      <c r="W872" s="30">
        <f t="shared" ca="1" si="262"/>
        <v>8.1834151121179559</v>
      </c>
      <c r="X872" s="30">
        <f t="shared" ca="1" si="262"/>
        <v>23.644787013339268</v>
      </c>
      <c r="Y872" s="30">
        <f t="shared" ca="1" si="262"/>
        <v>14.584621788136054</v>
      </c>
      <c r="Z872" s="30">
        <f t="shared" ca="1" si="262"/>
        <v>7.6868740706172414</v>
      </c>
      <c r="AA872" s="26">
        <v>864</v>
      </c>
      <c r="AB872" s="31">
        <f t="shared" ca="1" si="259"/>
        <v>26</v>
      </c>
      <c r="AC872" s="31">
        <f t="shared" ca="1" si="248"/>
        <v>7</v>
      </c>
      <c r="AD872" s="31">
        <f t="shared" ca="1" si="249"/>
        <v>21</v>
      </c>
      <c r="AE872" s="31">
        <f t="shared" ca="1" si="250"/>
        <v>97</v>
      </c>
      <c r="AF872" s="31">
        <f t="shared" ca="1" si="251"/>
        <v>9</v>
      </c>
      <c r="AG872" s="31">
        <f t="shared" ca="1" si="252"/>
        <v>11</v>
      </c>
      <c r="AH872" s="31">
        <f t="shared" ca="1" si="253"/>
        <v>67</v>
      </c>
      <c r="AI872" s="31">
        <f t="shared" ca="1" si="254"/>
        <v>76</v>
      </c>
      <c r="AJ872" s="31">
        <f t="shared" ca="1" si="255"/>
        <v>10</v>
      </c>
      <c r="AK872" s="31">
        <f t="shared" ca="1" si="256"/>
        <v>41</v>
      </c>
      <c r="AL872" s="31">
        <f t="shared" ca="1" si="257"/>
        <v>19</v>
      </c>
      <c r="AM872" s="31">
        <f t="shared" ca="1" si="258"/>
        <v>9</v>
      </c>
    </row>
    <row r="873" spans="14:39">
      <c r="N873" s="26">
        <v>865</v>
      </c>
      <c r="O873" s="30">
        <f t="shared" ca="1" si="262"/>
        <v>0.51228548486367087</v>
      </c>
      <c r="P873" s="30">
        <f t="shared" ca="1" si="262"/>
        <v>19.742565655287425</v>
      </c>
      <c r="Q873" s="30">
        <f t="shared" ca="1" si="262"/>
        <v>32.984812457058901</v>
      </c>
      <c r="R873" s="30">
        <f t="shared" ca="1" si="262"/>
        <v>18.608904028120779</v>
      </c>
      <c r="S873" s="30">
        <f t="shared" ca="1" si="262"/>
        <v>5.1577793905342846</v>
      </c>
      <c r="T873" s="30">
        <f t="shared" ca="1" si="262"/>
        <v>21.757169202530303</v>
      </c>
      <c r="U873" s="30">
        <f t="shared" ca="1" si="262"/>
        <v>30.254980428795005</v>
      </c>
      <c r="V873" s="30">
        <f t="shared" ca="1" si="262"/>
        <v>13.786027929244648</v>
      </c>
      <c r="W873" s="30">
        <f t="shared" ca="1" si="262"/>
        <v>26.515332360704289</v>
      </c>
      <c r="X873" s="30">
        <f t="shared" ca="1" si="262"/>
        <v>6.2828487178952797</v>
      </c>
      <c r="Y873" s="30">
        <f t="shared" ca="1" si="262"/>
        <v>8.474902919085606</v>
      </c>
      <c r="Z873" s="30">
        <f t="shared" ca="1" si="262"/>
        <v>4.8425940953152224</v>
      </c>
      <c r="AA873" s="26">
        <v>865</v>
      </c>
      <c r="AB873" s="31">
        <f t="shared" ca="1" si="259"/>
        <v>1</v>
      </c>
      <c r="AC873" s="31">
        <f t="shared" ca="1" si="248"/>
        <v>30</v>
      </c>
      <c r="AD873" s="31">
        <f t="shared" ca="1" si="249"/>
        <v>150</v>
      </c>
      <c r="AE873" s="31">
        <f t="shared" ca="1" si="250"/>
        <v>27</v>
      </c>
      <c r="AF873" s="31">
        <f t="shared" ca="1" si="251"/>
        <v>6</v>
      </c>
      <c r="AG873" s="31">
        <f t="shared" ca="1" si="252"/>
        <v>35</v>
      </c>
      <c r="AH873" s="31">
        <f t="shared" ca="1" si="253"/>
        <v>79</v>
      </c>
      <c r="AI873" s="31">
        <f t="shared" ca="1" si="254"/>
        <v>18</v>
      </c>
      <c r="AJ873" s="31">
        <f t="shared" ca="1" si="255"/>
        <v>53</v>
      </c>
      <c r="AK873" s="31">
        <f t="shared" ca="1" si="256"/>
        <v>7</v>
      </c>
      <c r="AL873" s="31">
        <f t="shared" ca="1" si="257"/>
        <v>10</v>
      </c>
      <c r="AM873" s="31">
        <f t="shared" ca="1" si="258"/>
        <v>6</v>
      </c>
    </row>
    <row r="874" spans="14:39">
      <c r="N874" s="26">
        <v>866</v>
      </c>
      <c r="O874" s="30">
        <f t="shared" ca="1" si="262"/>
        <v>2.7164502548374667</v>
      </c>
      <c r="P874" s="30">
        <f t="shared" ca="1" si="262"/>
        <v>19.086884976626074</v>
      </c>
      <c r="Q874" s="30">
        <f t="shared" ca="1" si="262"/>
        <v>3.4240997110648324</v>
      </c>
      <c r="R874" s="30">
        <f t="shared" ca="1" si="262"/>
        <v>26.673988411306574</v>
      </c>
      <c r="S874" s="30">
        <f t="shared" ca="1" si="262"/>
        <v>9.9118238874276727</v>
      </c>
      <c r="T874" s="30">
        <f t="shared" ca="1" si="262"/>
        <v>31.453772811043212</v>
      </c>
      <c r="U874" s="30">
        <f t="shared" ca="1" si="262"/>
        <v>19.97855480304565</v>
      </c>
      <c r="V874" s="30">
        <f t="shared" ca="1" si="262"/>
        <v>17.457575548919245</v>
      </c>
      <c r="W874" s="30">
        <f t="shared" ca="1" si="262"/>
        <v>30.1637822794792</v>
      </c>
      <c r="X874" s="30">
        <f t="shared" ca="1" si="262"/>
        <v>9.3854228222355971</v>
      </c>
      <c r="Y874" s="30">
        <f t="shared" ca="1" si="262"/>
        <v>26.060892106044875</v>
      </c>
      <c r="Z874" s="30">
        <f t="shared" ca="1" si="262"/>
        <v>26.512712361305475</v>
      </c>
      <c r="AA874" s="26">
        <v>866</v>
      </c>
      <c r="AB874" s="31">
        <f t="shared" ca="1" si="259"/>
        <v>3</v>
      </c>
      <c r="AC874" s="31">
        <f t="shared" ca="1" si="248"/>
        <v>28</v>
      </c>
      <c r="AD874" s="31">
        <f t="shared" ca="1" si="249"/>
        <v>4</v>
      </c>
      <c r="AE874" s="31">
        <f t="shared" ca="1" si="250"/>
        <v>53</v>
      </c>
      <c r="AF874" s="31">
        <f t="shared" ca="1" si="251"/>
        <v>12</v>
      </c>
      <c r="AG874" s="31">
        <f t="shared" ca="1" si="252"/>
        <v>95</v>
      </c>
      <c r="AH874" s="31">
        <f t="shared" ca="1" si="253"/>
        <v>31</v>
      </c>
      <c r="AI874" s="31">
        <f t="shared" ca="1" si="254"/>
        <v>25</v>
      </c>
      <c r="AJ874" s="31">
        <f t="shared" ca="1" si="255"/>
        <v>78</v>
      </c>
      <c r="AK874" s="31">
        <f t="shared" ca="1" si="256"/>
        <v>11</v>
      </c>
      <c r="AL874" s="31">
        <f t="shared" ca="1" si="257"/>
        <v>50</v>
      </c>
      <c r="AM874" s="31">
        <f t="shared" ca="1" si="258"/>
        <v>53</v>
      </c>
    </row>
    <row r="875" spans="14:39">
      <c r="N875" s="26">
        <v>867</v>
      </c>
      <c r="O875" s="30">
        <f t="shared" ca="1" si="262"/>
        <v>14.184414652567328</v>
      </c>
      <c r="P875" s="30">
        <f t="shared" ca="1" si="262"/>
        <v>9.6876104515897676</v>
      </c>
      <c r="Q875" s="30">
        <f t="shared" ca="1" si="262"/>
        <v>23.888234648331224</v>
      </c>
      <c r="R875" s="30">
        <f t="shared" ca="1" si="262"/>
        <v>32.119667549642145</v>
      </c>
      <c r="S875" s="30">
        <f t="shared" ca="1" si="262"/>
        <v>11.299732865095583</v>
      </c>
      <c r="T875" s="30">
        <f t="shared" ca="1" si="262"/>
        <v>3.2050900155904913</v>
      </c>
      <c r="U875" s="30">
        <f t="shared" ca="1" si="262"/>
        <v>0.21912586587242816</v>
      </c>
      <c r="V875" s="30">
        <f t="shared" ca="1" si="262"/>
        <v>19.156332306530665</v>
      </c>
      <c r="W875" s="30">
        <f t="shared" ca="1" si="262"/>
        <v>12.54603828863201</v>
      </c>
      <c r="X875" s="30">
        <f t="shared" ca="1" si="262"/>
        <v>26.278967961460115</v>
      </c>
      <c r="Y875" s="30">
        <f t="shared" ca="1" si="262"/>
        <v>11.661668804672443</v>
      </c>
      <c r="Z875" s="30">
        <f t="shared" ca="1" si="262"/>
        <v>5.9187122440956772</v>
      </c>
      <c r="AA875" s="26">
        <v>867</v>
      </c>
      <c r="AB875" s="31">
        <f t="shared" ca="1" si="259"/>
        <v>19</v>
      </c>
      <c r="AC875" s="31">
        <f t="shared" ca="1" si="248"/>
        <v>12</v>
      </c>
      <c r="AD875" s="31">
        <f t="shared" ca="1" si="249"/>
        <v>42</v>
      </c>
      <c r="AE875" s="31">
        <f t="shared" ca="1" si="250"/>
        <v>109</v>
      </c>
      <c r="AF875" s="31">
        <f t="shared" ca="1" si="251"/>
        <v>14</v>
      </c>
      <c r="AG875" s="31">
        <f t="shared" ca="1" si="252"/>
        <v>4</v>
      </c>
      <c r="AH875" s="31">
        <f t="shared" ca="1" si="253"/>
        <v>1</v>
      </c>
      <c r="AI875" s="31">
        <f t="shared" ca="1" si="254"/>
        <v>29</v>
      </c>
      <c r="AJ875" s="31">
        <f t="shared" ca="1" si="255"/>
        <v>16</v>
      </c>
      <c r="AK875" s="31">
        <f t="shared" ca="1" si="256"/>
        <v>51</v>
      </c>
      <c r="AL875" s="31">
        <f t="shared" ca="1" si="257"/>
        <v>15</v>
      </c>
      <c r="AM875" s="31">
        <f t="shared" ca="1" si="258"/>
        <v>7</v>
      </c>
    </row>
    <row r="876" spans="14:39">
      <c r="N876" s="26">
        <v>868</v>
      </c>
      <c r="O876" s="30">
        <f t="shared" ca="1" si="262"/>
        <v>25.883371465877456</v>
      </c>
      <c r="P876" s="30">
        <f t="shared" ca="1" si="262"/>
        <v>9.197214062364365</v>
      </c>
      <c r="Q876" s="30">
        <f t="shared" ca="1" si="262"/>
        <v>12.641439852459955</v>
      </c>
      <c r="R876" s="30">
        <f t="shared" ca="1" si="262"/>
        <v>6.8866080086203247</v>
      </c>
      <c r="S876" s="30">
        <f t="shared" ca="1" si="262"/>
        <v>21.368501829559513</v>
      </c>
      <c r="T876" s="30">
        <f t="shared" ca="1" si="262"/>
        <v>4.0617225169499651</v>
      </c>
      <c r="U876" s="30">
        <f t="shared" ca="1" si="262"/>
        <v>3.100130856350694</v>
      </c>
      <c r="V876" s="30">
        <f t="shared" ca="1" si="262"/>
        <v>0.13247200715304328</v>
      </c>
      <c r="W876" s="30">
        <f t="shared" ca="1" si="262"/>
        <v>30.254308140473984</v>
      </c>
      <c r="X876" s="30">
        <f t="shared" ca="1" si="262"/>
        <v>23.155501352924674</v>
      </c>
      <c r="Y876" s="30">
        <f t="shared" ca="1" si="262"/>
        <v>27.754955826874987</v>
      </c>
      <c r="Z876" s="30">
        <f t="shared" ca="1" si="262"/>
        <v>2.0219606728779129</v>
      </c>
      <c r="AA876" s="26">
        <v>868</v>
      </c>
      <c r="AB876" s="31">
        <f t="shared" ca="1" si="259"/>
        <v>50</v>
      </c>
      <c r="AC876" s="31">
        <f t="shared" ca="1" si="248"/>
        <v>11</v>
      </c>
      <c r="AD876" s="31">
        <f t="shared" ca="1" si="249"/>
        <v>16</v>
      </c>
      <c r="AE876" s="31">
        <f t="shared" ca="1" si="250"/>
        <v>8</v>
      </c>
      <c r="AF876" s="31">
        <f t="shared" ca="1" si="251"/>
        <v>34</v>
      </c>
      <c r="AG876" s="31">
        <f t="shared" ca="1" si="252"/>
        <v>5</v>
      </c>
      <c r="AH876" s="31">
        <f t="shared" ca="1" si="253"/>
        <v>4</v>
      </c>
      <c r="AI876" s="31">
        <f t="shared" ca="1" si="254"/>
        <v>1</v>
      </c>
      <c r="AJ876" s="31">
        <f t="shared" ca="1" si="255"/>
        <v>79</v>
      </c>
      <c r="AK876" s="31">
        <f t="shared" ca="1" si="256"/>
        <v>39</v>
      </c>
      <c r="AL876" s="31">
        <f t="shared" ca="1" si="257"/>
        <v>59</v>
      </c>
      <c r="AM876" s="31">
        <f t="shared" ca="1" si="258"/>
        <v>3</v>
      </c>
    </row>
    <row r="877" spans="14:39">
      <c r="N877" s="26">
        <v>869</v>
      </c>
      <c r="O877" s="30">
        <f t="shared" ca="1" si="262"/>
        <v>23.161117029439186</v>
      </c>
      <c r="P877" s="30">
        <f t="shared" ca="1" si="262"/>
        <v>17.39932071226125</v>
      </c>
      <c r="Q877" s="30">
        <f t="shared" ca="1" si="262"/>
        <v>19.307384313699988</v>
      </c>
      <c r="R877" s="30">
        <f t="shared" ca="1" si="262"/>
        <v>25.362990710178032</v>
      </c>
      <c r="S877" s="30">
        <f t="shared" ca="1" si="262"/>
        <v>15.108950291135137</v>
      </c>
      <c r="T877" s="30">
        <f t="shared" ca="1" si="262"/>
        <v>7.0440606418092084</v>
      </c>
      <c r="U877" s="30">
        <f t="shared" ca="1" si="262"/>
        <v>25.057319601813678</v>
      </c>
      <c r="V877" s="30">
        <f t="shared" ca="1" si="262"/>
        <v>20.91789695896658</v>
      </c>
      <c r="W877" s="30">
        <f t="shared" ca="1" si="262"/>
        <v>24.252249224507107</v>
      </c>
      <c r="X877" s="30">
        <f t="shared" ca="1" si="262"/>
        <v>15.469101312408213</v>
      </c>
      <c r="Y877" s="30">
        <f t="shared" ca="1" si="262"/>
        <v>30.285368171388726</v>
      </c>
      <c r="Z877" s="30">
        <f t="shared" ca="1" si="262"/>
        <v>32.267529498446869</v>
      </c>
      <c r="AA877" s="26">
        <v>869</v>
      </c>
      <c r="AB877" s="31">
        <f t="shared" ca="1" si="259"/>
        <v>39</v>
      </c>
      <c r="AC877" s="31">
        <f t="shared" ca="1" si="248"/>
        <v>25</v>
      </c>
      <c r="AD877" s="31">
        <f t="shared" ca="1" si="249"/>
        <v>29</v>
      </c>
      <c r="AE877" s="31">
        <f t="shared" ca="1" si="250"/>
        <v>47</v>
      </c>
      <c r="AF877" s="31">
        <f t="shared" ca="1" si="251"/>
        <v>20</v>
      </c>
      <c r="AG877" s="31">
        <f t="shared" ca="1" si="252"/>
        <v>8</v>
      </c>
      <c r="AH877" s="31">
        <f t="shared" ca="1" si="253"/>
        <v>46</v>
      </c>
      <c r="AI877" s="31">
        <f t="shared" ca="1" si="254"/>
        <v>33</v>
      </c>
      <c r="AJ877" s="31">
        <f t="shared" ca="1" si="255"/>
        <v>43</v>
      </c>
      <c r="AK877" s="31">
        <f t="shared" ca="1" si="256"/>
        <v>21</v>
      </c>
      <c r="AL877" s="31">
        <f t="shared" ca="1" si="257"/>
        <v>79</v>
      </c>
      <c r="AM877" s="31">
        <f t="shared" ca="1" si="258"/>
        <v>114</v>
      </c>
    </row>
    <row r="878" spans="14:39">
      <c r="N878" s="26">
        <v>870</v>
      </c>
      <c r="O878" s="30">
        <f t="shared" ca="1" si="262"/>
        <v>15.248488060317566</v>
      </c>
      <c r="P878" s="30">
        <f t="shared" ca="1" si="262"/>
        <v>10.900667459816482</v>
      </c>
      <c r="Q878" s="30">
        <f t="shared" ca="1" si="262"/>
        <v>21.296663469698981</v>
      </c>
      <c r="R878" s="30">
        <f t="shared" ca="1" si="262"/>
        <v>29.375834655214366</v>
      </c>
      <c r="S878" s="30">
        <f t="shared" ca="1" si="262"/>
        <v>0.79903325993908225</v>
      </c>
      <c r="T878" s="30">
        <f t="shared" ca="1" si="262"/>
        <v>3.7731173715202346</v>
      </c>
      <c r="U878" s="30">
        <f t="shared" ca="1" si="262"/>
        <v>29.81743716311961</v>
      </c>
      <c r="V878" s="30">
        <f t="shared" ca="1" si="262"/>
        <v>32.984324421773429</v>
      </c>
      <c r="W878" s="30">
        <f t="shared" ca="1" si="262"/>
        <v>28.507920222393551</v>
      </c>
      <c r="X878" s="30">
        <f t="shared" ca="1" si="262"/>
        <v>25.799728816250457</v>
      </c>
      <c r="Y878" s="30">
        <f t="shared" ca="1" si="262"/>
        <v>33.248765685305671</v>
      </c>
      <c r="Z878" s="30">
        <f t="shared" ca="1" si="262"/>
        <v>6.6225994643476298</v>
      </c>
      <c r="AA878" s="26">
        <v>870</v>
      </c>
      <c r="AB878" s="31">
        <f t="shared" ca="1" si="259"/>
        <v>21</v>
      </c>
      <c r="AC878" s="31">
        <f t="shared" ca="1" si="248"/>
        <v>14</v>
      </c>
      <c r="AD878" s="31">
        <f t="shared" ca="1" si="249"/>
        <v>34</v>
      </c>
      <c r="AE878" s="31">
        <f t="shared" ca="1" si="250"/>
        <v>70</v>
      </c>
      <c r="AF878" s="31">
        <f t="shared" ca="1" si="251"/>
        <v>1</v>
      </c>
      <c r="AG878" s="31">
        <f t="shared" ca="1" si="252"/>
        <v>4</v>
      </c>
      <c r="AH878" s="31">
        <f t="shared" ca="1" si="253"/>
        <v>74</v>
      </c>
      <c r="AI878" s="31">
        <f t="shared" ca="1" si="254"/>
        <v>150</v>
      </c>
      <c r="AJ878" s="31">
        <f t="shared" ca="1" si="255"/>
        <v>64</v>
      </c>
      <c r="AK878" s="31">
        <f t="shared" ca="1" si="256"/>
        <v>49</v>
      </c>
      <c r="AL878" s="31">
        <f t="shared" ca="1" si="257"/>
        <v>197</v>
      </c>
      <c r="AM878" s="31">
        <f t="shared" ca="1" si="258"/>
        <v>8</v>
      </c>
    </row>
    <row r="879" spans="14:39">
      <c r="N879" s="26">
        <v>871</v>
      </c>
      <c r="O879" s="30">
        <f t="shared" ref="O879:Z888" ca="1" si="263">RAND()*sumweights</f>
        <v>11.132781254152928</v>
      </c>
      <c r="P879" s="30">
        <f t="shared" ca="1" si="263"/>
        <v>21.336649293001464</v>
      </c>
      <c r="Q879" s="30">
        <f t="shared" ca="1" si="263"/>
        <v>28.70986204355891</v>
      </c>
      <c r="R879" s="30">
        <f t="shared" ca="1" si="263"/>
        <v>26.549183284787539</v>
      </c>
      <c r="S879" s="30">
        <f t="shared" ca="1" si="263"/>
        <v>4.6406413236810655</v>
      </c>
      <c r="T879" s="30">
        <f t="shared" ca="1" si="263"/>
        <v>17.597941069477816</v>
      </c>
      <c r="U879" s="30">
        <f t="shared" ca="1" si="263"/>
        <v>0.28593257823436719</v>
      </c>
      <c r="V879" s="30">
        <f t="shared" ca="1" si="263"/>
        <v>10.177672353713401</v>
      </c>
      <c r="W879" s="30">
        <f t="shared" ca="1" si="263"/>
        <v>12.331875705789205</v>
      </c>
      <c r="X879" s="30">
        <f t="shared" ca="1" si="263"/>
        <v>12.597579615036121</v>
      </c>
      <c r="Y879" s="30">
        <f t="shared" ca="1" si="263"/>
        <v>20.063527514667506</v>
      </c>
      <c r="Z879" s="30">
        <f t="shared" ca="1" si="263"/>
        <v>18.136454659065905</v>
      </c>
      <c r="AA879" s="26">
        <v>871</v>
      </c>
      <c r="AB879" s="31">
        <f t="shared" ca="1" si="259"/>
        <v>14</v>
      </c>
      <c r="AC879" s="31">
        <f t="shared" ca="1" si="248"/>
        <v>34</v>
      </c>
      <c r="AD879" s="31">
        <f t="shared" ca="1" si="249"/>
        <v>65</v>
      </c>
      <c r="AE879" s="31">
        <f t="shared" ca="1" si="250"/>
        <v>53</v>
      </c>
      <c r="AF879" s="31">
        <f t="shared" ca="1" si="251"/>
        <v>5</v>
      </c>
      <c r="AG879" s="31">
        <f t="shared" ca="1" si="252"/>
        <v>25</v>
      </c>
      <c r="AH879" s="31">
        <f t="shared" ca="1" si="253"/>
        <v>1</v>
      </c>
      <c r="AI879" s="31">
        <f t="shared" ca="1" si="254"/>
        <v>12</v>
      </c>
      <c r="AJ879" s="31">
        <f t="shared" ca="1" si="255"/>
        <v>16</v>
      </c>
      <c r="AK879" s="31">
        <f t="shared" ca="1" si="256"/>
        <v>16</v>
      </c>
      <c r="AL879" s="31">
        <f t="shared" ca="1" si="257"/>
        <v>31</v>
      </c>
      <c r="AM879" s="31">
        <f t="shared" ca="1" si="258"/>
        <v>26</v>
      </c>
    </row>
    <row r="880" spans="14:39">
      <c r="N880" s="26">
        <v>872</v>
      </c>
      <c r="O880" s="30">
        <f t="shared" ca="1" si="263"/>
        <v>12.275525485586529</v>
      </c>
      <c r="P880" s="30">
        <f t="shared" ca="1" si="263"/>
        <v>8.0318064009165546</v>
      </c>
      <c r="Q880" s="30">
        <f t="shared" ca="1" si="263"/>
        <v>28.844915080405407</v>
      </c>
      <c r="R880" s="30">
        <f t="shared" ca="1" si="263"/>
        <v>10.301708632616343</v>
      </c>
      <c r="S880" s="30">
        <f t="shared" ca="1" si="263"/>
        <v>7.0663262026042188</v>
      </c>
      <c r="T880" s="30">
        <f t="shared" ca="1" si="263"/>
        <v>33.242968698521189</v>
      </c>
      <c r="U880" s="30">
        <f t="shared" ca="1" si="263"/>
        <v>16.334863108098123</v>
      </c>
      <c r="V880" s="30">
        <f t="shared" ca="1" si="263"/>
        <v>13.527641418221572</v>
      </c>
      <c r="W880" s="30">
        <f t="shared" ca="1" si="263"/>
        <v>11.378875758479838</v>
      </c>
      <c r="X880" s="30">
        <f t="shared" ca="1" si="263"/>
        <v>28.00421738586514</v>
      </c>
      <c r="Y880" s="30">
        <f t="shared" ca="1" si="263"/>
        <v>17.903306747325583</v>
      </c>
      <c r="Z880" s="30">
        <f t="shared" ca="1" si="263"/>
        <v>28.326693279471357</v>
      </c>
      <c r="AA880" s="26">
        <v>872</v>
      </c>
      <c r="AB880" s="31">
        <f t="shared" ca="1" si="259"/>
        <v>16</v>
      </c>
      <c r="AC880" s="31">
        <f t="shared" ca="1" si="248"/>
        <v>10</v>
      </c>
      <c r="AD880" s="31">
        <f t="shared" ca="1" si="249"/>
        <v>66</v>
      </c>
      <c r="AE880" s="31">
        <f t="shared" ca="1" si="250"/>
        <v>13</v>
      </c>
      <c r="AF880" s="31">
        <f t="shared" ca="1" si="251"/>
        <v>8</v>
      </c>
      <c r="AG880" s="31">
        <f t="shared" ca="1" si="252"/>
        <v>195</v>
      </c>
      <c r="AH880" s="31">
        <f t="shared" ca="1" si="253"/>
        <v>23</v>
      </c>
      <c r="AI880" s="31">
        <f t="shared" ca="1" si="254"/>
        <v>18</v>
      </c>
      <c r="AJ880" s="31">
        <f t="shared" ca="1" si="255"/>
        <v>14</v>
      </c>
      <c r="AK880" s="31">
        <f t="shared" ca="1" si="256"/>
        <v>61</v>
      </c>
      <c r="AL880" s="31">
        <f t="shared" ca="1" si="257"/>
        <v>26</v>
      </c>
      <c r="AM880" s="31">
        <f t="shared" ca="1" si="258"/>
        <v>63</v>
      </c>
    </row>
    <row r="881" spans="14:39">
      <c r="N881" s="26">
        <v>873</v>
      </c>
      <c r="O881" s="30">
        <f t="shared" ca="1" si="263"/>
        <v>22.880923814064246</v>
      </c>
      <c r="P881" s="30">
        <f t="shared" ca="1" si="263"/>
        <v>0.62792033206440456</v>
      </c>
      <c r="Q881" s="30">
        <f t="shared" ca="1" si="263"/>
        <v>4.6712094801773656</v>
      </c>
      <c r="R881" s="30">
        <f t="shared" ca="1" si="263"/>
        <v>11.812344027418078</v>
      </c>
      <c r="S881" s="30">
        <f t="shared" ca="1" si="263"/>
        <v>29.915278586681051</v>
      </c>
      <c r="T881" s="30">
        <f t="shared" ca="1" si="263"/>
        <v>32.625048316400942</v>
      </c>
      <c r="U881" s="30">
        <f t="shared" ca="1" si="263"/>
        <v>9.7927762892919326</v>
      </c>
      <c r="V881" s="30">
        <f t="shared" ca="1" si="263"/>
        <v>14.668839594920813</v>
      </c>
      <c r="W881" s="30">
        <f t="shared" ca="1" si="263"/>
        <v>14.182075689603545</v>
      </c>
      <c r="X881" s="30">
        <f t="shared" ca="1" si="263"/>
        <v>10.21369985307587</v>
      </c>
      <c r="Y881" s="30">
        <f t="shared" ca="1" si="263"/>
        <v>23.778834200723765</v>
      </c>
      <c r="Z881" s="30">
        <f t="shared" ca="1" si="263"/>
        <v>0.29935305232631337</v>
      </c>
      <c r="AA881" s="26">
        <v>873</v>
      </c>
      <c r="AB881" s="31">
        <f t="shared" ca="1" si="259"/>
        <v>39</v>
      </c>
      <c r="AC881" s="31">
        <f t="shared" ca="1" si="248"/>
        <v>1</v>
      </c>
      <c r="AD881" s="31">
        <f t="shared" ca="1" si="249"/>
        <v>5</v>
      </c>
      <c r="AE881" s="31">
        <f t="shared" ca="1" si="250"/>
        <v>15</v>
      </c>
      <c r="AF881" s="31">
        <f t="shared" ca="1" si="251"/>
        <v>75</v>
      </c>
      <c r="AG881" s="31">
        <f t="shared" ca="1" si="252"/>
        <v>127</v>
      </c>
      <c r="AH881" s="31">
        <f t="shared" ca="1" si="253"/>
        <v>12</v>
      </c>
      <c r="AI881" s="31">
        <f t="shared" ca="1" si="254"/>
        <v>20</v>
      </c>
      <c r="AJ881" s="31">
        <f t="shared" ca="1" si="255"/>
        <v>19</v>
      </c>
      <c r="AK881" s="31">
        <f t="shared" ca="1" si="256"/>
        <v>13</v>
      </c>
      <c r="AL881" s="31">
        <f t="shared" ca="1" si="257"/>
        <v>42</v>
      </c>
      <c r="AM881" s="31">
        <f t="shared" ca="1" si="258"/>
        <v>1</v>
      </c>
    </row>
    <row r="882" spans="14:39">
      <c r="N882" s="26">
        <v>874</v>
      </c>
      <c r="O882" s="30">
        <f t="shared" ca="1" si="263"/>
        <v>13.305035177081885</v>
      </c>
      <c r="P882" s="30">
        <f t="shared" ca="1" si="263"/>
        <v>8.1988524040531878</v>
      </c>
      <c r="Q882" s="30">
        <f t="shared" ca="1" si="263"/>
        <v>0.69363192904003479</v>
      </c>
      <c r="R882" s="30">
        <f t="shared" ca="1" si="263"/>
        <v>4.2385545211276066</v>
      </c>
      <c r="S882" s="30">
        <f t="shared" ca="1" si="263"/>
        <v>25.217155765220255</v>
      </c>
      <c r="T882" s="30">
        <f t="shared" ca="1" si="263"/>
        <v>20.931886741082387</v>
      </c>
      <c r="U882" s="30">
        <f t="shared" ca="1" si="263"/>
        <v>12.764543234437371</v>
      </c>
      <c r="V882" s="30">
        <f t="shared" ca="1" si="263"/>
        <v>20.245241485090066</v>
      </c>
      <c r="W882" s="30">
        <f t="shared" ca="1" si="263"/>
        <v>2.7745074982741462</v>
      </c>
      <c r="X882" s="30">
        <f t="shared" ca="1" si="263"/>
        <v>26.238177800675956</v>
      </c>
      <c r="Y882" s="30">
        <f t="shared" ca="1" si="263"/>
        <v>11.923769334971894</v>
      </c>
      <c r="Z882" s="30">
        <f t="shared" ca="1" si="263"/>
        <v>20.072439513018917</v>
      </c>
      <c r="AA882" s="26">
        <v>874</v>
      </c>
      <c r="AB882" s="31">
        <f t="shared" ca="1" si="259"/>
        <v>17</v>
      </c>
      <c r="AC882" s="31">
        <f t="shared" ca="1" si="248"/>
        <v>10</v>
      </c>
      <c r="AD882" s="31">
        <f t="shared" ca="1" si="249"/>
        <v>1</v>
      </c>
      <c r="AE882" s="31">
        <f t="shared" ca="1" si="250"/>
        <v>5</v>
      </c>
      <c r="AF882" s="31">
        <f t="shared" ca="1" si="251"/>
        <v>47</v>
      </c>
      <c r="AG882" s="31">
        <f t="shared" ca="1" si="252"/>
        <v>33</v>
      </c>
      <c r="AH882" s="31">
        <f t="shared" ca="1" si="253"/>
        <v>16</v>
      </c>
      <c r="AI882" s="31">
        <f t="shared" ca="1" si="254"/>
        <v>31</v>
      </c>
      <c r="AJ882" s="31">
        <f t="shared" ca="1" si="255"/>
        <v>3</v>
      </c>
      <c r="AK882" s="31">
        <f t="shared" ca="1" si="256"/>
        <v>51</v>
      </c>
      <c r="AL882" s="31">
        <f t="shared" ca="1" si="257"/>
        <v>15</v>
      </c>
      <c r="AM882" s="31">
        <f t="shared" ca="1" si="258"/>
        <v>31</v>
      </c>
    </row>
    <row r="883" spans="14:39">
      <c r="N883" s="26">
        <v>875</v>
      </c>
      <c r="O883" s="30">
        <f t="shared" ca="1" si="263"/>
        <v>8.8010136410020365</v>
      </c>
      <c r="P883" s="30">
        <f t="shared" ca="1" si="263"/>
        <v>6.4835158318741541</v>
      </c>
      <c r="Q883" s="30">
        <f t="shared" ca="1" si="263"/>
        <v>0.7652909688759546</v>
      </c>
      <c r="R883" s="30">
        <f t="shared" ca="1" si="263"/>
        <v>6.7928197547804157</v>
      </c>
      <c r="S883" s="30">
        <f t="shared" ca="1" si="263"/>
        <v>4.2133929644123063</v>
      </c>
      <c r="T883" s="30">
        <f t="shared" ca="1" si="263"/>
        <v>33.042352116120057</v>
      </c>
      <c r="U883" s="30">
        <f t="shared" ca="1" si="263"/>
        <v>13.474700284235105</v>
      </c>
      <c r="V883" s="30">
        <f t="shared" ca="1" si="263"/>
        <v>20.848764384222815</v>
      </c>
      <c r="W883" s="30">
        <f t="shared" ca="1" si="263"/>
        <v>16.935424503476927</v>
      </c>
      <c r="X883" s="30">
        <f t="shared" ca="1" si="263"/>
        <v>1.6518657718959704</v>
      </c>
      <c r="Y883" s="30">
        <f t="shared" ca="1" si="263"/>
        <v>14.543207782650972</v>
      </c>
      <c r="Z883" s="30">
        <f t="shared" ca="1" si="263"/>
        <v>18.269097999066069</v>
      </c>
      <c r="AA883" s="26">
        <v>875</v>
      </c>
      <c r="AB883" s="31">
        <f t="shared" ca="1" si="259"/>
        <v>11</v>
      </c>
      <c r="AC883" s="31">
        <f t="shared" ca="1" si="248"/>
        <v>8</v>
      </c>
      <c r="AD883" s="31">
        <f t="shared" ca="1" si="249"/>
        <v>1</v>
      </c>
      <c r="AE883" s="31">
        <f t="shared" ca="1" si="250"/>
        <v>8</v>
      </c>
      <c r="AF883" s="31">
        <f t="shared" ca="1" si="251"/>
        <v>5</v>
      </c>
      <c r="AG883" s="31">
        <f t="shared" ca="1" si="252"/>
        <v>156</v>
      </c>
      <c r="AH883" s="31">
        <f t="shared" ca="1" si="253"/>
        <v>18</v>
      </c>
      <c r="AI883" s="31">
        <f t="shared" ca="1" si="254"/>
        <v>33</v>
      </c>
      <c r="AJ883" s="31">
        <f t="shared" ca="1" si="255"/>
        <v>24</v>
      </c>
      <c r="AK883" s="31">
        <f t="shared" ca="1" si="256"/>
        <v>2</v>
      </c>
      <c r="AL883" s="31">
        <f t="shared" ca="1" si="257"/>
        <v>19</v>
      </c>
      <c r="AM883" s="31">
        <f t="shared" ca="1" si="258"/>
        <v>27</v>
      </c>
    </row>
    <row r="884" spans="14:39">
      <c r="N884" s="26">
        <v>876</v>
      </c>
      <c r="O884" s="30">
        <f t="shared" ca="1" si="263"/>
        <v>2.9596856321510647</v>
      </c>
      <c r="P884" s="30">
        <f t="shared" ca="1" si="263"/>
        <v>6.5395510778522663</v>
      </c>
      <c r="Q884" s="30">
        <f t="shared" ca="1" si="263"/>
        <v>31.538249773672682</v>
      </c>
      <c r="R884" s="30">
        <f t="shared" ca="1" si="263"/>
        <v>6.7040062671445755</v>
      </c>
      <c r="S884" s="30">
        <f t="shared" ca="1" si="263"/>
        <v>9.8977838061034831</v>
      </c>
      <c r="T884" s="30">
        <f t="shared" ca="1" si="263"/>
        <v>12.664029785603416</v>
      </c>
      <c r="U884" s="30">
        <f t="shared" ca="1" si="263"/>
        <v>10.672202810784835</v>
      </c>
      <c r="V884" s="30">
        <f t="shared" ca="1" si="263"/>
        <v>7.8642451956667534</v>
      </c>
      <c r="W884" s="30">
        <f t="shared" ca="1" si="263"/>
        <v>14.506765940281884</v>
      </c>
      <c r="X884" s="30">
        <f t="shared" ca="1" si="263"/>
        <v>9.2796519828167678</v>
      </c>
      <c r="Y884" s="30">
        <f t="shared" ca="1" si="263"/>
        <v>17.360422537607235</v>
      </c>
      <c r="Z884" s="30">
        <f t="shared" ca="1" si="263"/>
        <v>11.236139826372799</v>
      </c>
      <c r="AA884" s="26">
        <v>876</v>
      </c>
      <c r="AB884" s="31">
        <f t="shared" ca="1" si="259"/>
        <v>4</v>
      </c>
      <c r="AC884" s="31">
        <f t="shared" ca="1" si="248"/>
        <v>8</v>
      </c>
      <c r="AD884" s="31">
        <f t="shared" ca="1" si="249"/>
        <v>96</v>
      </c>
      <c r="AE884" s="31">
        <f t="shared" ca="1" si="250"/>
        <v>8</v>
      </c>
      <c r="AF884" s="31">
        <f t="shared" ca="1" si="251"/>
        <v>12</v>
      </c>
      <c r="AG884" s="31">
        <f t="shared" ca="1" si="252"/>
        <v>16</v>
      </c>
      <c r="AH884" s="31">
        <f t="shared" ca="1" si="253"/>
        <v>13</v>
      </c>
      <c r="AI884" s="31">
        <f t="shared" ca="1" si="254"/>
        <v>9</v>
      </c>
      <c r="AJ884" s="31">
        <f t="shared" ca="1" si="255"/>
        <v>19</v>
      </c>
      <c r="AK884" s="31">
        <f t="shared" ca="1" si="256"/>
        <v>11</v>
      </c>
      <c r="AL884" s="31">
        <f t="shared" ca="1" si="257"/>
        <v>25</v>
      </c>
      <c r="AM884" s="31">
        <f t="shared" ca="1" si="258"/>
        <v>14</v>
      </c>
    </row>
    <row r="885" spans="14:39">
      <c r="N885" s="26">
        <v>877</v>
      </c>
      <c r="O885" s="30">
        <f t="shared" ca="1" si="263"/>
        <v>5.2454939851313718</v>
      </c>
      <c r="P885" s="30">
        <f t="shared" ca="1" si="263"/>
        <v>10.128001584457694</v>
      </c>
      <c r="Q885" s="30">
        <f t="shared" ca="1" si="263"/>
        <v>12.546234648194897</v>
      </c>
      <c r="R885" s="30">
        <f t="shared" ca="1" si="263"/>
        <v>27.373217988615579</v>
      </c>
      <c r="S885" s="30">
        <f t="shared" ca="1" si="263"/>
        <v>7.5775723140784184</v>
      </c>
      <c r="T885" s="30">
        <f t="shared" ca="1" si="263"/>
        <v>5.6654343478851503</v>
      </c>
      <c r="U885" s="30">
        <f t="shared" ca="1" si="263"/>
        <v>13.898382950071976</v>
      </c>
      <c r="V885" s="30">
        <f t="shared" ca="1" si="263"/>
        <v>27.228848055536034</v>
      </c>
      <c r="W885" s="30">
        <f t="shared" ca="1" si="263"/>
        <v>6.8270817591282146E-2</v>
      </c>
      <c r="X885" s="30">
        <f t="shared" ca="1" si="263"/>
        <v>23.582288730245619</v>
      </c>
      <c r="Y885" s="30">
        <f t="shared" ca="1" si="263"/>
        <v>0.17651927013488869</v>
      </c>
      <c r="Z885" s="30">
        <f t="shared" ca="1" si="263"/>
        <v>11.941751200281217</v>
      </c>
      <c r="AA885" s="26">
        <v>877</v>
      </c>
      <c r="AB885" s="31">
        <f t="shared" ca="1" si="259"/>
        <v>6</v>
      </c>
      <c r="AC885" s="31">
        <f t="shared" ca="1" si="248"/>
        <v>12</v>
      </c>
      <c r="AD885" s="31">
        <f t="shared" ca="1" si="249"/>
        <v>16</v>
      </c>
      <c r="AE885" s="31">
        <f t="shared" ca="1" si="250"/>
        <v>57</v>
      </c>
      <c r="AF885" s="31">
        <f t="shared" ca="1" si="251"/>
        <v>9</v>
      </c>
      <c r="AG885" s="31">
        <f t="shared" ca="1" si="252"/>
        <v>7</v>
      </c>
      <c r="AH885" s="31">
        <f t="shared" ca="1" si="253"/>
        <v>18</v>
      </c>
      <c r="AI885" s="31">
        <f t="shared" ca="1" si="254"/>
        <v>56</v>
      </c>
      <c r="AJ885" s="31">
        <f t="shared" ca="1" si="255"/>
        <v>1</v>
      </c>
      <c r="AK885" s="31">
        <f t="shared" ca="1" si="256"/>
        <v>41</v>
      </c>
      <c r="AL885" s="31">
        <f t="shared" ca="1" si="257"/>
        <v>1</v>
      </c>
      <c r="AM885" s="31">
        <f t="shared" ca="1" si="258"/>
        <v>15</v>
      </c>
    </row>
    <row r="886" spans="14:39">
      <c r="N886" s="26">
        <v>878</v>
      </c>
      <c r="O886" s="30">
        <f t="shared" ca="1" si="263"/>
        <v>0.39552456801878977</v>
      </c>
      <c r="P886" s="30">
        <f t="shared" ca="1" si="263"/>
        <v>9.9640596739641172</v>
      </c>
      <c r="Q886" s="30">
        <f t="shared" ca="1" si="263"/>
        <v>2.8428095648864207</v>
      </c>
      <c r="R886" s="30">
        <f t="shared" ca="1" si="263"/>
        <v>6.3236584947814585</v>
      </c>
      <c r="S886" s="30">
        <f t="shared" ca="1" si="263"/>
        <v>12.477729934359745</v>
      </c>
      <c r="T886" s="30">
        <f t="shared" ca="1" si="263"/>
        <v>32.862613983484032</v>
      </c>
      <c r="U886" s="30">
        <f t="shared" ca="1" si="263"/>
        <v>25.631567577018291</v>
      </c>
      <c r="V886" s="30">
        <f t="shared" ca="1" si="263"/>
        <v>5.792911596034771</v>
      </c>
      <c r="W886" s="30">
        <f t="shared" ca="1" si="263"/>
        <v>21.571861093846213</v>
      </c>
      <c r="X886" s="30">
        <f t="shared" ca="1" si="263"/>
        <v>6.3605442119948963</v>
      </c>
      <c r="Y886" s="30">
        <f t="shared" ca="1" si="263"/>
        <v>25.108353719610086</v>
      </c>
      <c r="Z886" s="30">
        <f t="shared" ca="1" si="263"/>
        <v>6.3704685477079028</v>
      </c>
      <c r="AA886" s="26">
        <v>878</v>
      </c>
      <c r="AB886" s="31">
        <f t="shared" ca="1" si="259"/>
        <v>1</v>
      </c>
      <c r="AC886" s="31">
        <f t="shared" ca="1" si="248"/>
        <v>12</v>
      </c>
      <c r="AD886" s="31">
        <f t="shared" ca="1" si="249"/>
        <v>3</v>
      </c>
      <c r="AE886" s="31">
        <f t="shared" ca="1" si="250"/>
        <v>7</v>
      </c>
      <c r="AF886" s="31">
        <f t="shared" ca="1" si="251"/>
        <v>16</v>
      </c>
      <c r="AG886" s="31">
        <f t="shared" ca="1" si="252"/>
        <v>140</v>
      </c>
      <c r="AH886" s="31">
        <f t="shared" ca="1" si="253"/>
        <v>49</v>
      </c>
      <c r="AI886" s="31">
        <f t="shared" ca="1" si="254"/>
        <v>7</v>
      </c>
      <c r="AJ886" s="31">
        <f t="shared" ca="1" si="255"/>
        <v>35</v>
      </c>
      <c r="AK886" s="31">
        <f t="shared" ca="1" si="256"/>
        <v>7</v>
      </c>
      <c r="AL886" s="31">
        <f t="shared" ca="1" si="257"/>
        <v>46</v>
      </c>
      <c r="AM886" s="31">
        <f t="shared" ca="1" si="258"/>
        <v>7</v>
      </c>
    </row>
    <row r="887" spans="14:39">
      <c r="N887" s="26">
        <v>879</v>
      </c>
      <c r="O887" s="30">
        <f t="shared" ca="1" si="263"/>
        <v>28.519911104894014</v>
      </c>
      <c r="P887" s="30">
        <f t="shared" ca="1" si="263"/>
        <v>28.778990541828026</v>
      </c>
      <c r="Q887" s="30">
        <f t="shared" ca="1" si="263"/>
        <v>11.602350059947742</v>
      </c>
      <c r="R887" s="30">
        <f t="shared" ca="1" si="263"/>
        <v>31.329069282814181</v>
      </c>
      <c r="S887" s="30">
        <f t="shared" ca="1" si="263"/>
        <v>2.1887040827979161</v>
      </c>
      <c r="T887" s="30">
        <f t="shared" ca="1" si="263"/>
        <v>25.447040104803833</v>
      </c>
      <c r="U887" s="30">
        <f t="shared" ca="1" si="263"/>
        <v>12.136423399686235</v>
      </c>
      <c r="V887" s="30">
        <f t="shared" ca="1" si="263"/>
        <v>16.302449332408177</v>
      </c>
      <c r="W887" s="30">
        <f t="shared" ca="1" si="263"/>
        <v>8.9412242754800531</v>
      </c>
      <c r="X887" s="30">
        <f t="shared" ca="1" si="263"/>
        <v>16.575139976687826</v>
      </c>
      <c r="Y887" s="30">
        <f t="shared" ca="1" si="263"/>
        <v>3.4633949460177105</v>
      </c>
      <c r="Z887" s="30">
        <f t="shared" ca="1" si="263"/>
        <v>30.065230868627456</v>
      </c>
      <c r="AA887" s="26">
        <v>879</v>
      </c>
      <c r="AB887" s="31">
        <f t="shared" ca="1" si="259"/>
        <v>64</v>
      </c>
      <c r="AC887" s="31">
        <f t="shared" ca="1" si="248"/>
        <v>66</v>
      </c>
      <c r="AD887" s="31">
        <f t="shared" ca="1" si="249"/>
        <v>15</v>
      </c>
      <c r="AE887" s="31">
        <f t="shared" ca="1" si="250"/>
        <v>93</v>
      </c>
      <c r="AF887" s="31">
        <f t="shared" ca="1" si="251"/>
        <v>3</v>
      </c>
      <c r="AG887" s="31">
        <f t="shared" ca="1" si="252"/>
        <v>48</v>
      </c>
      <c r="AH887" s="31">
        <f t="shared" ca="1" si="253"/>
        <v>15</v>
      </c>
      <c r="AI887" s="31">
        <f t="shared" ca="1" si="254"/>
        <v>23</v>
      </c>
      <c r="AJ887" s="31">
        <f t="shared" ca="1" si="255"/>
        <v>11</v>
      </c>
      <c r="AK887" s="31">
        <f t="shared" ca="1" si="256"/>
        <v>23</v>
      </c>
      <c r="AL887" s="31">
        <f t="shared" ca="1" si="257"/>
        <v>4</v>
      </c>
      <c r="AM887" s="31">
        <f t="shared" ca="1" si="258"/>
        <v>77</v>
      </c>
    </row>
    <row r="888" spans="14:39">
      <c r="N888" s="26">
        <v>880</v>
      </c>
      <c r="O888" s="30">
        <f t="shared" ca="1" si="263"/>
        <v>9.0632125517902669</v>
      </c>
      <c r="P888" s="30">
        <f t="shared" ca="1" si="263"/>
        <v>31.476924650796317</v>
      </c>
      <c r="Q888" s="30">
        <f t="shared" ca="1" si="263"/>
        <v>10.125581062215334</v>
      </c>
      <c r="R888" s="30">
        <f t="shared" ca="1" si="263"/>
        <v>27.807936309890479</v>
      </c>
      <c r="S888" s="30">
        <f t="shared" ca="1" si="263"/>
        <v>28.918073385947096</v>
      </c>
      <c r="T888" s="30">
        <f t="shared" ca="1" si="263"/>
        <v>16.704450713674664</v>
      </c>
      <c r="U888" s="30">
        <f t="shared" ca="1" si="263"/>
        <v>9.9498436131629742</v>
      </c>
      <c r="V888" s="30">
        <f t="shared" ca="1" si="263"/>
        <v>31.993864503233119</v>
      </c>
      <c r="W888" s="30">
        <f t="shared" ca="1" si="263"/>
        <v>22.698767080782371</v>
      </c>
      <c r="X888" s="30">
        <f t="shared" ca="1" si="263"/>
        <v>27.815394399675935</v>
      </c>
      <c r="Y888" s="30">
        <f t="shared" ca="1" si="263"/>
        <v>12.375331113246665</v>
      </c>
      <c r="Z888" s="30">
        <f t="shared" ca="1" si="263"/>
        <v>22.096826642936328</v>
      </c>
      <c r="AA888" s="26">
        <v>880</v>
      </c>
      <c r="AB888" s="31">
        <f t="shared" ca="1" si="259"/>
        <v>11</v>
      </c>
      <c r="AC888" s="31">
        <f t="shared" ca="1" si="248"/>
        <v>95</v>
      </c>
      <c r="AD888" s="31">
        <f t="shared" ca="1" si="249"/>
        <v>12</v>
      </c>
      <c r="AE888" s="31">
        <f t="shared" ca="1" si="250"/>
        <v>60</v>
      </c>
      <c r="AF888" s="31">
        <f t="shared" ca="1" si="251"/>
        <v>67</v>
      </c>
      <c r="AG888" s="31">
        <f t="shared" ca="1" si="252"/>
        <v>23</v>
      </c>
      <c r="AH888" s="31">
        <f t="shared" ca="1" si="253"/>
        <v>12</v>
      </c>
      <c r="AI888" s="31">
        <f t="shared" ca="1" si="254"/>
        <v>106</v>
      </c>
      <c r="AJ888" s="31">
        <f t="shared" ca="1" si="255"/>
        <v>38</v>
      </c>
      <c r="AK888" s="31">
        <f t="shared" ca="1" si="256"/>
        <v>60</v>
      </c>
      <c r="AL888" s="31">
        <f t="shared" ca="1" si="257"/>
        <v>16</v>
      </c>
      <c r="AM888" s="31">
        <f t="shared" ca="1" si="258"/>
        <v>36</v>
      </c>
    </row>
    <row r="889" spans="14:39">
      <c r="N889" s="26">
        <v>881</v>
      </c>
      <c r="O889" s="30">
        <f t="shared" ref="O889:Z898" ca="1" si="264">RAND()*sumweights</f>
        <v>19.925300345433627</v>
      </c>
      <c r="P889" s="30">
        <f t="shared" ca="1" si="264"/>
        <v>30.041040448932549</v>
      </c>
      <c r="Q889" s="30">
        <f t="shared" ca="1" si="264"/>
        <v>13.910942640235826</v>
      </c>
      <c r="R889" s="30">
        <f t="shared" ca="1" si="264"/>
        <v>18.201520066172929</v>
      </c>
      <c r="S889" s="30">
        <f t="shared" ca="1" si="264"/>
        <v>25.996726939777183</v>
      </c>
      <c r="T889" s="30">
        <f t="shared" ca="1" si="264"/>
        <v>10.624328397397946</v>
      </c>
      <c r="U889" s="30">
        <f t="shared" ca="1" si="264"/>
        <v>29.193472308585068</v>
      </c>
      <c r="V889" s="30">
        <f t="shared" ca="1" si="264"/>
        <v>10.206355139302149</v>
      </c>
      <c r="W889" s="30">
        <f t="shared" ca="1" si="264"/>
        <v>9.2611749877143836</v>
      </c>
      <c r="X889" s="30">
        <f t="shared" ca="1" si="264"/>
        <v>8.1794626686415768</v>
      </c>
      <c r="Y889" s="30">
        <f t="shared" ca="1" si="264"/>
        <v>26.951546533170273</v>
      </c>
      <c r="Z889" s="30">
        <f t="shared" ca="1" si="264"/>
        <v>8.2145062528627175</v>
      </c>
      <c r="AA889" s="26">
        <v>881</v>
      </c>
      <c r="AB889" s="31">
        <f t="shared" ca="1" si="259"/>
        <v>30</v>
      </c>
      <c r="AC889" s="31">
        <f t="shared" ca="1" si="248"/>
        <v>77</v>
      </c>
      <c r="AD889" s="31">
        <f t="shared" ca="1" si="249"/>
        <v>18</v>
      </c>
      <c r="AE889" s="31">
        <f t="shared" ca="1" si="250"/>
        <v>26</v>
      </c>
      <c r="AF889" s="31">
        <f t="shared" ca="1" si="251"/>
        <v>50</v>
      </c>
      <c r="AG889" s="31">
        <f t="shared" ca="1" si="252"/>
        <v>13</v>
      </c>
      <c r="AH889" s="31">
        <f t="shared" ca="1" si="253"/>
        <v>69</v>
      </c>
      <c r="AI889" s="31">
        <f t="shared" ca="1" si="254"/>
        <v>13</v>
      </c>
      <c r="AJ889" s="31">
        <f t="shared" ca="1" si="255"/>
        <v>11</v>
      </c>
      <c r="AK889" s="31">
        <f t="shared" ca="1" si="256"/>
        <v>10</v>
      </c>
      <c r="AL889" s="31">
        <f t="shared" ca="1" si="257"/>
        <v>55</v>
      </c>
      <c r="AM889" s="31">
        <f t="shared" ca="1" si="258"/>
        <v>10</v>
      </c>
    </row>
    <row r="890" spans="14:39">
      <c r="N890" s="26">
        <v>882</v>
      </c>
      <c r="O890" s="30">
        <f t="shared" ca="1" si="264"/>
        <v>12.230740631458877</v>
      </c>
      <c r="P890" s="30">
        <f t="shared" ca="1" si="264"/>
        <v>13.247966685317966</v>
      </c>
      <c r="Q890" s="30">
        <f t="shared" ca="1" si="264"/>
        <v>19.437423806380366</v>
      </c>
      <c r="R890" s="30">
        <f t="shared" ca="1" si="264"/>
        <v>28.514360804900175</v>
      </c>
      <c r="S890" s="30">
        <f t="shared" ca="1" si="264"/>
        <v>6.5010513495318598</v>
      </c>
      <c r="T890" s="30">
        <f t="shared" ca="1" si="264"/>
        <v>16.943700363527046</v>
      </c>
      <c r="U890" s="30">
        <f t="shared" ca="1" si="264"/>
        <v>5.2220206060388126</v>
      </c>
      <c r="V890" s="30">
        <f t="shared" ca="1" si="264"/>
        <v>6.6258538442536272</v>
      </c>
      <c r="W890" s="30">
        <f t="shared" ca="1" si="264"/>
        <v>27.635320325688483</v>
      </c>
      <c r="X890" s="30">
        <f t="shared" ca="1" si="264"/>
        <v>3.0324010412654587</v>
      </c>
      <c r="Y890" s="30">
        <f t="shared" ca="1" si="264"/>
        <v>31.278040235924852</v>
      </c>
      <c r="Z890" s="30">
        <f t="shared" ca="1" si="264"/>
        <v>5.5483978772538665</v>
      </c>
      <c r="AA890" s="26">
        <v>882</v>
      </c>
      <c r="AB890" s="31">
        <f t="shared" ca="1" si="259"/>
        <v>16</v>
      </c>
      <c r="AC890" s="31">
        <f t="shared" ca="1" si="248"/>
        <v>17</v>
      </c>
      <c r="AD890" s="31">
        <f t="shared" ca="1" si="249"/>
        <v>29</v>
      </c>
      <c r="AE890" s="31">
        <f t="shared" ca="1" si="250"/>
        <v>64</v>
      </c>
      <c r="AF890" s="31">
        <f t="shared" ca="1" si="251"/>
        <v>8</v>
      </c>
      <c r="AG890" s="31">
        <f t="shared" ca="1" si="252"/>
        <v>24</v>
      </c>
      <c r="AH890" s="31">
        <f t="shared" ca="1" si="253"/>
        <v>6</v>
      </c>
      <c r="AI890" s="31">
        <f t="shared" ca="1" si="254"/>
        <v>8</v>
      </c>
      <c r="AJ890" s="31">
        <f t="shared" ca="1" si="255"/>
        <v>58</v>
      </c>
      <c r="AK890" s="31">
        <f t="shared" ca="1" si="256"/>
        <v>4</v>
      </c>
      <c r="AL890" s="31">
        <f t="shared" ca="1" si="257"/>
        <v>92</v>
      </c>
      <c r="AM890" s="31">
        <f t="shared" ca="1" si="258"/>
        <v>6</v>
      </c>
    </row>
    <row r="891" spans="14:39">
      <c r="N891" s="26">
        <v>883</v>
      </c>
      <c r="O891" s="30">
        <f t="shared" ca="1" si="264"/>
        <v>26.241241366419242</v>
      </c>
      <c r="P891" s="30">
        <f t="shared" ca="1" si="264"/>
        <v>30.606462721263764</v>
      </c>
      <c r="Q891" s="30">
        <f t="shared" ca="1" si="264"/>
        <v>26.620294302798957</v>
      </c>
      <c r="R891" s="30">
        <f t="shared" ca="1" si="264"/>
        <v>7.2498162319707529</v>
      </c>
      <c r="S891" s="30">
        <f t="shared" ca="1" si="264"/>
        <v>26.071519272708972</v>
      </c>
      <c r="T891" s="30">
        <f t="shared" ca="1" si="264"/>
        <v>1.3524543645794536</v>
      </c>
      <c r="U891" s="30">
        <f t="shared" ca="1" si="264"/>
        <v>28.540664233635827</v>
      </c>
      <c r="V891" s="30">
        <f t="shared" ca="1" si="264"/>
        <v>16.835201921550823</v>
      </c>
      <c r="W891" s="30">
        <f t="shared" ca="1" si="264"/>
        <v>7.3176258698704588</v>
      </c>
      <c r="X891" s="30">
        <f t="shared" ca="1" si="264"/>
        <v>26.786188655229068</v>
      </c>
      <c r="Y891" s="30">
        <f t="shared" ca="1" si="264"/>
        <v>23.745688203517531</v>
      </c>
      <c r="Z891" s="30">
        <f t="shared" ca="1" si="264"/>
        <v>1.4351818328397998</v>
      </c>
      <c r="AA891" s="26">
        <v>883</v>
      </c>
      <c r="AB891" s="31">
        <f t="shared" ca="1" si="259"/>
        <v>51</v>
      </c>
      <c r="AC891" s="31">
        <f t="shared" ca="1" si="248"/>
        <v>83</v>
      </c>
      <c r="AD891" s="31">
        <f t="shared" ca="1" si="249"/>
        <v>53</v>
      </c>
      <c r="AE891" s="31">
        <f t="shared" ca="1" si="250"/>
        <v>9</v>
      </c>
      <c r="AF891" s="31">
        <f t="shared" ca="1" si="251"/>
        <v>51</v>
      </c>
      <c r="AG891" s="31">
        <f t="shared" ca="1" si="252"/>
        <v>2</v>
      </c>
      <c r="AH891" s="31">
        <f t="shared" ca="1" si="253"/>
        <v>64</v>
      </c>
      <c r="AI891" s="31">
        <f t="shared" ca="1" si="254"/>
        <v>24</v>
      </c>
      <c r="AJ891" s="31">
        <f t="shared" ca="1" si="255"/>
        <v>9</v>
      </c>
      <c r="AK891" s="31">
        <f t="shared" ca="1" si="256"/>
        <v>54</v>
      </c>
      <c r="AL891" s="31">
        <f t="shared" ca="1" si="257"/>
        <v>41</v>
      </c>
      <c r="AM891" s="31">
        <f t="shared" ca="1" si="258"/>
        <v>2</v>
      </c>
    </row>
    <row r="892" spans="14:39">
      <c r="N892" s="26">
        <v>884</v>
      </c>
      <c r="O892" s="30">
        <f t="shared" ca="1" si="264"/>
        <v>17.681944670684995</v>
      </c>
      <c r="P892" s="30">
        <f t="shared" ca="1" si="264"/>
        <v>9.045020672405343</v>
      </c>
      <c r="Q892" s="30">
        <f t="shared" ca="1" si="264"/>
        <v>8.9897092344884992</v>
      </c>
      <c r="R892" s="30">
        <f t="shared" ca="1" si="264"/>
        <v>17.979288618050706</v>
      </c>
      <c r="S892" s="30">
        <f t="shared" ca="1" si="264"/>
        <v>15.205262746816155</v>
      </c>
      <c r="T892" s="30">
        <f t="shared" ca="1" si="264"/>
        <v>33.035540326646384</v>
      </c>
      <c r="U892" s="30">
        <f t="shared" ca="1" si="264"/>
        <v>11.393816348100048</v>
      </c>
      <c r="V892" s="30">
        <f t="shared" ca="1" si="264"/>
        <v>18.61931075395858</v>
      </c>
      <c r="W892" s="30">
        <f t="shared" ca="1" si="264"/>
        <v>6.2682874981139696</v>
      </c>
      <c r="X892" s="30">
        <f t="shared" ca="1" si="264"/>
        <v>31.812140085239559</v>
      </c>
      <c r="Y892" s="30">
        <f t="shared" ca="1" si="264"/>
        <v>31.039146711621353</v>
      </c>
      <c r="Z892" s="30">
        <f t="shared" ca="1" si="264"/>
        <v>7.4894243191573961</v>
      </c>
      <c r="AA892" s="26">
        <v>884</v>
      </c>
      <c r="AB892" s="31">
        <f t="shared" ca="1" si="259"/>
        <v>25</v>
      </c>
      <c r="AC892" s="31">
        <f t="shared" ca="1" si="248"/>
        <v>11</v>
      </c>
      <c r="AD892" s="31">
        <f t="shared" ca="1" si="249"/>
        <v>11</v>
      </c>
      <c r="AE892" s="31">
        <f t="shared" ca="1" si="250"/>
        <v>26</v>
      </c>
      <c r="AF892" s="31">
        <f t="shared" ca="1" si="251"/>
        <v>20</v>
      </c>
      <c r="AG892" s="31">
        <f t="shared" ca="1" si="252"/>
        <v>155</v>
      </c>
      <c r="AH892" s="31">
        <f t="shared" ca="1" si="253"/>
        <v>14</v>
      </c>
      <c r="AI892" s="31">
        <f t="shared" ca="1" si="254"/>
        <v>27</v>
      </c>
      <c r="AJ892" s="31">
        <f t="shared" ca="1" si="255"/>
        <v>7</v>
      </c>
      <c r="AK892" s="31">
        <f t="shared" ca="1" si="256"/>
        <v>102</v>
      </c>
      <c r="AL892" s="31">
        <f t="shared" ca="1" si="257"/>
        <v>88</v>
      </c>
      <c r="AM892" s="31">
        <f t="shared" ca="1" si="258"/>
        <v>9</v>
      </c>
    </row>
    <row r="893" spans="14:39">
      <c r="N893" s="26">
        <v>885</v>
      </c>
      <c r="O893" s="30">
        <f t="shared" ca="1" si="264"/>
        <v>30.063793400721689</v>
      </c>
      <c r="P893" s="30">
        <f t="shared" ca="1" si="264"/>
        <v>24.942172141926029</v>
      </c>
      <c r="Q893" s="30">
        <f t="shared" ca="1" si="264"/>
        <v>19.437824997195534</v>
      </c>
      <c r="R893" s="30">
        <f t="shared" ca="1" si="264"/>
        <v>27.540269395374249</v>
      </c>
      <c r="S893" s="30">
        <f t="shared" ca="1" si="264"/>
        <v>22.685096509609636</v>
      </c>
      <c r="T893" s="30">
        <f t="shared" ca="1" si="264"/>
        <v>18.972814265705555</v>
      </c>
      <c r="U893" s="30">
        <f t="shared" ca="1" si="264"/>
        <v>1.2472019563965127</v>
      </c>
      <c r="V893" s="30">
        <f t="shared" ca="1" si="264"/>
        <v>28.347364656130033</v>
      </c>
      <c r="W893" s="30">
        <f t="shared" ca="1" si="264"/>
        <v>19.875077292191108</v>
      </c>
      <c r="X893" s="30">
        <f t="shared" ca="1" si="264"/>
        <v>15.004889810506757</v>
      </c>
      <c r="Y893" s="30">
        <f t="shared" ca="1" si="264"/>
        <v>32.183405417368832</v>
      </c>
      <c r="Z893" s="30">
        <f t="shared" ca="1" si="264"/>
        <v>7.5020361851917086</v>
      </c>
      <c r="AA893" s="26">
        <v>885</v>
      </c>
      <c r="AB893" s="31">
        <f t="shared" ca="1" si="259"/>
        <v>77</v>
      </c>
      <c r="AC893" s="31">
        <f t="shared" ca="1" si="248"/>
        <v>46</v>
      </c>
      <c r="AD893" s="31">
        <f t="shared" ca="1" si="249"/>
        <v>29</v>
      </c>
      <c r="AE893" s="31">
        <f t="shared" ca="1" si="250"/>
        <v>58</v>
      </c>
      <c r="AF893" s="31">
        <f t="shared" ca="1" si="251"/>
        <v>38</v>
      </c>
      <c r="AG893" s="31">
        <f t="shared" ca="1" si="252"/>
        <v>28</v>
      </c>
      <c r="AH893" s="31">
        <f t="shared" ca="1" si="253"/>
        <v>2</v>
      </c>
      <c r="AI893" s="31">
        <f t="shared" ca="1" si="254"/>
        <v>63</v>
      </c>
      <c r="AJ893" s="31">
        <f t="shared" ca="1" si="255"/>
        <v>30</v>
      </c>
      <c r="AK893" s="31">
        <f t="shared" ca="1" si="256"/>
        <v>20</v>
      </c>
      <c r="AL893" s="31">
        <f t="shared" ca="1" si="257"/>
        <v>111</v>
      </c>
      <c r="AM893" s="31">
        <f t="shared" ca="1" si="258"/>
        <v>9</v>
      </c>
    </row>
    <row r="894" spans="14:39">
      <c r="N894" s="26">
        <v>886</v>
      </c>
      <c r="O894" s="30">
        <f t="shared" ca="1" si="264"/>
        <v>28.50015361234032</v>
      </c>
      <c r="P894" s="30">
        <f t="shared" ca="1" si="264"/>
        <v>28.390350321456783</v>
      </c>
      <c r="Q894" s="30">
        <f t="shared" ca="1" si="264"/>
        <v>0.35449678555251868</v>
      </c>
      <c r="R894" s="30">
        <f t="shared" ca="1" si="264"/>
        <v>14.019764687758959</v>
      </c>
      <c r="S894" s="30">
        <f t="shared" ca="1" si="264"/>
        <v>25.635944333262511</v>
      </c>
      <c r="T894" s="30">
        <f t="shared" ca="1" si="264"/>
        <v>32.204721027970685</v>
      </c>
      <c r="U894" s="30">
        <f t="shared" ca="1" si="264"/>
        <v>12.394118497296166</v>
      </c>
      <c r="V894" s="30">
        <f t="shared" ca="1" si="264"/>
        <v>2.7465821923092961</v>
      </c>
      <c r="W894" s="30">
        <f t="shared" ca="1" si="264"/>
        <v>2.4480120925198463</v>
      </c>
      <c r="X894" s="30">
        <f t="shared" ca="1" si="264"/>
        <v>32.556503274875304</v>
      </c>
      <c r="Y894" s="30">
        <f t="shared" ca="1" si="264"/>
        <v>1.2979054942863006</v>
      </c>
      <c r="Z894" s="30">
        <f t="shared" ca="1" si="264"/>
        <v>25.982273355702947</v>
      </c>
      <c r="AA894" s="26">
        <v>886</v>
      </c>
      <c r="AB894" s="31">
        <f t="shared" ca="1" si="259"/>
        <v>64</v>
      </c>
      <c r="AC894" s="31">
        <f t="shared" ca="1" si="248"/>
        <v>63</v>
      </c>
      <c r="AD894" s="31">
        <f t="shared" ca="1" si="249"/>
        <v>1</v>
      </c>
      <c r="AE894" s="31">
        <f t="shared" ca="1" si="250"/>
        <v>18</v>
      </c>
      <c r="AF894" s="31">
        <f t="shared" ca="1" si="251"/>
        <v>49</v>
      </c>
      <c r="AG894" s="31">
        <f t="shared" ca="1" si="252"/>
        <v>112</v>
      </c>
      <c r="AH894" s="31">
        <f t="shared" ca="1" si="253"/>
        <v>16</v>
      </c>
      <c r="AI894" s="31">
        <f t="shared" ca="1" si="254"/>
        <v>3</v>
      </c>
      <c r="AJ894" s="31">
        <f t="shared" ca="1" si="255"/>
        <v>3</v>
      </c>
      <c r="AK894" s="31">
        <f t="shared" ca="1" si="256"/>
        <v>124</v>
      </c>
      <c r="AL894" s="31">
        <f t="shared" ca="1" si="257"/>
        <v>2</v>
      </c>
      <c r="AM894" s="31">
        <f t="shared" ca="1" si="258"/>
        <v>50</v>
      </c>
    </row>
    <row r="895" spans="14:39">
      <c r="N895" s="26">
        <v>887</v>
      </c>
      <c r="O895" s="30">
        <f t="shared" ca="1" si="264"/>
        <v>15.631537280793955</v>
      </c>
      <c r="P895" s="30">
        <f t="shared" ca="1" si="264"/>
        <v>17.659899587277167</v>
      </c>
      <c r="Q895" s="30">
        <f t="shared" ca="1" si="264"/>
        <v>22.810802380975094</v>
      </c>
      <c r="R895" s="30">
        <f t="shared" ca="1" si="264"/>
        <v>29.362262194109402</v>
      </c>
      <c r="S895" s="30">
        <f t="shared" ca="1" si="264"/>
        <v>17.867062935355698</v>
      </c>
      <c r="T895" s="30">
        <f t="shared" ca="1" si="264"/>
        <v>7.5147569058422494</v>
      </c>
      <c r="U895" s="30">
        <f t="shared" ca="1" si="264"/>
        <v>12.966675061289008</v>
      </c>
      <c r="V895" s="30">
        <f t="shared" ca="1" si="264"/>
        <v>2.6845439602254326</v>
      </c>
      <c r="W895" s="30">
        <f t="shared" ca="1" si="264"/>
        <v>12.576186116011854</v>
      </c>
      <c r="X895" s="30">
        <f t="shared" ca="1" si="264"/>
        <v>13.323914939901794</v>
      </c>
      <c r="Y895" s="30">
        <f t="shared" ca="1" si="264"/>
        <v>32.276729138626699</v>
      </c>
      <c r="Z895" s="30">
        <f t="shared" ca="1" si="264"/>
        <v>18.855985452727314</v>
      </c>
      <c r="AA895" s="26">
        <v>887</v>
      </c>
      <c r="AB895" s="31">
        <f t="shared" ca="1" si="259"/>
        <v>21</v>
      </c>
      <c r="AC895" s="31">
        <f t="shared" ca="1" si="248"/>
        <v>25</v>
      </c>
      <c r="AD895" s="31">
        <f t="shared" ca="1" si="249"/>
        <v>38</v>
      </c>
      <c r="AE895" s="31">
        <f t="shared" ca="1" si="250"/>
        <v>70</v>
      </c>
      <c r="AF895" s="31">
        <f t="shared" ca="1" si="251"/>
        <v>26</v>
      </c>
      <c r="AG895" s="31">
        <f t="shared" ca="1" si="252"/>
        <v>9</v>
      </c>
      <c r="AH895" s="31">
        <f t="shared" ca="1" si="253"/>
        <v>17</v>
      </c>
      <c r="AI895" s="31">
        <f t="shared" ca="1" si="254"/>
        <v>3</v>
      </c>
      <c r="AJ895" s="31">
        <f t="shared" ca="1" si="255"/>
        <v>16</v>
      </c>
      <c r="AK895" s="31">
        <f t="shared" ca="1" si="256"/>
        <v>17</v>
      </c>
      <c r="AL895" s="31">
        <f t="shared" ca="1" si="257"/>
        <v>114</v>
      </c>
      <c r="AM895" s="31">
        <f t="shared" ca="1" si="258"/>
        <v>28</v>
      </c>
    </row>
    <row r="896" spans="14:39">
      <c r="N896" s="26">
        <v>888</v>
      </c>
      <c r="O896" s="30">
        <f t="shared" ca="1" si="264"/>
        <v>15.71143943151913</v>
      </c>
      <c r="P896" s="30">
        <f t="shared" ca="1" si="264"/>
        <v>8.5943576520418059</v>
      </c>
      <c r="Q896" s="30">
        <f t="shared" ca="1" si="264"/>
        <v>10.910001041333354</v>
      </c>
      <c r="R896" s="30">
        <f t="shared" ca="1" si="264"/>
        <v>5.8499694887367202</v>
      </c>
      <c r="S896" s="30">
        <f t="shared" ca="1" si="264"/>
        <v>11.029199774502313</v>
      </c>
      <c r="T896" s="30">
        <f t="shared" ca="1" si="264"/>
        <v>4.9874608501602378</v>
      </c>
      <c r="U896" s="30">
        <f t="shared" ca="1" si="264"/>
        <v>15.971708833335862</v>
      </c>
      <c r="V896" s="30">
        <f t="shared" ca="1" si="264"/>
        <v>21.050518130567241</v>
      </c>
      <c r="W896" s="30">
        <f t="shared" ca="1" si="264"/>
        <v>15.796954482526363</v>
      </c>
      <c r="X896" s="30">
        <f t="shared" ca="1" si="264"/>
        <v>13.492873295190666</v>
      </c>
      <c r="Y896" s="30">
        <f t="shared" ca="1" si="264"/>
        <v>23.808407931769391</v>
      </c>
      <c r="Z896" s="30">
        <f t="shared" ca="1" si="264"/>
        <v>3.2420175379864333</v>
      </c>
      <c r="AA896" s="26">
        <v>888</v>
      </c>
      <c r="AB896" s="31">
        <f t="shared" ca="1" si="259"/>
        <v>21</v>
      </c>
      <c r="AC896" s="31">
        <f t="shared" ca="1" si="248"/>
        <v>10</v>
      </c>
      <c r="AD896" s="31">
        <f t="shared" ca="1" si="249"/>
        <v>14</v>
      </c>
      <c r="AE896" s="31">
        <f t="shared" ca="1" si="250"/>
        <v>7</v>
      </c>
      <c r="AF896" s="31">
        <f t="shared" ca="1" si="251"/>
        <v>14</v>
      </c>
      <c r="AG896" s="31">
        <f t="shared" ca="1" si="252"/>
        <v>6</v>
      </c>
      <c r="AH896" s="31">
        <f t="shared" ca="1" si="253"/>
        <v>22</v>
      </c>
      <c r="AI896" s="31">
        <f t="shared" ca="1" si="254"/>
        <v>33</v>
      </c>
      <c r="AJ896" s="31">
        <f t="shared" ca="1" si="255"/>
        <v>22</v>
      </c>
      <c r="AK896" s="31">
        <f t="shared" ca="1" si="256"/>
        <v>18</v>
      </c>
      <c r="AL896" s="31">
        <f t="shared" ca="1" si="257"/>
        <v>42</v>
      </c>
      <c r="AM896" s="31">
        <f t="shared" ca="1" si="258"/>
        <v>4</v>
      </c>
    </row>
    <row r="897" spans="14:39">
      <c r="N897" s="26">
        <v>889</v>
      </c>
      <c r="O897" s="30">
        <f t="shared" ca="1" si="264"/>
        <v>27.245814965629819</v>
      </c>
      <c r="P897" s="30">
        <f t="shared" ca="1" si="264"/>
        <v>10.974550985127197</v>
      </c>
      <c r="Q897" s="30">
        <f t="shared" ca="1" si="264"/>
        <v>19.376214583328487</v>
      </c>
      <c r="R897" s="30">
        <f t="shared" ca="1" si="264"/>
        <v>20.221666129141404</v>
      </c>
      <c r="S897" s="30">
        <f t="shared" ca="1" si="264"/>
        <v>29.870958692356005</v>
      </c>
      <c r="T897" s="30">
        <f t="shared" ca="1" si="264"/>
        <v>15.120852583981135</v>
      </c>
      <c r="U897" s="30">
        <f t="shared" ca="1" si="264"/>
        <v>30.482298482699608</v>
      </c>
      <c r="V897" s="30">
        <f t="shared" ca="1" si="264"/>
        <v>15.744680871802906</v>
      </c>
      <c r="W897" s="30">
        <f t="shared" ca="1" si="264"/>
        <v>9.7461727424590237</v>
      </c>
      <c r="X897" s="30">
        <f t="shared" ca="1" si="264"/>
        <v>15.224336557295009</v>
      </c>
      <c r="Y897" s="30">
        <f t="shared" ca="1" si="264"/>
        <v>24.662228617300869</v>
      </c>
      <c r="Z897" s="30">
        <f t="shared" ca="1" si="264"/>
        <v>25.47498912139427</v>
      </c>
      <c r="AA897" s="26">
        <v>889</v>
      </c>
      <c r="AB897" s="31">
        <f t="shared" ca="1" si="259"/>
        <v>56</v>
      </c>
      <c r="AC897" s="31">
        <f t="shared" ca="1" si="248"/>
        <v>14</v>
      </c>
      <c r="AD897" s="31">
        <f t="shared" ca="1" si="249"/>
        <v>29</v>
      </c>
      <c r="AE897" s="31">
        <f t="shared" ca="1" si="250"/>
        <v>31</v>
      </c>
      <c r="AF897" s="31">
        <f t="shared" ca="1" si="251"/>
        <v>75</v>
      </c>
      <c r="AG897" s="31">
        <f t="shared" ca="1" si="252"/>
        <v>20</v>
      </c>
      <c r="AH897" s="31">
        <f t="shared" ca="1" si="253"/>
        <v>81</v>
      </c>
      <c r="AI897" s="31">
        <f t="shared" ca="1" si="254"/>
        <v>21</v>
      </c>
      <c r="AJ897" s="31">
        <f t="shared" ca="1" si="255"/>
        <v>12</v>
      </c>
      <c r="AK897" s="31">
        <f t="shared" ca="1" si="256"/>
        <v>21</v>
      </c>
      <c r="AL897" s="31">
        <f t="shared" ca="1" si="257"/>
        <v>45</v>
      </c>
      <c r="AM897" s="31">
        <f t="shared" ca="1" si="258"/>
        <v>48</v>
      </c>
    </row>
    <row r="898" spans="14:39">
      <c r="N898" s="26">
        <v>890</v>
      </c>
      <c r="O898" s="30">
        <f t="shared" ca="1" si="264"/>
        <v>11.589257669907763</v>
      </c>
      <c r="P898" s="30">
        <f t="shared" ca="1" si="264"/>
        <v>3.1027072764226662</v>
      </c>
      <c r="Q898" s="30">
        <f t="shared" ca="1" si="264"/>
        <v>30.158362131062479</v>
      </c>
      <c r="R898" s="30">
        <f t="shared" ca="1" si="264"/>
        <v>22.397449319792781</v>
      </c>
      <c r="S898" s="30">
        <f t="shared" ca="1" si="264"/>
        <v>11.446230792001492</v>
      </c>
      <c r="T898" s="30">
        <f t="shared" ca="1" si="264"/>
        <v>6.2124007603009108</v>
      </c>
      <c r="U898" s="30">
        <f t="shared" ca="1" si="264"/>
        <v>7.2318369123770854</v>
      </c>
      <c r="V898" s="30">
        <f t="shared" ca="1" si="264"/>
        <v>7.887993406599942</v>
      </c>
      <c r="W898" s="30">
        <f t="shared" ca="1" si="264"/>
        <v>20.807113657293563</v>
      </c>
      <c r="X898" s="30">
        <f t="shared" ca="1" si="264"/>
        <v>5.9269522047861303</v>
      </c>
      <c r="Y898" s="30">
        <f t="shared" ca="1" si="264"/>
        <v>27.577354524228863</v>
      </c>
      <c r="Z898" s="30">
        <f t="shared" ca="1" si="264"/>
        <v>5.2731059654156773</v>
      </c>
      <c r="AA898" s="26">
        <v>890</v>
      </c>
      <c r="AB898" s="31">
        <f t="shared" ca="1" si="259"/>
        <v>15</v>
      </c>
      <c r="AC898" s="31">
        <f t="shared" ca="1" si="248"/>
        <v>4</v>
      </c>
      <c r="AD898" s="31">
        <f t="shared" ca="1" si="249"/>
        <v>78</v>
      </c>
      <c r="AE898" s="31">
        <f t="shared" ca="1" si="250"/>
        <v>37</v>
      </c>
      <c r="AF898" s="31">
        <f t="shared" ca="1" si="251"/>
        <v>14</v>
      </c>
      <c r="AG898" s="31">
        <f t="shared" ca="1" si="252"/>
        <v>7</v>
      </c>
      <c r="AH898" s="31">
        <f t="shared" ca="1" si="253"/>
        <v>9</v>
      </c>
      <c r="AI898" s="31">
        <f t="shared" ca="1" si="254"/>
        <v>9</v>
      </c>
      <c r="AJ898" s="31">
        <f t="shared" ca="1" si="255"/>
        <v>33</v>
      </c>
      <c r="AK898" s="31">
        <f t="shared" ca="1" si="256"/>
        <v>7</v>
      </c>
      <c r="AL898" s="31">
        <f t="shared" ca="1" si="257"/>
        <v>58</v>
      </c>
      <c r="AM898" s="31">
        <f t="shared" ca="1" si="258"/>
        <v>6</v>
      </c>
    </row>
    <row r="899" spans="14:39">
      <c r="N899" s="26">
        <v>891</v>
      </c>
      <c r="O899" s="30">
        <f t="shared" ref="O899:Z908" ca="1" si="265">RAND()*sumweights</f>
        <v>9.2690703435728352</v>
      </c>
      <c r="P899" s="30">
        <f t="shared" ca="1" si="265"/>
        <v>24.237413449131125</v>
      </c>
      <c r="Q899" s="30">
        <f t="shared" ca="1" si="265"/>
        <v>16.45809990918633</v>
      </c>
      <c r="R899" s="30">
        <f t="shared" ca="1" si="265"/>
        <v>6.4711201921039372</v>
      </c>
      <c r="S899" s="30">
        <f t="shared" ca="1" si="265"/>
        <v>16.785585940114121</v>
      </c>
      <c r="T899" s="30">
        <f t="shared" ca="1" si="265"/>
        <v>17.403498962636647</v>
      </c>
      <c r="U899" s="30">
        <f t="shared" ca="1" si="265"/>
        <v>4.7440978030647125</v>
      </c>
      <c r="V899" s="30">
        <f t="shared" ca="1" si="265"/>
        <v>18.469226331561096</v>
      </c>
      <c r="W899" s="30">
        <f t="shared" ca="1" si="265"/>
        <v>21.141884984633894</v>
      </c>
      <c r="X899" s="30">
        <f t="shared" ca="1" si="265"/>
        <v>20.456158224518582</v>
      </c>
      <c r="Y899" s="30">
        <f t="shared" ca="1" si="265"/>
        <v>2.5113589966981849</v>
      </c>
      <c r="Z899" s="30">
        <f t="shared" ca="1" si="265"/>
        <v>21.118239644809936</v>
      </c>
      <c r="AA899" s="26">
        <v>891</v>
      </c>
      <c r="AB899" s="31">
        <f t="shared" ca="1" si="259"/>
        <v>11</v>
      </c>
      <c r="AC899" s="31">
        <f t="shared" ca="1" si="248"/>
        <v>43</v>
      </c>
      <c r="AD899" s="31">
        <f t="shared" ca="1" si="249"/>
        <v>23</v>
      </c>
      <c r="AE899" s="31">
        <f t="shared" ca="1" si="250"/>
        <v>8</v>
      </c>
      <c r="AF899" s="31">
        <f t="shared" ca="1" si="251"/>
        <v>23</v>
      </c>
      <c r="AG899" s="31">
        <f t="shared" ca="1" si="252"/>
        <v>25</v>
      </c>
      <c r="AH899" s="31">
        <f t="shared" ca="1" si="253"/>
        <v>6</v>
      </c>
      <c r="AI899" s="31">
        <f t="shared" ca="1" si="254"/>
        <v>27</v>
      </c>
      <c r="AJ899" s="31">
        <f t="shared" ca="1" si="255"/>
        <v>34</v>
      </c>
      <c r="AK899" s="31">
        <f t="shared" ca="1" si="256"/>
        <v>32</v>
      </c>
      <c r="AL899" s="31">
        <f t="shared" ca="1" si="257"/>
        <v>3</v>
      </c>
      <c r="AM899" s="31">
        <f t="shared" ca="1" si="258"/>
        <v>33</v>
      </c>
    </row>
    <row r="900" spans="14:39">
      <c r="N900" s="26">
        <v>892</v>
      </c>
      <c r="O900" s="30">
        <f t="shared" ca="1" si="265"/>
        <v>32.804971929133274</v>
      </c>
      <c r="P900" s="30">
        <f t="shared" ca="1" si="265"/>
        <v>26.581118769877303</v>
      </c>
      <c r="Q900" s="30">
        <f t="shared" ca="1" si="265"/>
        <v>2.5186705146588846</v>
      </c>
      <c r="R900" s="30">
        <f t="shared" ca="1" si="265"/>
        <v>22.029299509402168</v>
      </c>
      <c r="S900" s="30">
        <f t="shared" ca="1" si="265"/>
        <v>28.256053856459815</v>
      </c>
      <c r="T900" s="30">
        <f t="shared" ca="1" si="265"/>
        <v>14.645771889586797</v>
      </c>
      <c r="U900" s="30">
        <f t="shared" ca="1" si="265"/>
        <v>32.962686985659467</v>
      </c>
      <c r="V900" s="30">
        <f t="shared" ca="1" si="265"/>
        <v>4.1141613747153931</v>
      </c>
      <c r="W900" s="30">
        <f t="shared" ca="1" si="265"/>
        <v>24.880087113065468</v>
      </c>
      <c r="X900" s="30">
        <f t="shared" ca="1" si="265"/>
        <v>32.126723479778661</v>
      </c>
      <c r="Y900" s="30">
        <f t="shared" ca="1" si="265"/>
        <v>8.4868539411369479</v>
      </c>
      <c r="Z900" s="30">
        <f t="shared" ca="1" si="265"/>
        <v>13.043527910747406</v>
      </c>
      <c r="AA900" s="26">
        <v>892</v>
      </c>
      <c r="AB900" s="31">
        <f t="shared" ca="1" si="259"/>
        <v>137</v>
      </c>
      <c r="AC900" s="31">
        <f t="shared" ca="1" si="248"/>
        <v>53</v>
      </c>
      <c r="AD900" s="31">
        <f t="shared" ca="1" si="249"/>
        <v>3</v>
      </c>
      <c r="AE900" s="31">
        <f t="shared" ca="1" si="250"/>
        <v>36</v>
      </c>
      <c r="AF900" s="31">
        <f t="shared" ca="1" si="251"/>
        <v>62</v>
      </c>
      <c r="AG900" s="31">
        <f t="shared" ca="1" si="252"/>
        <v>19</v>
      </c>
      <c r="AH900" s="31">
        <f t="shared" ca="1" si="253"/>
        <v>148</v>
      </c>
      <c r="AI900" s="31">
        <f t="shared" ca="1" si="254"/>
        <v>5</v>
      </c>
      <c r="AJ900" s="31">
        <f t="shared" ca="1" si="255"/>
        <v>46</v>
      </c>
      <c r="AK900" s="31">
        <f t="shared" ca="1" si="256"/>
        <v>109</v>
      </c>
      <c r="AL900" s="31">
        <f t="shared" ca="1" si="257"/>
        <v>10</v>
      </c>
      <c r="AM900" s="31">
        <f t="shared" ca="1" si="258"/>
        <v>17</v>
      </c>
    </row>
    <row r="901" spans="14:39">
      <c r="N901" s="26">
        <v>893</v>
      </c>
      <c r="O901" s="30">
        <f t="shared" ca="1" si="265"/>
        <v>24.205062286015931</v>
      </c>
      <c r="P901" s="30">
        <f t="shared" ca="1" si="265"/>
        <v>18.46651260039302</v>
      </c>
      <c r="Q901" s="30">
        <f t="shared" ca="1" si="265"/>
        <v>23.572859919525467</v>
      </c>
      <c r="R901" s="30">
        <f t="shared" ca="1" si="265"/>
        <v>14.353162895209083</v>
      </c>
      <c r="S901" s="30">
        <f t="shared" ca="1" si="265"/>
        <v>13.235327943162321</v>
      </c>
      <c r="T901" s="30">
        <f t="shared" ca="1" si="265"/>
        <v>30.234518525915707</v>
      </c>
      <c r="U901" s="30">
        <f t="shared" ca="1" si="265"/>
        <v>25.940471256210515</v>
      </c>
      <c r="V901" s="30">
        <f t="shared" ca="1" si="265"/>
        <v>6.2479458349564387</v>
      </c>
      <c r="W901" s="30">
        <f t="shared" ca="1" si="265"/>
        <v>9.2731126961758523</v>
      </c>
      <c r="X901" s="30">
        <f t="shared" ca="1" si="265"/>
        <v>11.406464308081693</v>
      </c>
      <c r="Y901" s="30">
        <f t="shared" ca="1" si="265"/>
        <v>18.422779388300437</v>
      </c>
      <c r="Z901" s="30">
        <f t="shared" ca="1" si="265"/>
        <v>0.26768586215369927</v>
      </c>
      <c r="AA901" s="26">
        <v>893</v>
      </c>
      <c r="AB901" s="31">
        <f t="shared" ca="1" si="259"/>
        <v>43</v>
      </c>
      <c r="AC901" s="31">
        <f t="shared" ca="1" si="248"/>
        <v>27</v>
      </c>
      <c r="AD901" s="31">
        <f t="shared" ca="1" si="249"/>
        <v>41</v>
      </c>
      <c r="AE901" s="31">
        <f t="shared" ca="1" si="250"/>
        <v>19</v>
      </c>
      <c r="AF901" s="31">
        <f t="shared" ca="1" si="251"/>
        <v>17</v>
      </c>
      <c r="AG901" s="31">
        <f t="shared" ca="1" si="252"/>
        <v>78</v>
      </c>
      <c r="AH901" s="31">
        <f t="shared" ca="1" si="253"/>
        <v>50</v>
      </c>
      <c r="AI901" s="31">
        <f t="shared" ca="1" si="254"/>
        <v>7</v>
      </c>
      <c r="AJ901" s="31">
        <f t="shared" ca="1" si="255"/>
        <v>11</v>
      </c>
      <c r="AK901" s="31">
        <f t="shared" ca="1" si="256"/>
        <v>14</v>
      </c>
      <c r="AL901" s="31">
        <f t="shared" ca="1" si="257"/>
        <v>27</v>
      </c>
      <c r="AM901" s="31">
        <f t="shared" ca="1" si="258"/>
        <v>1</v>
      </c>
    </row>
    <row r="902" spans="14:39">
      <c r="N902" s="26">
        <v>894</v>
      </c>
      <c r="O902" s="30">
        <f t="shared" ca="1" si="265"/>
        <v>10.33006526225379</v>
      </c>
      <c r="P902" s="30">
        <f t="shared" ca="1" si="265"/>
        <v>29.475620340058686</v>
      </c>
      <c r="Q902" s="30">
        <f t="shared" ca="1" si="265"/>
        <v>21.221099915853515</v>
      </c>
      <c r="R902" s="30">
        <f t="shared" ca="1" si="265"/>
        <v>21.081375987717266</v>
      </c>
      <c r="S902" s="30">
        <f t="shared" ca="1" si="265"/>
        <v>19.27805166609873</v>
      </c>
      <c r="T902" s="30">
        <f t="shared" ca="1" si="265"/>
        <v>31.561010853031082</v>
      </c>
      <c r="U902" s="30">
        <f t="shared" ca="1" si="265"/>
        <v>24.817122533135947</v>
      </c>
      <c r="V902" s="30">
        <f t="shared" ca="1" si="265"/>
        <v>28.623180244259792</v>
      </c>
      <c r="W902" s="30">
        <f t="shared" ca="1" si="265"/>
        <v>19.822202765550042</v>
      </c>
      <c r="X902" s="30">
        <f t="shared" ca="1" si="265"/>
        <v>19.871240636542566</v>
      </c>
      <c r="Y902" s="30">
        <f t="shared" ca="1" si="265"/>
        <v>32.864801846452067</v>
      </c>
      <c r="Z902" s="30">
        <f t="shared" ca="1" si="265"/>
        <v>11.311782496655377</v>
      </c>
      <c r="AA902" s="26">
        <v>894</v>
      </c>
      <c r="AB902" s="31">
        <f t="shared" ca="1" si="259"/>
        <v>13</v>
      </c>
      <c r="AC902" s="31">
        <f t="shared" ca="1" si="248"/>
        <v>71</v>
      </c>
      <c r="AD902" s="31">
        <f t="shared" ca="1" si="249"/>
        <v>34</v>
      </c>
      <c r="AE902" s="31">
        <f t="shared" ca="1" si="250"/>
        <v>33</v>
      </c>
      <c r="AF902" s="31">
        <f t="shared" ca="1" si="251"/>
        <v>29</v>
      </c>
      <c r="AG902" s="31">
        <f t="shared" ca="1" si="252"/>
        <v>97</v>
      </c>
      <c r="AH902" s="31">
        <f t="shared" ca="1" si="253"/>
        <v>45</v>
      </c>
      <c r="AI902" s="31">
        <f t="shared" ca="1" si="254"/>
        <v>65</v>
      </c>
      <c r="AJ902" s="31">
        <f t="shared" ca="1" si="255"/>
        <v>30</v>
      </c>
      <c r="AK902" s="31">
        <f t="shared" ca="1" si="256"/>
        <v>30</v>
      </c>
      <c r="AL902" s="31">
        <f t="shared" ca="1" si="257"/>
        <v>141</v>
      </c>
      <c r="AM902" s="31">
        <f t="shared" ca="1" si="258"/>
        <v>14</v>
      </c>
    </row>
    <row r="903" spans="14:39">
      <c r="N903" s="26">
        <v>895</v>
      </c>
      <c r="O903" s="30">
        <f t="shared" ca="1" si="265"/>
        <v>15.635013692984511</v>
      </c>
      <c r="P903" s="30">
        <f t="shared" ca="1" si="265"/>
        <v>8.9310787003534813</v>
      </c>
      <c r="Q903" s="30">
        <f t="shared" ca="1" si="265"/>
        <v>12.082871860036015</v>
      </c>
      <c r="R903" s="30">
        <f t="shared" ca="1" si="265"/>
        <v>15.537170967713468</v>
      </c>
      <c r="S903" s="30">
        <f t="shared" ca="1" si="265"/>
        <v>20.828537815063907</v>
      </c>
      <c r="T903" s="30">
        <f t="shared" ca="1" si="265"/>
        <v>25.350868215026793</v>
      </c>
      <c r="U903" s="30">
        <f t="shared" ca="1" si="265"/>
        <v>21.822626558247112</v>
      </c>
      <c r="V903" s="30">
        <f t="shared" ca="1" si="265"/>
        <v>9.3416615905257974</v>
      </c>
      <c r="W903" s="30">
        <f t="shared" ca="1" si="265"/>
        <v>29.611320035834275</v>
      </c>
      <c r="X903" s="30">
        <f t="shared" ca="1" si="265"/>
        <v>0.14551060818955083</v>
      </c>
      <c r="Y903" s="30">
        <f t="shared" ca="1" si="265"/>
        <v>23.497922312512692</v>
      </c>
      <c r="Z903" s="30">
        <f t="shared" ca="1" si="265"/>
        <v>17.968167973921258</v>
      </c>
      <c r="AA903" s="26">
        <v>895</v>
      </c>
      <c r="AB903" s="31">
        <f t="shared" ca="1" si="259"/>
        <v>21</v>
      </c>
      <c r="AC903" s="31">
        <f t="shared" ca="1" si="248"/>
        <v>11</v>
      </c>
      <c r="AD903" s="31">
        <f t="shared" ca="1" si="249"/>
        <v>15</v>
      </c>
      <c r="AE903" s="31">
        <f t="shared" ca="1" si="250"/>
        <v>21</v>
      </c>
      <c r="AF903" s="31">
        <f t="shared" ca="1" si="251"/>
        <v>33</v>
      </c>
      <c r="AG903" s="31">
        <f t="shared" ca="1" si="252"/>
        <v>47</v>
      </c>
      <c r="AH903" s="31">
        <f t="shared" ca="1" si="253"/>
        <v>35</v>
      </c>
      <c r="AI903" s="31">
        <f t="shared" ca="1" si="254"/>
        <v>11</v>
      </c>
      <c r="AJ903" s="31">
        <f t="shared" ca="1" si="255"/>
        <v>72</v>
      </c>
      <c r="AK903" s="31">
        <f t="shared" ca="1" si="256"/>
        <v>1</v>
      </c>
      <c r="AL903" s="31">
        <f t="shared" ca="1" si="257"/>
        <v>41</v>
      </c>
      <c r="AM903" s="31">
        <f t="shared" ca="1" si="258"/>
        <v>26</v>
      </c>
    </row>
    <row r="904" spans="14:39">
      <c r="N904" s="26">
        <v>896</v>
      </c>
      <c r="O904" s="30">
        <f t="shared" ca="1" si="265"/>
        <v>30.199066522339358</v>
      </c>
      <c r="P904" s="30">
        <f t="shared" ca="1" si="265"/>
        <v>31.500287882646631</v>
      </c>
      <c r="Q904" s="30">
        <f t="shared" ca="1" si="265"/>
        <v>13.399809653197195</v>
      </c>
      <c r="R904" s="30">
        <f t="shared" ca="1" si="265"/>
        <v>20.566637721999086</v>
      </c>
      <c r="S904" s="30">
        <f t="shared" ca="1" si="265"/>
        <v>24.27786218135984</v>
      </c>
      <c r="T904" s="30">
        <f t="shared" ca="1" si="265"/>
        <v>14.858172903561556</v>
      </c>
      <c r="U904" s="30">
        <f t="shared" ca="1" si="265"/>
        <v>8.5292509704041741</v>
      </c>
      <c r="V904" s="30">
        <f t="shared" ca="1" si="265"/>
        <v>8.7418671612645138</v>
      </c>
      <c r="W904" s="30">
        <f t="shared" ca="1" si="265"/>
        <v>20.558982158745476</v>
      </c>
      <c r="X904" s="30">
        <f t="shared" ca="1" si="265"/>
        <v>4.1267825568378163</v>
      </c>
      <c r="Y904" s="30">
        <f t="shared" ca="1" si="265"/>
        <v>9.9827253937715916</v>
      </c>
      <c r="Z904" s="30">
        <f t="shared" ca="1" si="265"/>
        <v>13.496962835471185</v>
      </c>
      <c r="AA904" s="26">
        <v>896</v>
      </c>
      <c r="AB904" s="31">
        <f t="shared" ca="1" si="259"/>
        <v>78</v>
      </c>
      <c r="AC904" s="31">
        <f t="shared" ca="1" si="248"/>
        <v>96</v>
      </c>
      <c r="AD904" s="31">
        <f t="shared" ca="1" si="249"/>
        <v>17</v>
      </c>
      <c r="AE904" s="31">
        <f t="shared" ca="1" si="250"/>
        <v>32</v>
      </c>
      <c r="AF904" s="31">
        <f t="shared" ca="1" si="251"/>
        <v>43</v>
      </c>
      <c r="AG904" s="31">
        <f t="shared" ca="1" si="252"/>
        <v>20</v>
      </c>
      <c r="AH904" s="31">
        <f t="shared" ca="1" si="253"/>
        <v>10</v>
      </c>
      <c r="AI904" s="31">
        <f t="shared" ca="1" si="254"/>
        <v>10</v>
      </c>
      <c r="AJ904" s="31">
        <f t="shared" ca="1" si="255"/>
        <v>32</v>
      </c>
      <c r="AK904" s="31">
        <f t="shared" ca="1" si="256"/>
        <v>5</v>
      </c>
      <c r="AL904" s="31">
        <f t="shared" ca="1" si="257"/>
        <v>12</v>
      </c>
      <c r="AM904" s="31">
        <f t="shared" ca="1" si="258"/>
        <v>18</v>
      </c>
    </row>
    <row r="905" spans="14:39">
      <c r="N905" s="26">
        <v>897</v>
      </c>
      <c r="O905" s="30">
        <f t="shared" ca="1" si="265"/>
        <v>20.195314307480547</v>
      </c>
      <c r="P905" s="30">
        <f t="shared" ca="1" si="265"/>
        <v>30.945606247193698</v>
      </c>
      <c r="Q905" s="30">
        <f t="shared" ca="1" si="265"/>
        <v>7.8419995133021665</v>
      </c>
      <c r="R905" s="30">
        <f t="shared" ca="1" si="265"/>
        <v>25.632772568492925</v>
      </c>
      <c r="S905" s="30">
        <f t="shared" ca="1" si="265"/>
        <v>18.510245509108202</v>
      </c>
      <c r="T905" s="30">
        <f t="shared" ca="1" si="265"/>
        <v>21.387617409279244</v>
      </c>
      <c r="U905" s="30">
        <f t="shared" ca="1" si="265"/>
        <v>22.729007436563695</v>
      </c>
      <c r="V905" s="30">
        <f t="shared" ca="1" si="265"/>
        <v>22.039189677108485</v>
      </c>
      <c r="W905" s="30">
        <f t="shared" ca="1" si="265"/>
        <v>13.797516523050145</v>
      </c>
      <c r="X905" s="30">
        <f t="shared" ca="1" si="265"/>
        <v>0.78494766256870374</v>
      </c>
      <c r="Y905" s="30">
        <f t="shared" ca="1" si="265"/>
        <v>25.315871426569167</v>
      </c>
      <c r="Z905" s="30">
        <f t="shared" ca="1" si="265"/>
        <v>16.684662802691086</v>
      </c>
      <c r="AA905" s="26">
        <v>897</v>
      </c>
      <c r="AB905" s="31">
        <f t="shared" ca="1" si="259"/>
        <v>31</v>
      </c>
      <c r="AC905" s="31">
        <f t="shared" ref="AC905:AC968" ca="1" si="266">MATCH(P905,cum_wt,1)</f>
        <v>87</v>
      </c>
      <c r="AD905" s="31">
        <f t="shared" ref="AD905:AD968" ca="1" si="267">MATCH(Q905,cum_wt,1)</f>
        <v>9</v>
      </c>
      <c r="AE905" s="31">
        <f t="shared" ref="AE905:AE968" ca="1" si="268">MATCH(R905,cum_wt,1)</f>
        <v>49</v>
      </c>
      <c r="AF905" s="31">
        <f t="shared" ref="AF905:AF968" ca="1" si="269">MATCH(S905,cum_wt,1)</f>
        <v>27</v>
      </c>
      <c r="AG905" s="31">
        <f t="shared" ref="AG905:AG968" ca="1" si="270">MATCH(T905,cum_wt,1)</f>
        <v>34</v>
      </c>
      <c r="AH905" s="31">
        <f t="shared" ref="AH905:AH968" ca="1" si="271">MATCH(U905,cum_wt,1)</f>
        <v>38</v>
      </c>
      <c r="AI905" s="31">
        <f t="shared" ref="AI905:AI968" ca="1" si="272">MATCH(V905,cum_wt,1)</f>
        <v>36</v>
      </c>
      <c r="AJ905" s="31">
        <f t="shared" ref="AJ905:AJ968" ca="1" si="273">MATCH(W905,cum_wt,1)</f>
        <v>18</v>
      </c>
      <c r="AK905" s="31">
        <f t="shared" ref="AK905:AK968" ca="1" si="274">MATCH(X905,cum_wt,1)</f>
        <v>1</v>
      </c>
      <c r="AL905" s="31">
        <f t="shared" ref="AL905:AL968" ca="1" si="275">MATCH(Y905,cum_wt,1)</f>
        <v>47</v>
      </c>
      <c r="AM905" s="31">
        <f t="shared" ref="AM905:AM968" ca="1" si="276">MATCH(Z905,cum_wt,1)</f>
        <v>23</v>
      </c>
    </row>
    <row r="906" spans="14:39">
      <c r="N906" s="26">
        <v>898</v>
      </c>
      <c r="O906" s="30">
        <f t="shared" ca="1" si="265"/>
        <v>13.402496000532864</v>
      </c>
      <c r="P906" s="30">
        <f t="shared" ca="1" si="265"/>
        <v>15.005559917026844</v>
      </c>
      <c r="Q906" s="30">
        <f t="shared" ca="1" si="265"/>
        <v>31.944903234940497</v>
      </c>
      <c r="R906" s="30">
        <f t="shared" ca="1" si="265"/>
        <v>31.925585058914557</v>
      </c>
      <c r="S906" s="30">
        <f t="shared" ca="1" si="265"/>
        <v>3.1730370153632403</v>
      </c>
      <c r="T906" s="30">
        <f t="shared" ca="1" si="265"/>
        <v>32.980402998625358</v>
      </c>
      <c r="U906" s="30">
        <f t="shared" ca="1" si="265"/>
        <v>13.765438013509677</v>
      </c>
      <c r="V906" s="30">
        <f t="shared" ca="1" si="265"/>
        <v>22.805414049436248</v>
      </c>
      <c r="W906" s="30">
        <f t="shared" ca="1" si="265"/>
        <v>4.6547868120147182</v>
      </c>
      <c r="X906" s="30">
        <f t="shared" ca="1" si="265"/>
        <v>4.6420348059349505</v>
      </c>
      <c r="Y906" s="30">
        <f t="shared" ca="1" si="265"/>
        <v>12.058373833408263</v>
      </c>
      <c r="Z906" s="30">
        <f t="shared" ca="1" si="265"/>
        <v>7.0195965597128298</v>
      </c>
      <c r="AA906" s="26">
        <v>898</v>
      </c>
      <c r="AB906" s="31">
        <f t="shared" ref="AB906:AB969" ca="1" si="277">MATCH(O906,cum_wt,1)</f>
        <v>17</v>
      </c>
      <c r="AC906" s="31">
        <f t="shared" ca="1" si="266"/>
        <v>20</v>
      </c>
      <c r="AD906" s="31">
        <f t="shared" ca="1" si="267"/>
        <v>105</v>
      </c>
      <c r="AE906" s="31">
        <f t="shared" ca="1" si="268"/>
        <v>104</v>
      </c>
      <c r="AF906" s="31">
        <f t="shared" ca="1" si="269"/>
        <v>4</v>
      </c>
      <c r="AG906" s="31">
        <f t="shared" ca="1" si="270"/>
        <v>150</v>
      </c>
      <c r="AH906" s="31">
        <f t="shared" ca="1" si="271"/>
        <v>18</v>
      </c>
      <c r="AI906" s="31">
        <f t="shared" ca="1" si="272"/>
        <v>38</v>
      </c>
      <c r="AJ906" s="31">
        <f t="shared" ca="1" si="273"/>
        <v>5</v>
      </c>
      <c r="AK906" s="31">
        <f t="shared" ca="1" si="274"/>
        <v>5</v>
      </c>
      <c r="AL906" s="31">
        <f t="shared" ca="1" si="275"/>
        <v>15</v>
      </c>
      <c r="AM906" s="31">
        <f t="shared" ca="1" si="276"/>
        <v>8</v>
      </c>
    </row>
    <row r="907" spans="14:39">
      <c r="N907" s="26">
        <v>899</v>
      </c>
      <c r="O907" s="30">
        <f t="shared" ca="1" si="265"/>
        <v>7.36436711635801</v>
      </c>
      <c r="P907" s="30">
        <f t="shared" ca="1" si="265"/>
        <v>24.854676653158844</v>
      </c>
      <c r="Q907" s="30">
        <f t="shared" ca="1" si="265"/>
        <v>17.032506829421727</v>
      </c>
      <c r="R907" s="30">
        <f t="shared" ca="1" si="265"/>
        <v>26.621165136821446</v>
      </c>
      <c r="S907" s="30">
        <f t="shared" ca="1" si="265"/>
        <v>20.449505349213478</v>
      </c>
      <c r="T907" s="30">
        <f t="shared" ca="1" si="265"/>
        <v>26.253567290611524</v>
      </c>
      <c r="U907" s="30">
        <f t="shared" ca="1" si="265"/>
        <v>21.913247397013631</v>
      </c>
      <c r="V907" s="30">
        <f t="shared" ca="1" si="265"/>
        <v>11.988062764235986</v>
      </c>
      <c r="W907" s="30">
        <f t="shared" ca="1" si="265"/>
        <v>16.503846846969775</v>
      </c>
      <c r="X907" s="30">
        <f t="shared" ca="1" si="265"/>
        <v>14.731291357742213</v>
      </c>
      <c r="Y907" s="30">
        <f t="shared" ca="1" si="265"/>
        <v>11.538234727285392</v>
      </c>
      <c r="Z907" s="30">
        <f t="shared" ca="1" si="265"/>
        <v>1.8027402832852193</v>
      </c>
      <c r="AA907" s="26">
        <v>899</v>
      </c>
      <c r="AB907" s="31">
        <f t="shared" ca="1" si="277"/>
        <v>9</v>
      </c>
      <c r="AC907" s="31">
        <f t="shared" ca="1" si="266"/>
        <v>45</v>
      </c>
      <c r="AD907" s="31">
        <f t="shared" ca="1" si="267"/>
        <v>24</v>
      </c>
      <c r="AE907" s="31">
        <f t="shared" ca="1" si="268"/>
        <v>53</v>
      </c>
      <c r="AF907" s="31">
        <f t="shared" ca="1" si="269"/>
        <v>32</v>
      </c>
      <c r="AG907" s="31">
        <f t="shared" ca="1" si="270"/>
        <v>51</v>
      </c>
      <c r="AH907" s="31">
        <f t="shared" ca="1" si="271"/>
        <v>36</v>
      </c>
      <c r="AI907" s="31">
        <f t="shared" ca="1" si="272"/>
        <v>15</v>
      </c>
      <c r="AJ907" s="31">
        <f t="shared" ca="1" si="273"/>
        <v>23</v>
      </c>
      <c r="AK907" s="31">
        <f t="shared" ca="1" si="274"/>
        <v>20</v>
      </c>
      <c r="AL907" s="31">
        <f t="shared" ca="1" si="275"/>
        <v>14</v>
      </c>
      <c r="AM907" s="31">
        <f t="shared" ca="1" si="276"/>
        <v>2</v>
      </c>
    </row>
    <row r="908" spans="14:39">
      <c r="N908" s="26">
        <v>900</v>
      </c>
      <c r="O908" s="30">
        <f t="shared" ca="1" si="265"/>
        <v>11.589374123428172</v>
      </c>
      <c r="P908" s="30">
        <f t="shared" ca="1" si="265"/>
        <v>25.75232122056094</v>
      </c>
      <c r="Q908" s="30">
        <f t="shared" ca="1" si="265"/>
        <v>1.1857926182914746</v>
      </c>
      <c r="R908" s="30">
        <f t="shared" ca="1" si="265"/>
        <v>31.481672925707187</v>
      </c>
      <c r="S908" s="30">
        <f t="shared" ca="1" si="265"/>
        <v>16.06296670405176</v>
      </c>
      <c r="T908" s="30">
        <f t="shared" ca="1" si="265"/>
        <v>30.420520229489703</v>
      </c>
      <c r="U908" s="30">
        <f t="shared" ca="1" si="265"/>
        <v>26.777457753239883</v>
      </c>
      <c r="V908" s="30">
        <f t="shared" ca="1" si="265"/>
        <v>4.9237376207860253</v>
      </c>
      <c r="W908" s="30">
        <f t="shared" ca="1" si="265"/>
        <v>14.649801903781952</v>
      </c>
      <c r="X908" s="30">
        <f t="shared" ca="1" si="265"/>
        <v>1.7348428546368362</v>
      </c>
      <c r="Y908" s="30">
        <f t="shared" ca="1" si="265"/>
        <v>19.635166516719018</v>
      </c>
      <c r="Z908" s="30">
        <f t="shared" ca="1" si="265"/>
        <v>12.605339925346621</v>
      </c>
      <c r="AA908" s="26">
        <v>900</v>
      </c>
      <c r="AB908" s="31">
        <f t="shared" ca="1" si="277"/>
        <v>15</v>
      </c>
      <c r="AC908" s="31">
        <f t="shared" ca="1" si="266"/>
        <v>49</v>
      </c>
      <c r="AD908" s="31">
        <f t="shared" ca="1" si="267"/>
        <v>2</v>
      </c>
      <c r="AE908" s="31">
        <f t="shared" ca="1" si="268"/>
        <v>95</v>
      </c>
      <c r="AF908" s="31">
        <f t="shared" ca="1" si="269"/>
        <v>22</v>
      </c>
      <c r="AG908" s="31">
        <f t="shared" ca="1" si="270"/>
        <v>81</v>
      </c>
      <c r="AH908" s="31">
        <f t="shared" ca="1" si="271"/>
        <v>54</v>
      </c>
      <c r="AI908" s="31">
        <f t="shared" ca="1" si="272"/>
        <v>6</v>
      </c>
      <c r="AJ908" s="31">
        <f t="shared" ca="1" si="273"/>
        <v>20</v>
      </c>
      <c r="AK908" s="31">
        <f t="shared" ca="1" si="274"/>
        <v>2</v>
      </c>
      <c r="AL908" s="31">
        <f t="shared" ca="1" si="275"/>
        <v>30</v>
      </c>
      <c r="AM908" s="31">
        <f t="shared" ca="1" si="276"/>
        <v>16</v>
      </c>
    </row>
    <row r="909" spans="14:39">
      <c r="N909" s="26">
        <v>901</v>
      </c>
      <c r="O909" s="30">
        <f t="shared" ref="O909:Z918" ca="1" si="278">RAND()*sumweights</f>
        <v>21.305312495088391</v>
      </c>
      <c r="P909" s="30">
        <f t="shared" ca="1" si="278"/>
        <v>30.333936479761203</v>
      </c>
      <c r="Q909" s="30">
        <f t="shared" ca="1" si="278"/>
        <v>11.61845307706605</v>
      </c>
      <c r="R909" s="30">
        <f t="shared" ca="1" si="278"/>
        <v>31.606265528239611</v>
      </c>
      <c r="S909" s="30">
        <f t="shared" ca="1" si="278"/>
        <v>12.314987315081398</v>
      </c>
      <c r="T909" s="30">
        <f t="shared" ca="1" si="278"/>
        <v>22.429288487146554</v>
      </c>
      <c r="U909" s="30">
        <f t="shared" ca="1" si="278"/>
        <v>12.726182669040449</v>
      </c>
      <c r="V909" s="30">
        <f t="shared" ca="1" si="278"/>
        <v>1.0984462196714275</v>
      </c>
      <c r="W909" s="30">
        <f t="shared" ca="1" si="278"/>
        <v>11.730722896117392</v>
      </c>
      <c r="X909" s="30">
        <f t="shared" ca="1" si="278"/>
        <v>13.204525397683797</v>
      </c>
      <c r="Y909" s="30">
        <f t="shared" ca="1" si="278"/>
        <v>21.547002267341732</v>
      </c>
      <c r="Z909" s="30">
        <f t="shared" ca="1" si="278"/>
        <v>2.6267446394647229</v>
      </c>
      <c r="AA909" s="26">
        <v>901</v>
      </c>
      <c r="AB909" s="31">
        <f t="shared" ca="1" si="277"/>
        <v>34</v>
      </c>
      <c r="AC909" s="31">
        <f t="shared" ca="1" si="266"/>
        <v>80</v>
      </c>
      <c r="AD909" s="31">
        <f t="shared" ca="1" si="267"/>
        <v>15</v>
      </c>
      <c r="AE909" s="31">
        <f t="shared" ca="1" si="268"/>
        <v>98</v>
      </c>
      <c r="AF909" s="31">
        <f t="shared" ca="1" si="269"/>
        <v>16</v>
      </c>
      <c r="AG909" s="31">
        <f t="shared" ca="1" si="270"/>
        <v>37</v>
      </c>
      <c r="AH909" s="31">
        <f t="shared" ca="1" si="271"/>
        <v>16</v>
      </c>
      <c r="AI909" s="31">
        <f t="shared" ca="1" si="272"/>
        <v>2</v>
      </c>
      <c r="AJ909" s="31">
        <f t="shared" ca="1" si="273"/>
        <v>15</v>
      </c>
      <c r="AK909" s="31">
        <f t="shared" ca="1" si="274"/>
        <v>17</v>
      </c>
      <c r="AL909" s="31">
        <f t="shared" ca="1" si="275"/>
        <v>35</v>
      </c>
      <c r="AM909" s="31">
        <f t="shared" ca="1" si="276"/>
        <v>3</v>
      </c>
    </row>
    <row r="910" spans="14:39">
      <c r="N910" s="26">
        <v>902</v>
      </c>
      <c r="O910" s="30">
        <f t="shared" ca="1" si="278"/>
        <v>24.972374504837376</v>
      </c>
      <c r="P910" s="30">
        <f t="shared" ca="1" si="278"/>
        <v>28.663878610234697</v>
      </c>
      <c r="Q910" s="30">
        <f t="shared" ca="1" si="278"/>
        <v>27.57176219405908</v>
      </c>
      <c r="R910" s="30">
        <f t="shared" ca="1" si="278"/>
        <v>19.831751126450612</v>
      </c>
      <c r="S910" s="30">
        <f t="shared" ca="1" si="278"/>
        <v>5.0291088738256651</v>
      </c>
      <c r="T910" s="30">
        <f t="shared" ca="1" si="278"/>
        <v>14.676196543141661</v>
      </c>
      <c r="U910" s="30">
        <f t="shared" ca="1" si="278"/>
        <v>11.209275654726026</v>
      </c>
      <c r="V910" s="30">
        <f t="shared" ca="1" si="278"/>
        <v>5.5308262918382907</v>
      </c>
      <c r="W910" s="30">
        <f t="shared" ca="1" si="278"/>
        <v>30.916224882305219</v>
      </c>
      <c r="X910" s="30">
        <f t="shared" ca="1" si="278"/>
        <v>19.900799083720646</v>
      </c>
      <c r="Y910" s="30">
        <f t="shared" ca="1" si="278"/>
        <v>27.357130433361313</v>
      </c>
      <c r="Z910" s="30">
        <f t="shared" ca="1" si="278"/>
        <v>8.3904415757136572</v>
      </c>
      <c r="AA910" s="26">
        <v>902</v>
      </c>
      <c r="AB910" s="31">
        <f t="shared" ca="1" si="277"/>
        <v>46</v>
      </c>
      <c r="AC910" s="31">
        <f t="shared" ca="1" si="266"/>
        <v>65</v>
      </c>
      <c r="AD910" s="31">
        <f t="shared" ca="1" si="267"/>
        <v>58</v>
      </c>
      <c r="AE910" s="31">
        <f t="shared" ca="1" si="268"/>
        <v>30</v>
      </c>
      <c r="AF910" s="31">
        <f t="shared" ca="1" si="269"/>
        <v>6</v>
      </c>
      <c r="AG910" s="31">
        <f t="shared" ca="1" si="270"/>
        <v>20</v>
      </c>
      <c r="AH910" s="31">
        <f t="shared" ca="1" si="271"/>
        <v>14</v>
      </c>
      <c r="AI910" s="31">
        <f t="shared" ca="1" si="272"/>
        <v>6</v>
      </c>
      <c r="AJ910" s="31">
        <f t="shared" ca="1" si="273"/>
        <v>87</v>
      </c>
      <c r="AK910" s="31">
        <f t="shared" ca="1" si="274"/>
        <v>30</v>
      </c>
      <c r="AL910" s="31">
        <f t="shared" ca="1" si="275"/>
        <v>57</v>
      </c>
      <c r="AM910" s="31">
        <f t="shared" ca="1" si="276"/>
        <v>10</v>
      </c>
    </row>
    <row r="911" spans="14:39">
      <c r="N911" s="26">
        <v>903</v>
      </c>
      <c r="O911" s="30">
        <f t="shared" ca="1" si="278"/>
        <v>14.789000239778877</v>
      </c>
      <c r="P911" s="30">
        <f t="shared" ca="1" si="278"/>
        <v>12.028154327826179</v>
      </c>
      <c r="Q911" s="30">
        <f t="shared" ca="1" si="278"/>
        <v>29.26783339442515</v>
      </c>
      <c r="R911" s="30">
        <f t="shared" ca="1" si="278"/>
        <v>15.660740086353039</v>
      </c>
      <c r="S911" s="30">
        <f t="shared" ca="1" si="278"/>
        <v>2.8003000723148563</v>
      </c>
      <c r="T911" s="30">
        <f t="shared" ca="1" si="278"/>
        <v>19.657858991045838</v>
      </c>
      <c r="U911" s="30">
        <f t="shared" ca="1" si="278"/>
        <v>0.15715553071326291</v>
      </c>
      <c r="V911" s="30">
        <f t="shared" ca="1" si="278"/>
        <v>7.5226566033224138</v>
      </c>
      <c r="W911" s="30">
        <f t="shared" ca="1" si="278"/>
        <v>25.850526150618403</v>
      </c>
      <c r="X911" s="30">
        <f t="shared" ca="1" si="278"/>
        <v>13.359414212158883</v>
      </c>
      <c r="Y911" s="30">
        <f t="shared" ca="1" si="278"/>
        <v>14.159028169280511</v>
      </c>
      <c r="Z911" s="30">
        <f t="shared" ca="1" si="278"/>
        <v>31.819617858184717</v>
      </c>
      <c r="AA911" s="26">
        <v>903</v>
      </c>
      <c r="AB911" s="31">
        <f t="shared" ca="1" si="277"/>
        <v>20</v>
      </c>
      <c r="AC911" s="31">
        <f t="shared" ca="1" si="266"/>
        <v>15</v>
      </c>
      <c r="AD911" s="31">
        <f t="shared" ca="1" si="267"/>
        <v>70</v>
      </c>
      <c r="AE911" s="31">
        <f t="shared" ca="1" si="268"/>
        <v>21</v>
      </c>
      <c r="AF911" s="31">
        <f t="shared" ca="1" si="269"/>
        <v>3</v>
      </c>
      <c r="AG911" s="31">
        <f t="shared" ca="1" si="270"/>
        <v>30</v>
      </c>
      <c r="AH911" s="31">
        <f t="shared" ca="1" si="271"/>
        <v>1</v>
      </c>
      <c r="AI911" s="31">
        <f t="shared" ca="1" si="272"/>
        <v>9</v>
      </c>
      <c r="AJ911" s="31">
        <f t="shared" ca="1" si="273"/>
        <v>50</v>
      </c>
      <c r="AK911" s="31">
        <f t="shared" ca="1" si="274"/>
        <v>17</v>
      </c>
      <c r="AL911" s="31">
        <f t="shared" ca="1" si="275"/>
        <v>19</v>
      </c>
      <c r="AM911" s="31">
        <f t="shared" ca="1" si="276"/>
        <v>102</v>
      </c>
    </row>
    <row r="912" spans="14:39">
      <c r="N912" s="26">
        <v>904</v>
      </c>
      <c r="O912" s="30">
        <f t="shared" ca="1" si="278"/>
        <v>13.591483818039134</v>
      </c>
      <c r="P912" s="30">
        <f t="shared" ca="1" si="278"/>
        <v>8.6139766441717711</v>
      </c>
      <c r="Q912" s="30">
        <f t="shared" ca="1" si="278"/>
        <v>6.7444360771219278</v>
      </c>
      <c r="R912" s="30">
        <f t="shared" ca="1" si="278"/>
        <v>4.072783110376899</v>
      </c>
      <c r="S912" s="30">
        <f t="shared" ca="1" si="278"/>
        <v>30.104286298462455</v>
      </c>
      <c r="T912" s="30">
        <f t="shared" ca="1" si="278"/>
        <v>30.724486369304653</v>
      </c>
      <c r="U912" s="30">
        <f t="shared" ca="1" si="278"/>
        <v>4.5485028914604255</v>
      </c>
      <c r="V912" s="30">
        <f t="shared" ca="1" si="278"/>
        <v>17.758789560205102</v>
      </c>
      <c r="W912" s="30">
        <f t="shared" ca="1" si="278"/>
        <v>21.718087100667763</v>
      </c>
      <c r="X912" s="30">
        <f t="shared" ca="1" si="278"/>
        <v>28.988723439455853</v>
      </c>
      <c r="Y912" s="30">
        <f t="shared" ca="1" si="278"/>
        <v>26.311918568514475</v>
      </c>
      <c r="Z912" s="30">
        <f t="shared" ca="1" si="278"/>
        <v>28.261518033150722</v>
      </c>
      <c r="AA912" s="26">
        <v>904</v>
      </c>
      <c r="AB912" s="31">
        <f t="shared" ca="1" si="277"/>
        <v>18</v>
      </c>
      <c r="AC912" s="31">
        <f t="shared" ca="1" si="266"/>
        <v>10</v>
      </c>
      <c r="AD912" s="31">
        <f t="shared" ca="1" si="267"/>
        <v>8</v>
      </c>
      <c r="AE912" s="31">
        <f t="shared" ca="1" si="268"/>
        <v>5</v>
      </c>
      <c r="AF912" s="31">
        <f t="shared" ca="1" si="269"/>
        <v>77</v>
      </c>
      <c r="AG912" s="31">
        <f t="shared" ca="1" si="270"/>
        <v>84</v>
      </c>
      <c r="AH912" s="31">
        <f t="shared" ca="1" si="271"/>
        <v>5</v>
      </c>
      <c r="AI912" s="31">
        <f t="shared" ca="1" si="272"/>
        <v>25</v>
      </c>
      <c r="AJ912" s="31">
        <f t="shared" ca="1" si="273"/>
        <v>35</v>
      </c>
      <c r="AK912" s="31">
        <f t="shared" ca="1" si="274"/>
        <v>67</v>
      </c>
      <c r="AL912" s="31">
        <f t="shared" ca="1" si="275"/>
        <v>52</v>
      </c>
      <c r="AM912" s="31">
        <f t="shared" ca="1" si="276"/>
        <v>62</v>
      </c>
    </row>
    <row r="913" spans="14:39">
      <c r="N913" s="26">
        <v>905</v>
      </c>
      <c r="O913" s="30">
        <f t="shared" ca="1" si="278"/>
        <v>15.614672174450272</v>
      </c>
      <c r="P913" s="30">
        <f t="shared" ca="1" si="278"/>
        <v>24.39413403038904</v>
      </c>
      <c r="Q913" s="30">
        <f t="shared" ca="1" si="278"/>
        <v>14.975972993896171</v>
      </c>
      <c r="R913" s="30">
        <f t="shared" ca="1" si="278"/>
        <v>20.771873907040483</v>
      </c>
      <c r="S913" s="30">
        <f t="shared" ca="1" si="278"/>
        <v>1.4915531443814056</v>
      </c>
      <c r="T913" s="30">
        <f t="shared" ca="1" si="278"/>
        <v>20.485006028145232</v>
      </c>
      <c r="U913" s="30">
        <f t="shared" ca="1" si="278"/>
        <v>31.406043383243141</v>
      </c>
      <c r="V913" s="30">
        <f t="shared" ca="1" si="278"/>
        <v>13.657172732704963</v>
      </c>
      <c r="W913" s="30">
        <f t="shared" ca="1" si="278"/>
        <v>15.76995234361949</v>
      </c>
      <c r="X913" s="30">
        <f t="shared" ca="1" si="278"/>
        <v>17.979656237123908</v>
      </c>
      <c r="Y913" s="30">
        <f t="shared" ca="1" si="278"/>
        <v>4.9121420151970208</v>
      </c>
      <c r="Z913" s="30">
        <f t="shared" ca="1" si="278"/>
        <v>31.680067499360391</v>
      </c>
      <c r="AA913" s="26">
        <v>905</v>
      </c>
      <c r="AB913" s="31">
        <f t="shared" ca="1" si="277"/>
        <v>21</v>
      </c>
      <c r="AC913" s="31">
        <f t="shared" ca="1" si="266"/>
        <v>44</v>
      </c>
      <c r="AD913" s="31">
        <f t="shared" ca="1" si="267"/>
        <v>20</v>
      </c>
      <c r="AE913" s="31">
        <f t="shared" ca="1" si="268"/>
        <v>33</v>
      </c>
      <c r="AF913" s="31">
        <f t="shared" ca="1" si="269"/>
        <v>2</v>
      </c>
      <c r="AG913" s="31">
        <f t="shared" ca="1" si="270"/>
        <v>32</v>
      </c>
      <c r="AH913" s="31">
        <f t="shared" ca="1" si="271"/>
        <v>94</v>
      </c>
      <c r="AI913" s="31">
        <f t="shared" ca="1" si="272"/>
        <v>18</v>
      </c>
      <c r="AJ913" s="31">
        <f t="shared" ca="1" si="273"/>
        <v>22</v>
      </c>
      <c r="AK913" s="31">
        <f t="shared" ca="1" si="274"/>
        <v>26</v>
      </c>
      <c r="AL913" s="31">
        <f t="shared" ca="1" si="275"/>
        <v>6</v>
      </c>
      <c r="AM913" s="31">
        <f t="shared" ca="1" si="276"/>
        <v>99</v>
      </c>
    </row>
    <row r="914" spans="14:39">
      <c r="N914" s="26">
        <v>906</v>
      </c>
      <c r="O914" s="30">
        <f t="shared" ca="1" si="278"/>
        <v>33.103888934656872</v>
      </c>
      <c r="P914" s="30">
        <f t="shared" ca="1" si="278"/>
        <v>20.474522300857394</v>
      </c>
      <c r="Q914" s="30">
        <f t="shared" ca="1" si="278"/>
        <v>11.220704710324023</v>
      </c>
      <c r="R914" s="30">
        <f t="shared" ca="1" si="278"/>
        <v>22.572853469793689</v>
      </c>
      <c r="S914" s="30">
        <f t="shared" ca="1" si="278"/>
        <v>7.7523374960177023</v>
      </c>
      <c r="T914" s="30">
        <f t="shared" ca="1" si="278"/>
        <v>0.52186129126824787</v>
      </c>
      <c r="U914" s="30">
        <f t="shared" ca="1" si="278"/>
        <v>13.550893761660976</v>
      </c>
      <c r="V914" s="30">
        <f t="shared" ca="1" si="278"/>
        <v>30.759042396545958</v>
      </c>
      <c r="W914" s="30">
        <f t="shared" ca="1" si="278"/>
        <v>9.1096129462096904</v>
      </c>
      <c r="X914" s="30">
        <f t="shared" ca="1" si="278"/>
        <v>10.14474486617789</v>
      </c>
      <c r="Y914" s="30">
        <f t="shared" ca="1" si="278"/>
        <v>22.601667191533512</v>
      </c>
      <c r="Z914" s="30">
        <f t="shared" ca="1" si="278"/>
        <v>22.077667003808266</v>
      </c>
      <c r="AA914" s="26">
        <v>906</v>
      </c>
      <c r="AB914" s="31">
        <f t="shared" ca="1" si="277"/>
        <v>164</v>
      </c>
      <c r="AC914" s="31">
        <f t="shared" ca="1" si="266"/>
        <v>32</v>
      </c>
      <c r="AD914" s="31">
        <f t="shared" ca="1" si="267"/>
        <v>14</v>
      </c>
      <c r="AE914" s="31">
        <f t="shared" ca="1" si="268"/>
        <v>38</v>
      </c>
      <c r="AF914" s="31">
        <f t="shared" ca="1" si="269"/>
        <v>9</v>
      </c>
      <c r="AG914" s="31">
        <f t="shared" ca="1" si="270"/>
        <v>1</v>
      </c>
      <c r="AH914" s="31">
        <f t="shared" ca="1" si="271"/>
        <v>18</v>
      </c>
      <c r="AI914" s="31">
        <f t="shared" ca="1" si="272"/>
        <v>85</v>
      </c>
      <c r="AJ914" s="31">
        <f t="shared" ca="1" si="273"/>
        <v>11</v>
      </c>
      <c r="AK914" s="31">
        <f t="shared" ca="1" si="274"/>
        <v>12</v>
      </c>
      <c r="AL914" s="31">
        <f t="shared" ca="1" si="275"/>
        <v>38</v>
      </c>
      <c r="AM914" s="31">
        <f t="shared" ca="1" si="276"/>
        <v>36</v>
      </c>
    </row>
    <row r="915" spans="14:39">
      <c r="N915" s="26">
        <v>907</v>
      </c>
      <c r="O915" s="30">
        <f t="shared" ca="1" si="278"/>
        <v>15.043941332260218</v>
      </c>
      <c r="P915" s="30">
        <f t="shared" ca="1" si="278"/>
        <v>26.079215815570979</v>
      </c>
      <c r="Q915" s="30">
        <f t="shared" ca="1" si="278"/>
        <v>2.0019692203872941</v>
      </c>
      <c r="R915" s="30">
        <f t="shared" ca="1" si="278"/>
        <v>23.876045925768857</v>
      </c>
      <c r="S915" s="30">
        <f t="shared" ca="1" si="278"/>
        <v>27.283710526177657</v>
      </c>
      <c r="T915" s="30">
        <f t="shared" ca="1" si="278"/>
        <v>7.2895807841251452</v>
      </c>
      <c r="U915" s="30">
        <f t="shared" ca="1" si="278"/>
        <v>16.985969788488067</v>
      </c>
      <c r="V915" s="30">
        <f t="shared" ca="1" si="278"/>
        <v>4.2053557269080164</v>
      </c>
      <c r="W915" s="30">
        <f t="shared" ca="1" si="278"/>
        <v>1.1952607383721949</v>
      </c>
      <c r="X915" s="30">
        <f t="shared" ca="1" si="278"/>
        <v>24.735555792264773</v>
      </c>
      <c r="Y915" s="30">
        <f t="shared" ca="1" si="278"/>
        <v>11.792219257854365</v>
      </c>
      <c r="Z915" s="30">
        <f t="shared" ca="1" si="278"/>
        <v>30.801266907930174</v>
      </c>
      <c r="AA915" s="26">
        <v>907</v>
      </c>
      <c r="AB915" s="31">
        <f t="shared" ca="1" si="277"/>
        <v>20</v>
      </c>
      <c r="AC915" s="31">
        <f t="shared" ca="1" si="266"/>
        <v>51</v>
      </c>
      <c r="AD915" s="31">
        <f t="shared" ca="1" si="267"/>
        <v>3</v>
      </c>
      <c r="AE915" s="31">
        <f t="shared" ca="1" si="268"/>
        <v>42</v>
      </c>
      <c r="AF915" s="31">
        <f t="shared" ca="1" si="269"/>
        <v>57</v>
      </c>
      <c r="AG915" s="31">
        <f t="shared" ca="1" si="270"/>
        <v>9</v>
      </c>
      <c r="AH915" s="31">
        <f t="shared" ca="1" si="271"/>
        <v>24</v>
      </c>
      <c r="AI915" s="31">
        <f t="shared" ca="1" si="272"/>
        <v>5</v>
      </c>
      <c r="AJ915" s="31">
        <f t="shared" ca="1" si="273"/>
        <v>2</v>
      </c>
      <c r="AK915" s="31">
        <f t="shared" ca="1" si="274"/>
        <v>45</v>
      </c>
      <c r="AL915" s="31">
        <f t="shared" ca="1" si="275"/>
        <v>15</v>
      </c>
      <c r="AM915" s="31">
        <f t="shared" ca="1" si="276"/>
        <v>85</v>
      </c>
    </row>
    <row r="916" spans="14:39">
      <c r="N916" s="26">
        <v>908</v>
      </c>
      <c r="O916" s="30">
        <f t="shared" ca="1" si="278"/>
        <v>15.988160840403326</v>
      </c>
      <c r="P916" s="30">
        <f t="shared" ca="1" si="278"/>
        <v>26.222027205973749</v>
      </c>
      <c r="Q916" s="30">
        <f t="shared" ca="1" si="278"/>
        <v>12.781604378697031</v>
      </c>
      <c r="R916" s="30">
        <f t="shared" ca="1" si="278"/>
        <v>8.7997211750101982</v>
      </c>
      <c r="S916" s="30">
        <f t="shared" ca="1" si="278"/>
        <v>22.392495815633392</v>
      </c>
      <c r="T916" s="30">
        <f t="shared" ca="1" si="278"/>
        <v>17.249861816935212</v>
      </c>
      <c r="U916" s="30">
        <f t="shared" ca="1" si="278"/>
        <v>25.701046060045169</v>
      </c>
      <c r="V916" s="30">
        <f t="shared" ca="1" si="278"/>
        <v>8.1249352023575536</v>
      </c>
      <c r="W916" s="30">
        <f t="shared" ca="1" si="278"/>
        <v>7.1882400184199744</v>
      </c>
      <c r="X916" s="30">
        <f t="shared" ca="1" si="278"/>
        <v>13.366902766844447</v>
      </c>
      <c r="Y916" s="30">
        <f t="shared" ca="1" si="278"/>
        <v>12.919216337422272</v>
      </c>
      <c r="Z916" s="30">
        <f t="shared" ca="1" si="278"/>
        <v>32.29582930417461</v>
      </c>
      <c r="AA916" s="26">
        <v>908</v>
      </c>
      <c r="AB916" s="31">
        <f t="shared" ca="1" si="277"/>
        <v>22</v>
      </c>
      <c r="AC916" s="31">
        <f t="shared" ca="1" si="266"/>
        <v>51</v>
      </c>
      <c r="AD916" s="31">
        <f t="shared" ca="1" si="267"/>
        <v>16</v>
      </c>
      <c r="AE916" s="31">
        <f t="shared" ca="1" si="268"/>
        <v>11</v>
      </c>
      <c r="AF916" s="31">
        <f t="shared" ca="1" si="269"/>
        <v>37</v>
      </c>
      <c r="AG916" s="31">
        <f t="shared" ca="1" si="270"/>
        <v>24</v>
      </c>
      <c r="AH916" s="31">
        <f t="shared" ca="1" si="271"/>
        <v>49</v>
      </c>
      <c r="AI916" s="31">
        <f t="shared" ca="1" si="272"/>
        <v>10</v>
      </c>
      <c r="AJ916" s="31">
        <f t="shared" ca="1" si="273"/>
        <v>8</v>
      </c>
      <c r="AK916" s="31">
        <f t="shared" ca="1" si="274"/>
        <v>17</v>
      </c>
      <c r="AL916" s="31">
        <f t="shared" ca="1" si="275"/>
        <v>17</v>
      </c>
      <c r="AM916" s="31">
        <f t="shared" ca="1" si="276"/>
        <v>114</v>
      </c>
    </row>
    <row r="917" spans="14:39">
      <c r="N917" s="26">
        <v>909</v>
      </c>
      <c r="O917" s="30">
        <f t="shared" ca="1" si="278"/>
        <v>27.436041226707093</v>
      </c>
      <c r="P917" s="30">
        <f t="shared" ca="1" si="278"/>
        <v>9.3564689104112357</v>
      </c>
      <c r="Q917" s="30">
        <f t="shared" ca="1" si="278"/>
        <v>27.256327304387444</v>
      </c>
      <c r="R917" s="30">
        <f t="shared" ca="1" si="278"/>
        <v>8.6258966164396682</v>
      </c>
      <c r="S917" s="30">
        <f t="shared" ca="1" si="278"/>
        <v>7.1925574377927246</v>
      </c>
      <c r="T917" s="30">
        <f t="shared" ca="1" si="278"/>
        <v>14.233429371748617</v>
      </c>
      <c r="U917" s="30">
        <f t="shared" ca="1" si="278"/>
        <v>9.8862282445892937</v>
      </c>
      <c r="V917" s="30">
        <f t="shared" ca="1" si="278"/>
        <v>6.3849399394224324</v>
      </c>
      <c r="W917" s="30">
        <f t="shared" ca="1" si="278"/>
        <v>2.1889772761168973</v>
      </c>
      <c r="X917" s="30">
        <f t="shared" ca="1" si="278"/>
        <v>0.34615947067603453</v>
      </c>
      <c r="Y917" s="30">
        <f t="shared" ca="1" si="278"/>
        <v>15.126771762593862</v>
      </c>
      <c r="Z917" s="30">
        <f t="shared" ca="1" si="278"/>
        <v>26.000013613588234</v>
      </c>
      <c r="AA917" s="26">
        <v>909</v>
      </c>
      <c r="AB917" s="31">
        <f t="shared" ca="1" si="277"/>
        <v>57</v>
      </c>
      <c r="AC917" s="31">
        <f t="shared" ca="1" si="266"/>
        <v>11</v>
      </c>
      <c r="AD917" s="31">
        <f t="shared" ca="1" si="267"/>
        <v>56</v>
      </c>
      <c r="AE917" s="31">
        <f t="shared" ca="1" si="268"/>
        <v>10</v>
      </c>
      <c r="AF917" s="31">
        <f t="shared" ca="1" si="269"/>
        <v>8</v>
      </c>
      <c r="AG917" s="31">
        <f t="shared" ca="1" si="270"/>
        <v>19</v>
      </c>
      <c r="AH917" s="31">
        <f t="shared" ca="1" si="271"/>
        <v>12</v>
      </c>
      <c r="AI917" s="31">
        <f t="shared" ca="1" si="272"/>
        <v>7</v>
      </c>
      <c r="AJ917" s="31">
        <f t="shared" ca="1" si="273"/>
        <v>3</v>
      </c>
      <c r="AK917" s="31">
        <f t="shared" ca="1" si="274"/>
        <v>1</v>
      </c>
      <c r="AL917" s="31">
        <f t="shared" ca="1" si="275"/>
        <v>20</v>
      </c>
      <c r="AM917" s="31">
        <f t="shared" ca="1" si="276"/>
        <v>50</v>
      </c>
    </row>
    <row r="918" spans="14:39">
      <c r="N918" s="26">
        <v>910</v>
      </c>
      <c r="O918" s="30">
        <f t="shared" ca="1" si="278"/>
        <v>15.571939843026556</v>
      </c>
      <c r="P918" s="30">
        <f t="shared" ca="1" si="278"/>
        <v>1.3916925890148648</v>
      </c>
      <c r="Q918" s="30">
        <f t="shared" ca="1" si="278"/>
        <v>21.751649630309018</v>
      </c>
      <c r="R918" s="30">
        <f t="shared" ca="1" si="278"/>
        <v>29.605562422736917</v>
      </c>
      <c r="S918" s="30">
        <f t="shared" ca="1" si="278"/>
        <v>21.970339671646563</v>
      </c>
      <c r="T918" s="30">
        <f t="shared" ca="1" si="278"/>
        <v>4.0665453806961853</v>
      </c>
      <c r="U918" s="30">
        <f t="shared" ca="1" si="278"/>
        <v>3.261365927339384</v>
      </c>
      <c r="V918" s="30">
        <f t="shared" ca="1" si="278"/>
        <v>13.201416959879122</v>
      </c>
      <c r="W918" s="30">
        <f t="shared" ca="1" si="278"/>
        <v>5.1847342778734973</v>
      </c>
      <c r="X918" s="30">
        <f t="shared" ca="1" si="278"/>
        <v>31.684193806635825</v>
      </c>
      <c r="Y918" s="30">
        <f t="shared" ca="1" si="278"/>
        <v>19.805172829412388</v>
      </c>
      <c r="Z918" s="30">
        <f t="shared" ca="1" si="278"/>
        <v>6.3546412301805697</v>
      </c>
      <c r="AA918" s="26">
        <v>910</v>
      </c>
      <c r="AB918" s="31">
        <f t="shared" ca="1" si="277"/>
        <v>21</v>
      </c>
      <c r="AC918" s="31">
        <f t="shared" ca="1" si="266"/>
        <v>2</v>
      </c>
      <c r="AD918" s="31">
        <f t="shared" ca="1" si="267"/>
        <v>35</v>
      </c>
      <c r="AE918" s="31">
        <f t="shared" ca="1" si="268"/>
        <v>72</v>
      </c>
      <c r="AF918" s="31">
        <f t="shared" ca="1" si="269"/>
        <v>36</v>
      </c>
      <c r="AG918" s="31">
        <f t="shared" ca="1" si="270"/>
        <v>5</v>
      </c>
      <c r="AH918" s="31">
        <f t="shared" ca="1" si="271"/>
        <v>4</v>
      </c>
      <c r="AI918" s="31">
        <f t="shared" ca="1" si="272"/>
        <v>17</v>
      </c>
      <c r="AJ918" s="31">
        <f t="shared" ca="1" si="273"/>
        <v>6</v>
      </c>
      <c r="AK918" s="31">
        <f t="shared" ca="1" si="274"/>
        <v>99</v>
      </c>
      <c r="AL918" s="31">
        <f t="shared" ca="1" si="275"/>
        <v>30</v>
      </c>
      <c r="AM918" s="31">
        <f t="shared" ca="1" si="276"/>
        <v>7</v>
      </c>
    </row>
    <row r="919" spans="14:39">
      <c r="N919" s="26">
        <v>911</v>
      </c>
      <c r="O919" s="30">
        <f t="shared" ref="O919:Z928" ca="1" si="279">RAND()*sumweights</f>
        <v>10.452891417866571</v>
      </c>
      <c r="P919" s="30">
        <f t="shared" ca="1" si="279"/>
        <v>15.774090140524496</v>
      </c>
      <c r="Q919" s="30">
        <f t="shared" ca="1" si="279"/>
        <v>15.276108741195364</v>
      </c>
      <c r="R919" s="30">
        <f t="shared" ca="1" si="279"/>
        <v>0.42398088691853658</v>
      </c>
      <c r="S919" s="30">
        <f t="shared" ca="1" si="279"/>
        <v>28.22930543788944</v>
      </c>
      <c r="T919" s="30">
        <f t="shared" ca="1" si="279"/>
        <v>15.608363766892824</v>
      </c>
      <c r="U919" s="30">
        <f t="shared" ca="1" si="279"/>
        <v>17.839645637558178</v>
      </c>
      <c r="V919" s="30">
        <f t="shared" ca="1" si="279"/>
        <v>21.199996957214527</v>
      </c>
      <c r="W919" s="30">
        <f t="shared" ca="1" si="279"/>
        <v>16.164064092148063</v>
      </c>
      <c r="X919" s="30">
        <f t="shared" ca="1" si="279"/>
        <v>12.793789916917175</v>
      </c>
      <c r="Y919" s="30">
        <f t="shared" ca="1" si="279"/>
        <v>7.2324573355374033</v>
      </c>
      <c r="Z919" s="30">
        <f t="shared" ca="1" si="279"/>
        <v>31.57443272524818</v>
      </c>
      <c r="AA919" s="26">
        <v>911</v>
      </c>
      <c r="AB919" s="31">
        <f t="shared" ca="1" si="277"/>
        <v>13</v>
      </c>
      <c r="AC919" s="31">
        <f t="shared" ca="1" si="266"/>
        <v>22</v>
      </c>
      <c r="AD919" s="31">
        <f t="shared" ca="1" si="267"/>
        <v>21</v>
      </c>
      <c r="AE919" s="31">
        <f t="shared" ca="1" si="268"/>
        <v>1</v>
      </c>
      <c r="AF919" s="31">
        <f t="shared" ca="1" si="269"/>
        <v>62</v>
      </c>
      <c r="AG919" s="31">
        <f t="shared" ca="1" si="270"/>
        <v>21</v>
      </c>
      <c r="AH919" s="31">
        <f t="shared" ca="1" si="271"/>
        <v>26</v>
      </c>
      <c r="AI919" s="31">
        <f t="shared" ca="1" si="272"/>
        <v>34</v>
      </c>
      <c r="AJ919" s="31">
        <f t="shared" ca="1" si="273"/>
        <v>22</v>
      </c>
      <c r="AK919" s="31">
        <f t="shared" ca="1" si="274"/>
        <v>16</v>
      </c>
      <c r="AL919" s="31">
        <f t="shared" ca="1" si="275"/>
        <v>9</v>
      </c>
      <c r="AM919" s="31">
        <f t="shared" ca="1" si="276"/>
        <v>97</v>
      </c>
    </row>
    <row r="920" spans="14:39">
      <c r="N920" s="26">
        <v>912</v>
      </c>
      <c r="O920" s="30">
        <f t="shared" ca="1" si="279"/>
        <v>19.802856739345966</v>
      </c>
      <c r="P920" s="30">
        <f t="shared" ca="1" si="279"/>
        <v>15.3568313398006</v>
      </c>
      <c r="Q920" s="30">
        <f t="shared" ca="1" si="279"/>
        <v>28.567912044625352</v>
      </c>
      <c r="R920" s="30">
        <f t="shared" ca="1" si="279"/>
        <v>31.195231967418302</v>
      </c>
      <c r="S920" s="30">
        <f t="shared" ca="1" si="279"/>
        <v>15.939026486109432</v>
      </c>
      <c r="T920" s="30">
        <f t="shared" ca="1" si="279"/>
        <v>16.192699087384305</v>
      </c>
      <c r="U920" s="30">
        <f t="shared" ca="1" si="279"/>
        <v>18.029890144693745</v>
      </c>
      <c r="V920" s="30">
        <f t="shared" ca="1" si="279"/>
        <v>29.392380868398227</v>
      </c>
      <c r="W920" s="30">
        <f t="shared" ca="1" si="279"/>
        <v>19.258559744600479</v>
      </c>
      <c r="X920" s="30">
        <f t="shared" ca="1" si="279"/>
        <v>23.8130232763762</v>
      </c>
      <c r="Y920" s="30">
        <f t="shared" ca="1" si="279"/>
        <v>6.7366411627246183</v>
      </c>
      <c r="Z920" s="30">
        <f t="shared" ca="1" si="279"/>
        <v>12.059004399943776</v>
      </c>
      <c r="AA920" s="26">
        <v>912</v>
      </c>
      <c r="AB920" s="31">
        <f t="shared" ca="1" si="277"/>
        <v>30</v>
      </c>
      <c r="AC920" s="31">
        <f t="shared" ca="1" si="266"/>
        <v>21</v>
      </c>
      <c r="AD920" s="31">
        <f t="shared" ca="1" si="267"/>
        <v>64</v>
      </c>
      <c r="AE920" s="31">
        <f t="shared" ca="1" si="268"/>
        <v>91</v>
      </c>
      <c r="AF920" s="31">
        <f t="shared" ca="1" si="269"/>
        <v>22</v>
      </c>
      <c r="AG920" s="31">
        <f t="shared" ca="1" si="270"/>
        <v>22</v>
      </c>
      <c r="AH920" s="31">
        <f t="shared" ca="1" si="271"/>
        <v>26</v>
      </c>
      <c r="AI920" s="31">
        <f t="shared" ca="1" si="272"/>
        <v>71</v>
      </c>
      <c r="AJ920" s="31">
        <f t="shared" ca="1" si="273"/>
        <v>29</v>
      </c>
      <c r="AK920" s="31">
        <f t="shared" ca="1" si="274"/>
        <v>42</v>
      </c>
      <c r="AL920" s="31">
        <f t="shared" ca="1" si="275"/>
        <v>8</v>
      </c>
      <c r="AM920" s="31">
        <f t="shared" ca="1" si="276"/>
        <v>15</v>
      </c>
    </row>
    <row r="921" spans="14:39">
      <c r="N921" s="26">
        <v>913</v>
      </c>
      <c r="O921" s="30">
        <f t="shared" ca="1" si="279"/>
        <v>33.149219776885374</v>
      </c>
      <c r="P921" s="30">
        <f t="shared" ca="1" si="279"/>
        <v>11.962257370575887</v>
      </c>
      <c r="Q921" s="30">
        <f t="shared" ca="1" si="279"/>
        <v>24.74726031953184</v>
      </c>
      <c r="R921" s="30">
        <f t="shared" ca="1" si="279"/>
        <v>22.080937280929163</v>
      </c>
      <c r="S921" s="30">
        <f t="shared" ca="1" si="279"/>
        <v>15.745369654187433</v>
      </c>
      <c r="T921" s="30">
        <f t="shared" ca="1" si="279"/>
        <v>27.194935554813945</v>
      </c>
      <c r="U921" s="30">
        <f t="shared" ca="1" si="279"/>
        <v>16.293774258469778</v>
      </c>
      <c r="V921" s="30">
        <f t="shared" ca="1" si="279"/>
        <v>8.3164337115985187</v>
      </c>
      <c r="W921" s="30">
        <f t="shared" ca="1" si="279"/>
        <v>22.348631028580446</v>
      </c>
      <c r="X921" s="30">
        <f t="shared" ca="1" si="279"/>
        <v>23.087675023624477</v>
      </c>
      <c r="Y921" s="30">
        <f t="shared" ca="1" si="279"/>
        <v>27.14407262082355</v>
      </c>
      <c r="Z921" s="30">
        <f t="shared" ca="1" si="279"/>
        <v>33.197973725301942</v>
      </c>
      <c r="AA921" s="26">
        <v>913</v>
      </c>
      <c r="AB921" s="31">
        <f t="shared" ca="1" si="277"/>
        <v>171</v>
      </c>
      <c r="AC921" s="31">
        <f t="shared" ca="1" si="266"/>
        <v>15</v>
      </c>
      <c r="AD921" s="31">
        <f t="shared" ca="1" si="267"/>
        <v>45</v>
      </c>
      <c r="AE921" s="31">
        <f t="shared" ca="1" si="268"/>
        <v>36</v>
      </c>
      <c r="AF921" s="31">
        <f t="shared" ca="1" si="269"/>
        <v>21</v>
      </c>
      <c r="AG921" s="31">
        <f t="shared" ca="1" si="270"/>
        <v>56</v>
      </c>
      <c r="AH921" s="31">
        <f t="shared" ca="1" si="271"/>
        <v>23</v>
      </c>
      <c r="AI921" s="31">
        <f t="shared" ca="1" si="272"/>
        <v>10</v>
      </c>
      <c r="AJ921" s="31">
        <f t="shared" ca="1" si="273"/>
        <v>37</v>
      </c>
      <c r="AK921" s="31">
        <f t="shared" ca="1" si="274"/>
        <v>39</v>
      </c>
      <c r="AL921" s="31">
        <f t="shared" ca="1" si="275"/>
        <v>56</v>
      </c>
      <c r="AM921" s="31">
        <f t="shared" ca="1" si="276"/>
        <v>181</v>
      </c>
    </row>
    <row r="922" spans="14:39">
      <c r="N922" s="26">
        <v>914</v>
      </c>
      <c r="O922" s="30">
        <f t="shared" ca="1" si="279"/>
        <v>4.5349923796801379</v>
      </c>
      <c r="P922" s="30">
        <f t="shared" ca="1" si="279"/>
        <v>4.0400486072221078</v>
      </c>
      <c r="Q922" s="30">
        <f t="shared" ca="1" si="279"/>
        <v>20.462661819150988</v>
      </c>
      <c r="R922" s="30">
        <f t="shared" ca="1" si="279"/>
        <v>27.981985635727291</v>
      </c>
      <c r="S922" s="30">
        <f t="shared" ca="1" si="279"/>
        <v>11.2980899840534</v>
      </c>
      <c r="T922" s="30">
        <f t="shared" ca="1" si="279"/>
        <v>31.200124647701998</v>
      </c>
      <c r="U922" s="30">
        <f t="shared" ca="1" si="279"/>
        <v>10.733544230178829</v>
      </c>
      <c r="V922" s="30">
        <f t="shared" ca="1" si="279"/>
        <v>22.175077995581464</v>
      </c>
      <c r="W922" s="30">
        <f t="shared" ca="1" si="279"/>
        <v>23.562951545698624</v>
      </c>
      <c r="X922" s="30">
        <f t="shared" ca="1" si="279"/>
        <v>11.044308392395509</v>
      </c>
      <c r="Y922" s="30">
        <f t="shared" ca="1" si="279"/>
        <v>29.38060484315282</v>
      </c>
      <c r="Z922" s="30">
        <f t="shared" ca="1" si="279"/>
        <v>8.5260850708632496</v>
      </c>
      <c r="AA922" s="26">
        <v>914</v>
      </c>
      <c r="AB922" s="31">
        <f t="shared" ca="1" si="277"/>
        <v>5</v>
      </c>
      <c r="AC922" s="31">
        <f t="shared" ca="1" si="266"/>
        <v>5</v>
      </c>
      <c r="AD922" s="31">
        <f t="shared" ca="1" si="267"/>
        <v>32</v>
      </c>
      <c r="AE922" s="31">
        <f t="shared" ca="1" si="268"/>
        <v>61</v>
      </c>
      <c r="AF922" s="31">
        <f t="shared" ca="1" si="269"/>
        <v>14</v>
      </c>
      <c r="AG922" s="31">
        <f t="shared" ca="1" si="270"/>
        <v>91</v>
      </c>
      <c r="AH922" s="31">
        <f t="shared" ca="1" si="271"/>
        <v>13</v>
      </c>
      <c r="AI922" s="31">
        <f t="shared" ca="1" si="272"/>
        <v>36</v>
      </c>
      <c r="AJ922" s="31">
        <f t="shared" ca="1" si="273"/>
        <v>41</v>
      </c>
      <c r="AK922" s="31">
        <f t="shared" ca="1" si="274"/>
        <v>14</v>
      </c>
      <c r="AL922" s="31">
        <f t="shared" ca="1" si="275"/>
        <v>71</v>
      </c>
      <c r="AM922" s="31">
        <f t="shared" ca="1" si="276"/>
        <v>10</v>
      </c>
    </row>
    <row r="923" spans="14:39">
      <c r="N923" s="26">
        <v>915</v>
      </c>
      <c r="O923" s="30">
        <f t="shared" ca="1" si="279"/>
        <v>22.817212858177982</v>
      </c>
      <c r="P923" s="30">
        <f t="shared" ca="1" si="279"/>
        <v>14.786364487969658</v>
      </c>
      <c r="Q923" s="30">
        <f t="shared" ca="1" si="279"/>
        <v>32.867251038197232</v>
      </c>
      <c r="R923" s="30">
        <f t="shared" ca="1" si="279"/>
        <v>30.735815031035749</v>
      </c>
      <c r="S923" s="30">
        <f t="shared" ca="1" si="279"/>
        <v>28.284722085968475</v>
      </c>
      <c r="T923" s="30">
        <f t="shared" ca="1" si="279"/>
        <v>31.789554443549068</v>
      </c>
      <c r="U923" s="30">
        <f t="shared" ca="1" si="279"/>
        <v>3.4038502916993347</v>
      </c>
      <c r="V923" s="30">
        <f t="shared" ca="1" si="279"/>
        <v>0.46551686449354329</v>
      </c>
      <c r="W923" s="30">
        <f t="shared" ca="1" si="279"/>
        <v>17.708267337086195</v>
      </c>
      <c r="X923" s="30">
        <f t="shared" ca="1" si="279"/>
        <v>32.110402960228519</v>
      </c>
      <c r="Y923" s="30">
        <f t="shared" ca="1" si="279"/>
        <v>26.046054476045565</v>
      </c>
      <c r="Z923" s="30">
        <f t="shared" ca="1" si="279"/>
        <v>30.879966888971342</v>
      </c>
      <c r="AA923" s="26">
        <v>915</v>
      </c>
      <c r="AB923" s="31">
        <f t="shared" ca="1" si="277"/>
        <v>38</v>
      </c>
      <c r="AC923" s="31">
        <f t="shared" ca="1" si="266"/>
        <v>20</v>
      </c>
      <c r="AD923" s="31">
        <f t="shared" ca="1" si="267"/>
        <v>141</v>
      </c>
      <c r="AE923" s="31">
        <f t="shared" ca="1" si="268"/>
        <v>84</v>
      </c>
      <c r="AF923" s="31">
        <f t="shared" ca="1" si="269"/>
        <v>62</v>
      </c>
      <c r="AG923" s="31">
        <f t="shared" ca="1" si="270"/>
        <v>101</v>
      </c>
      <c r="AH923" s="31">
        <f t="shared" ca="1" si="271"/>
        <v>4</v>
      </c>
      <c r="AI923" s="31">
        <f t="shared" ca="1" si="272"/>
        <v>1</v>
      </c>
      <c r="AJ923" s="31">
        <f t="shared" ca="1" si="273"/>
        <v>25</v>
      </c>
      <c r="AK923" s="31">
        <f t="shared" ca="1" si="274"/>
        <v>109</v>
      </c>
      <c r="AL923" s="31">
        <f t="shared" ca="1" si="275"/>
        <v>50</v>
      </c>
      <c r="AM923" s="31">
        <f t="shared" ca="1" si="276"/>
        <v>86</v>
      </c>
    </row>
    <row r="924" spans="14:39">
      <c r="N924" s="26">
        <v>916</v>
      </c>
      <c r="O924" s="30">
        <f t="shared" ca="1" si="279"/>
        <v>33.081926510762557</v>
      </c>
      <c r="P924" s="30">
        <f t="shared" ca="1" si="279"/>
        <v>19.849643032615422</v>
      </c>
      <c r="Q924" s="30">
        <f t="shared" ca="1" si="279"/>
        <v>12.801349909916537</v>
      </c>
      <c r="R924" s="30">
        <f t="shared" ca="1" si="279"/>
        <v>28.177687948764742</v>
      </c>
      <c r="S924" s="30">
        <f t="shared" ca="1" si="279"/>
        <v>9.9147507604048126</v>
      </c>
      <c r="T924" s="30">
        <f t="shared" ca="1" si="279"/>
        <v>25.61052515909908</v>
      </c>
      <c r="U924" s="30">
        <f t="shared" ca="1" si="279"/>
        <v>28.437047358626899</v>
      </c>
      <c r="V924" s="30">
        <f t="shared" ca="1" si="279"/>
        <v>16.910364723609824</v>
      </c>
      <c r="W924" s="30">
        <f t="shared" ca="1" si="279"/>
        <v>22.859994834274538</v>
      </c>
      <c r="X924" s="30">
        <f t="shared" ca="1" si="279"/>
        <v>4.683829573038965</v>
      </c>
      <c r="Y924" s="30">
        <f t="shared" ca="1" si="279"/>
        <v>0.9726983876499421</v>
      </c>
      <c r="Z924" s="30">
        <f t="shared" ca="1" si="279"/>
        <v>19.167866064093772</v>
      </c>
      <c r="AA924" s="26">
        <v>916</v>
      </c>
      <c r="AB924" s="31">
        <f t="shared" ca="1" si="277"/>
        <v>161</v>
      </c>
      <c r="AC924" s="31">
        <f t="shared" ca="1" si="266"/>
        <v>30</v>
      </c>
      <c r="AD924" s="31">
        <f t="shared" ca="1" si="267"/>
        <v>16</v>
      </c>
      <c r="AE924" s="31">
        <f t="shared" ca="1" si="268"/>
        <v>62</v>
      </c>
      <c r="AF924" s="31">
        <f t="shared" ca="1" si="269"/>
        <v>12</v>
      </c>
      <c r="AG924" s="31">
        <f t="shared" ca="1" si="270"/>
        <v>49</v>
      </c>
      <c r="AH924" s="31">
        <f t="shared" ca="1" si="271"/>
        <v>63</v>
      </c>
      <c r="AI924" s="31">
        <f t="shared" ca="1" si="272"/>
        <v>24</v>
      </c>
      <c r="AJ924" s="31">
        <f t="shared" ca="1" si="273"/>
        <v>39</v>
      </c>
      <c r="AK924" s="31">
        <f t="shared" ca="1" si="274"/>
        <v>5</v>
      </c>
      <c r="AL924" s="31">
        <f t="shared" ca="1" si="275"/>
        <v>1</v>
      </c>
      <c r="AM924" s="31">
        <f t="shared" ca="1" si="276"/>
        <v>29</v>
      </c>
    </row>
    <row r="925" spans="14:39">
      <c r="N925" s="26">
        <v>917</v>
      </c>
      <c r="O925" s="30">
        <f t="shared" ca="1" si="279"/>
        <v>10.225664263149111</v>
      </c>
      <c r="P925" s="30">
        <f t="shared" ca="1" si="279"/>
        <v>31.239776630775086</v>
      </c>
      <c r="Q925" s="30">
        <f t="shared" ca="1" si="279"/>
        <v>11.243834131139488</v>
      </c>
      <c r="R925" s="30">
        <f t="shared" ca="1" si="279"/>
        <v>17.387497077056967</v>
      </c>
      <c r="S925" s="30">
        <f t="shared" ca="1" si="279"/>
        <v>16.962497158378472</v>
      </c>
      <c r="T925" s="30">
        <f t="shared" ca="1" si="279"/>
        <v>2.0849687471279892</v>
      </c>
      <c r="U925" s="30">
        <f t="shared" ca="1" si="279"/>
        <v>16.715298830510356</v>
      </c>
      <c r="V925" s="30">
        <f t="shared" ca="1" si="279"/>
        <v>4.7132792919501751</v>
      </c>
      <c r="W925" s="30">
        <f t="shared" ca="1" si="279"/>
        <v>22.303972745704513</v>
      </c>
      <c r="X925" s="30">
        <f t="shared" ca="1" si="279"/>
        <v>7.2694227007197867</v>
      </c>
      <c r="Y925" s="30">
        <f t="shared" ca="1" si="279"/>
        <v>31.553435781877415</v>
      </c>
      <c r="Z925" s="30">
        <f t="shared" ca="1" si="279"/>
        <v>0.90998951498277569</v>
      </c>
      <c r="AA925" s="26">
        <v>917</v>
      </c>
      <c r="AB925" s="31">
        <f t="shared" ca="1" si="277"/>
        <v>13</v>
      </c>
      <c r="AC925" s="31">
        <f t="shared" ca="1" si="266"/>
        <v>91</v>
      </c>
      <c r="AD925" s="31">
        <f t="shared" ca="1" si="267"/>
        <v>14</v>
      </c>
      <c r="AE925" s="31">
        <f t="shared" ca="1" si="268"/>
        <v>25</v>
      </c>
      <c r="AF925" s="31">
        <f t="shared" ca="1" si="269"/>
        <v>24</v>
      </c>
      <c r="AG925" s="31">
        <f t="shared" ca="1" si="270"/>
        <v>3</v>
      </c>
      <c r="AH925" s="31">
        <f t="shared" ca="1" si="271"/>
        <v>23</v>
      </c>
      <c r="AI925" s="31">
        <f t="shared" ca="1" si="272"/>
        <v>6</v>
      </c>
      <c r="AJ925" s="31">
        <f t="shared" ca="1" si="273"/>
        <v>37</v>
      </c>
      <c r="AK925" s="31">
        <f t="shared" ca="1" si="274"/>
        <v>9</v>
      </c>
      <c r="AL925" s="31">
        <f t="shared" ca="1" si="275"/>
        <v>97</v>
      </c>
      <c r="AM925" s="31">
        <f t="shared" ca="1" si="276"/>
        <v>1</v>
      </c>
    </row>
    <row r="926" spans="14:39">
      <c r="N926" s="26">
        <v>918</v>
      </c>
      <c r="O926" s="30">
        <f t="shared" ca="1" si="279"/>
        <v>15.990514094501171</v>
      </c>
      <c r="P926" s="30">
        <f t="shared" ca="1" si="279"/>
        <v>19.494025155126973</v>
      </c>
      <c r="Q926" s="30">
        <f t="shared" ca="1" si="279"/>
        <v>13.454613769460941</v>
      </c>
      <c r="R926" s="30">
        <f t="shared" ca="1" si="279"/>
        <v>15.712411090417575</v>
      </c>
      <c r="S926" s="30">
        <f t="shared" ca="1" si="279"/>
        <v>10.942638065989117</v>
      </c>
      <c r="T926" s="30">
        <f t="shared" ca="1" si="279"/>
        <v>9.8084670277987929</v>
      </c>
      <c r="U926" s="30">
        <f t="shared" ca="1" si="279"/>
        <v>32.224740713717836</v>
      </c>
      <c r="V926" s="30">
        <f t="shared" ca="1" si="279"/>
        <v>29.352944499693695</v>
      </c>
      <c r="W926" s="30">
        <f t="shared" ca="1" si="279"/>
        <v>2.8737453218094529</v>
      </c>
      <c r="X926" s="30">
        <f t="shared" ca="1" si="279"/>
        <v>20.669064866451613</v>
      </c>
      <c r="Y926" s="30">
        <f t="shared" ca="1" si="279"/>
        <v>17.794773348142609</v>
      </c>
      <c r="Z926" s="30">
        <f t="shared" ca="1" si="279"/>
        <v>12.269015858690571</v>
      </c>
      <c r="AA926" s="26">
        <v>918</v>
      </c>
      <c r="AB926" s="31">
        <f t="shared" ca="1" si="277"/>
        <v>22</v>
      </c>
      <c r="AC926" s="31">
        <f t="shared" ca="1" si="266"/>
        <v>29</v>
      </c>
      <c r="AD926" s="31">
        <f t="shared" ca="1" si="267"/>
        <v>17</v>
      </c>
      <c r="AE926" s="31">
        <f t="shared" ca="1" si="268"/>
        <v>21</v>
      </c>
      <c r="AF926" s="31">
        <f t="shared" ca="1" si="269"/>
        <v>14</v>
      </c>
      <c r="AG926" s="31">
        <f t="shared" ca="1" si="270"/>
        <v>12</v>
      </c>
      <c r="AH926" s="31">
        <f t="shared" ca="1" si="271"/>
        <v>112</v>
      </c>
      <c r="AI926" s="31">
        <f t="shared" ca="1" si="272"/>
        <v>70</v>
      </c>
      <c r="AJ926" s="31">
        <f t="shared" ca="1" si="273"/>
        <v>3</v>
      </c>
      <c r="AK926" s="31">
        <f t="shared" ca="1" si="274"/>
        <v>32</v>
      </c>
      <c r="AL926" s="31">
        <f t="shared" ca="1" si="275"/>
        <v>26</v>
      </c>
      <c r="AM926" s="31">
        <f t="shared" ca="1" si="276"/>
        <v>16</v>
      </c>
    </row>
    <row r="927" spans="14:39">
      <c r="N927" s="26">
        <v>919</v>
      </c>
      <c r="O927" s="30">
        <f t="shared" ca="1" si="279"/>
        <v>2.175496782434446</v>
      </c>
      <c r="P927" s="30">
        <f t="shared" ca="1" si="279"/>
        <v>30.771010466753328</v>
      </c>
      <c r="Q927" s="30">
        <f t="shared" ca="1" si="279"/>
        <v>21.24796108612291</v>
      </c>
      <c r="R927" s="30">
        <f t="shared" ca="1" si="279"/>
        <v>15.016893358813947</v>
      </c>
      <c r="S927" s="30">
        <f t="shared" ca="1" si="279"/>
        <v>11.395764519163917</v>
      </c>
      <c r="T927" s="30">
        <f t="shared" ca="1" si="279"/>
        <v>12.658319090500983</v>
      </c>
      <c r="U927" s="30">
        <f t="shared" ca="1" si="279"/>
        <v>8.2184874618082819</v>
      </c>
      <c r="V927" s="30">
        <f t="shared" ca="1" si="279"/>
        <v>4.4153585333125021</v>
      </c>
      <c r="W927" s="30">
        <f t="shared" ca="1" si="279"/>
        <v>15.854796733414746</v>
      </c>
      <c r="X927" s="30">
        <f t="shared" ca="1" si="279"/>
        <v>29.892237711561915</v>
      </c>
      <c r="Y927" s="30">
        <f t="shared" ca="1" si="279"/>
        <v>20.279493812277838</v>
      </c>
      <c r="Z927" s="30">
        <f t="shared" ca="1" si="279"/>
        <v>20.237176431075863</v>
      </c>
      <c r="AA927" s="26">
        <v>919</v>
      </c>
      <c r="AB927" s="31">
        <f t="shared" ca="1" si="277"/>
        <v>3</v>
      </c>
      <c r="AC927" s="31">
        <f t="shared" ca="1" si="266"/>
        <v>85</v>
      </c>
      <c r="AD927" s="31">
        <f t="shared" ca="1" si="267"/>
        <v>34</v>
      </c>
      <c r="AE927" s="31">
        <f t="shared" ca="1" si="268"/>
        <v>20</v>
      </c>
      <c r="AF927" s="31">
        <f t="shared" ca="1" si="269"/>
        <v>14</v>
      </c>
      <c r="AG927" s="31">
        <f t="shared" ca="1" si="270"/>
        <v>16</v>
      </c>
      <c r="AH927" s="31">
        <f t="shared" ca="1" si="271"/>
        <v>10</v>
      </c>
      <c r="AI927" s="31">
        <f t="shared" ca="1" si="272"/>
        <v>5</v>
      </c>
      <c r="AJ927" s="31">
        <f t="shared" ca="1" si="273"/>
        <v>22</v>
      </c>
      <c r="AK927" s="31">
        <f t="shared" ca="1" si="274"/>
        <v>75</v>
      </c>
      <c r="AL927" s="31">
        <f t="shared" ca="1" si="275"/>
        <v>31</v>
      </c>
      <c r="AM927" s="31">
        <f t="shared" ca="1" si="276"/>
        <v>31</v>
      </c>
    </row>
    <row r="928" spans="14:39">
      <c r="N928" s="26">
        <v>920</v>
      </c>
      <c r="O928" s="30">
        <f t="shared" ca="1" si="279"/>
        <v>20.761945622229817</v>
      </c>
      <c r="P928" s="30">
        <f t="shared" ca="1" si="279"/>
        <v>19.583820240637007</v>
      </c>
      <c r="Q928" s="30">
        <f t="shared" ca="1" si="279"/>
        <v>15.697860668376078</v>
      </c>
      <c r="R928" s="30">
        <f t="shared" ca="1" si="279"/>
        <v>3.3038138239230266</v>
      </c>
      <c r="S928" s="30">
        <f t="shared" ca="1" si="279"/>
        <v>15.163495136763967</v>
      </c>
      <c r="T928" s="30">
        <f t="shared" ca="1" si="279"/>
        <v>7.2839710576689027</v>
      </c>
      <c r="U928" s="30">
        <f t="shared" ca="1" si="279"/>
        <v>26.55235719852508</v>
      </c>
      <c r="V928" s="30">
        <f t="shared" ca="1" si="279"/>
        <v>21.60013208582755</v>
      </c>
      <c r="W928" s="30">
        <f t="shared" ca="1" si="279"/>
        <v>24.803068895504261</v>
      </c>
      <c r="X928" s="30">
        <f t="shared" ca="1" si="279"/>
        <v>0.59913321698031319</v>
      </c>
      <c r="Y928" s="30">
        <f t="shared" ca="1" si="279"/>
        <v>1.7662779639301569</v>
      </c>
      <c r="Z928" s="30">
        <f t="shared" ca="1" si="279"/>
        <v>17.666971928062441</v>
      </c>
      <c r="AA928" s="26">
        <v>920</v>
      </c>
      <c r="AB928" s="31">
        <f t="shared" ca="1" si="277"/>
        <v>33</v>
      </c>
      <c r="AC928" s="31">
        <f t="shared" ca="1" si="266"/>
        <v>30</v>
      </c>
      <c r="AD928" s="31">
        <f t="shared" ca="1" si="267"/>
        <v>21</v>
      </c>
      <c r="AE928" s="31">
        <f t="shared" ca="1" si="268"/>
        <v>4</v>
      </c>
      <c r="AF928" s="31">
        <f t="shared" ca="1" si="269"/>
        <v>20</v>
      </c>
      <c r="AG928" s="31">
        <f t="shared" ca="1" si="270"/>
        <v>9</v>
      </c>
      <c r="AH928" s="31">
        <f t="shared" ca="1" si="271"/>
        <v>53</v>
      </c>
      <c r="AI928" s="31">
        <f t="shared" ca="1" si="272"/>
        <v>35</v>
      </c>
      <c r="AJ928" s="31">
        <f t="shared" ca="1" si="273"/>
        <v>45</v>
      </c>
      <c r="AK928" s="31">
        <f t="shared" ca="1" si="274"/>
        <v>1</v>
      </c>
      <c r="AL928" s="31">
        <f t="shared" ca="1" si="275"/>
        <v>2</v>
      </c>
      <c r="AM928" s="31">
        <f t="shared" ca="1" si="276"/>
        <v>25</v>
      </c>
    </row>
    <row r="929" spans="14:39">
      <c r="N929" s="26">
        <v>921</v>
      </c>
      <c r="O929" s="30">
        <f t="shared" ref="O929:Z938" ca="1" si="280">RAND()*sumweights</f>
        <v>26.386446492047217</v>
      </c>
      <c r="P929" s="30">
        <f t="shared" ca="1" si="280"/>
        <v>17.017320955302321</v>
      </c>
      <c r="Q929" s="30">
        <f t="shared" ca="1" si="280"/>
        <v>29.470775193593216</v>
      </c>
      <c r="R929" s="30">
        <f t="shared" ca="1" si="280"/>
        <v>32.723166692635104</v>
      </c>
      <c r="S929" s="30">
        <f t="shared" ca="1" si="280"/>
        <v>8.6201452872782554</v>
      </c>
      <c r="T929" s="30">
        <f t="shared" ca="1" si="280"/>
        <v>17.806235202317211</v>
      </c>
      <c r="U929" s="30">
        <f t="shared" ca="1" si="280"/>
        <v>0.22401011809576865</v>
      </c>
      <c r="V929" s="30">
        <f t="shared" ca="1" si="280"/>
        <v>19.767562557691988</v>
      </c>
      <c r="W929" s="30">
        <f t="shared" ca="1" si="280"/>
        <v>10.328696509449815</v>
      </c>
      <c r="X929" s="30">
        <f t="shared" ca="1" si="280"/>
        <v>11.470015966301613</v>
      </c>
      <c r="Y929" s="30">
        <f t="shared" ca="1" si="280"/>
        <v>24.003522487093274</v>
      </c>
      <c r="Z929" s="30">
        <f t="shared" ca="1" si="280"/>
        <v>21.109815917346513</v>
      </c>
      <c r="AA929" s="26">
        <v>921</v>
      </c>
      <c r="AB929" s="31">
        <f t="shared" ca="1" si="277"/>
        <v>52</v>
      </c>
      <c r="AC929" s="31">
        <f t="shared" ca="1" si="266"/>
        <v>24</v>
      </c>
      <c r="AD929" s="31">
        <f t="shared" ca="1" si="267"/>
        <v>71</v>
      </c>
      <c r="AE929" s="31">
        <f t="shared" ca="1" si="268"/>
        <v>132</v>
      </c>
      <c r="AF929" s="31">
        <f t="shared" ca="1" si="269"/>
        <v>10</v>
      </c>
      <c r="AG929" s="31">
        <f t="shared" ca="1" si="270"/>
        <v>26</v>
      </c>
      <c r="AH929" s="31">
        <f t="shared" ca="1" si="271"/>
        <v>1</v>
      </c>
      <c r="AI929" s="31">
        <f t="shared" ca="1" si="272"/>
        <v>30</v>
      </c>
      <c r="AJ929" s="31">
        <f t="shared" ca="1" si="273"/>
        <v>13</v>
      </c>
      <c r="AK929" s="31">
        <f t="shared" ca="1" si="274"/>
        <v>14</v>
      </c>
      <c r="AL929" s="31">
        <f t="shared" ca="1" si="275"/>
        <v>42</v>
      </c>
      <c r="AM929" s="31">
        <f t="shared" ca="1" si="276"/>
        <v>33</v>
      </c>
    </row>
    <row r="930" spans="14:39">
      <c r="N930" s="26">
        <v>922</v>
      </c>
      <c r="O930" s="30">
        <f t="shared" ca="1" si="280"/>
        <v>12.025957326739078</v>
      </c>
      <c r="P930" s="30">
        <f t="shared" ca="1" si="280"/>
        <v>29.744330651205296</v>
      </c>
      <c r="Q930" s="30">
        <f t="shared" ca="1" si="280"/>
        <v>19.218691453465357</v>
      </c>
      <c r="R930" s="30">
        <f t="shared" ca="1" si="280"/>
        <v>2.8082205869070811</v>
      </c>
      <c r="S930" s="30">
        <f t="shared" ca="1" si="280"/>
        <v>12.601186718520919</v>
      </c>
      <c r="T930" s="30">
        <f t="shared" ca="1" si="280"/>
        <v>24.594231304535533</v>
      </c>
      <c r="U930" s="30">
        <f t="shared" ca="1" si="280"/>
        <v>2.0381555769660777</v>
      </c>
      <c r="V930" s="30">
        <f t="shared" ca="1" si="280"/>
        <v>26.716988965135247</v>
      </c>
      <c r="W930" s="30">
        <f t="shared" ca="1" si="280"/>
        <v>17.685463403057092</v>
      </c>
      <c r="X930" s="30">
        <f t="shared" ca="1" si="280"/>
        <v>21.205815767650154</v>
      </c>
      <c r="Y930" s="30">
        <f t="shared" ca="1" si="280"/>
        <v>4.6391743282106015</v>
      </c>
      <c r="Z930" s="30">
        <f t="shared" ca="1" si="280"/>
        <v>13.592572191143283</v>
      </c>
      <c r="AA930" s="26">
        <v>922</v>
      </c>
      <c r="AB930" s="31">
        <f t="shared" ca="1" si="277"/>
        <v>15</v>
      </c>
      <c r="AC930" s="31">
        <f t="shared" ca="1" si="266"/>
        <v>74</v>
      </c>
      <c r="AD930" s="31">
        <f t="shared" ca="1" si="267"/>
        <v>29</v>
      </c>
      <c r="AE930" s="31">
        <f t="shared" ca="1" si="268"/>
        <v>3</v>
      </c>
      <c r="AF930" s="31">
        <f t="shared" ca="1" si="269"/>
        <v>16</v>
      </c>
      <c r="AG930" s="31">
        <f t="shared" ca="1" si="270"/>
        <v>44</v>
      </c>
      <c r="AH930" s="31">
        <f t="shared" ca="1" si="271"/>
        <v>3</v>
      </c>
      <c r="AI930" s="31">
        <f t="shared" ca="1" si="272"/>
        <v>54</v>
      </c>
      <c r="AJ930" s="31">
        <f t="shared" ca="1" si="273"/>
        <v>25</v>
      </c>
      <c r="AK930" s="31">
        <f t="shared" ca="1" si="274"/>
        <v>34</v>
      </c>
      <c r="AL930" s="31">
        <f t="shared" ca="1" si="275"/>
        <v>5</v>
      </c>
      <c r="AM930" s="31">
        <f t="shared" ca="1" si="276"/>
        <v>18</v>
      </c>
    </row>
    <row r="931" spans="14:39">
      <c r="N931" s="26">
        <v>923</v>
      </c>
      <c r="O931" s="30">
        <f t="shared" ca="1" si="280"/>
        <v>27.650097650317729</v>
      </c>
      <c r="P931" s="30">
        <f t="shared" ca="1" si="280"/>
        <v>24.575250727961443</v>
      </c>
      <c r="Q931" s="30">
        <f t="shared" ca="1" si="280"/>
        <v>30.235734382802264</v>
      </c>
      <c r="R931" s="30">
        <f t="shared" ca="1" si="280"/>
        <v>24.636834741700234</v>
      </c>
      <c r="S931" s="30">
        <f t="shared" ca="1" si="280"/>
        <v>23.323543899282807</v>
      </c>
      <c r="T931" s="30">
        <f t="shared" ca="1" si="280"/>
        <v>10.650894657171262</v>
      </c>
      <c r="U931" s="30">
        <f t="shared" ca="1" si="280"/>
        <v>32.029897061065085</v>
      </c>
      <c r="V931" s="30">
        <f t="shared" ca="1" si="280"/>
        <v>7.2959245422662526</v>
      </c>
      <c r="W931" s="30">
        <f t="shared" ca="1" si="280"/>
        <v>20.326487957013413</v>
      </c>
      <c r="X931" s="30">
        <f t="shared" ca="1" si="280"/>
        <v>24.467357450866473</v>
      </c>
      <c r="Y931" s="30">
        <f t="shared" ca="1" si="280"/>
        <v>26.831340339059455</v>
      </c>
      <c r="Z931" s="30">
        <f t="shared" ca="1" si="280"/>
        <v>28.55538141561173</v>
      </c>
      <c r="AA931" s="26">
        <v>923</v>
      </c>
      <c r="AB931" s="31">
        <f t="shared" ca="1" si="277"/>
        <v>59</v>
      </c>
      <c r="AC931" s="31">
        <f t="shared" ca="1" si="266"/>
        <v>44</v>
      </c>
      <c r="AD931" s="31">
        <f t="shared" ca="1" si="267"/>
        <v>79</v>
      </c>
      <c r="AE931" s="31">
        <f t="shared" ca="1" si="268"/>
        <v>45</v>
      </c>
      <c r="AF931" s="31">
        <f t="shared" ca="1" si="269"/>
        <v>40</v>
      </c>
      <c r="AG931" s="31">
        <f t="shared" ca="1" si="270"/>
        <v>13</v>
      </c>
      <c r="AH931" s="31">
        <f t="shared" ca="1" si="271"/>
        <v>107</v>
      </c>
      <c r="AI931" s="31">
        <f t="shared" ca="1" si="272"/>
        <v>9</v>
      </c>
      <c r="AJ931" s="31">
        <f t="shared" ca="1" si="273"/>
        <v>31</v>
      </c>
      <c r="AK931" s="31">
        <f t="shared" ca="1" si="274"/>
        <v>44</v>
      </c>
      <c r="AL931" s="31">
        <f t="shared" ca="1" si="275"/>
        <v>54</v>
      </c>
      <c r="AM931" s="31">
        <f t="shared" ca="1" si="276"/>
        <v>64</v>
      </c>
    </row>
    <row r="932" spans="14:39">
      <c r="N932" s="26">
        <v>924</v>
      </c>
      <c r="O932" s="30">
        <f t="shared" ca="1" si="280"/>
        <v>1.5722246401524429</v>
      </c>
      <c r="P932" s="30">
        <f t="shared" ca="1" si="280"/>
        <v>11.602865607337261</v>
      </c>
      <c r="Q932" s="30">
        <f t="shared" ca="1" si="280"/>
        <v>12.583190722506394</v>
      </c>
      <c r="R932" s="30">
        <f t="shared" ca="1" si="280"/>
        <v>28.926923315069118</v>
      </c>
      <c r="S932" s="30">
        <f t="shared" ca="1" si="280"/>
        <v>23.867828632449477</v>
      </c>
      <c r="T932" s="30">
        <f t="shared" ca="1" si="280"/>
        <v>10.769494229781019</v>
      </c>
      <c r="U932" s="30">
        <f t="shared" ca="1" si="280"/>
        <v>8.9006211584404262</v>
      </c>
      <c r="V932" s="30">
        <f t="shared" ca="1" si="280"/>
        <v>28.211506870746938</v>
      </c>
      <c r="W932" s="30">
        <f t="shared" ca="1" si="280"/>
        <v>27.223265468781989</v>
      </c>
      <c r="X932" s="30">
        <f t="shared" ca="1" si="280"/>
        <v>25.497207961564754</v>
      </c>
      <c r="Y932" s="30">
        <f t="shared" ca="1" si="280"/>
        <v>0.41229044985013619</v>
      </c>
      <c r="Z932" s="30">
        <f t="shared" ca="1" si="280"/>
        <v>27.023336056300998</v>
      </c>
      <c r="AA932" s="26">
        <v>924</v>
      </c>
      <c r="AB932" s="31">
        <f t="shared" ca="1" si="277"/>
        <v>2</v>
      </c>
      <c r="AC932" s="31">
        <f t="shared" ca="1" si="266"/>
        <v>15</v>
      </c>
      <c r="AD932" s="31">
        <f t="shared" ca="1" si="267"/>
        <v>16</v>
      </c>
      <c r="AE932" s="31">
        <f t="shared" ca="1" si="268"/>
        <v>67</v>
      </c>
      <c r="AF932" s="31">
        <f t="shared" ca="1" si="269"/>
        <v>42</v>
      </c>
      <c r="AG932" s="31">
        <f t="shared" ca="1" si="270"/>
        <v>13</v>
      </c>
      <c r="AH932" s="31">
        <f t="shared" ca="1" si="271"/>
        <v>11</v>
      </c>
      <c r="AI932" s="31">
        <f t="shared" ca="1" si="272"/>
        <v>62</v>
      </c>
      <c r="AJ932" s="31">
        <f t="shared" ca="1" si="273"/>
        <v>56</v>
      </c>
      <c r="AK932" s="31">
        <f t="shared" ca="1" si="274"/>
        <v>48</v>
      </c>
      <c r="AL932" s="31">
        <f t="shared" ca="1" si="275"/>
        <v>1</v>
      </c>
      <c r="AM932" s="31">
        <f t="shared" ca="1" si="276"/>
        <v>55</v>
      </c>
    </row>
    <row r="933" spans="14:39">
      <c r="N933" s="26">
        <v>925</v>
      </c>
      <c r="O933" s="30">
        <f t="shared" ca="1" si="280"/>
        <v>27.679722975280296</v>
      </c>
      <c r="P933" s="30">
        <f t="shared" ca="1" si="280"/>
        <v>9.3891186843680217</v>
      </c>
      <c r="Q933" s="30">
        <f t="shared" ca="1" si="280"/>
        <v>33.169437446596156</v>
      </c>
      <c r="R933" s="30">
        <f t="shared" ca="1" si="280"/>
        <v>20.47919713707374</v>
      </c>
      <c r="S933" s="30">
        <f t="shared" ca="1" si="280"/>
        <v>19.274555551997466</v>
      </c>
      <c r="T933" s="30">
        <f t="shared" ca="1" si="280"/>
        <v>28.944900041787264</v>
      </c>
      <c r="U933" s="30">
        <f t="shared" ca="1" si="280"/>
        <v>20.449702961403265</v>
      </c>
      <c r="V933" s="30">
        <f t="shared" ca="1" si="280"/>
        <v>1.956008584317884</v>
      </c>
      <c r="W933" s="30">
        <f t="shared" ca="1" si="280"/>
        <v>14.686346228466098</v>
      </c>
      <c r="X933" s="30">
        <f t="shared" ca="1" si="280"/>
        <v>3.3870104504327978</v>
      </c>
      <c r="Y933" s="30">
        <f t="shared" ca="1" si="280"/>
        <v>0.21416641760866983</v>
      </c>
      <c r="Z933" s="30">
        <f t="shared" ca="1" si="280"/>
        <v>19.129354117011879</v>
      </c>
      <c r="AA933" s="26">
        <v>925</v>
      </c>
      <c r="AB933" s="31">
        <f t="shared" ca="1" si="277"/>
        <v>59</v>
      </c>
      <c r="AC933" s="31">
        <f t="shared" ca="1" si="266"/>
        <v>11</v>
      </c>
      <c r="AD933" s="31">
        <f t="shared" ca="1" si="267"/>
        <v>175</v>
      </c>
      <c r="AE933" s="31">
        <f t="shared" ca="1" si="268"/>
        <v>32</v>
      </c>
      <c r="AF933" s="31">
        <f t="shared" ca="1" si="269"/>
        <v>29</v>
      </c>
      <c r="AG933" s="31">
        <f t="shared" ca="1" si="270"/>
        <v>67</v>
      </c>
      <c r="AH933" s="31">
        <f t="shared" ca="1" si="271"/>
        <v>32</v>
      </c>
      <c r="AI933" s="31">
        <f t="shared" ca="1" si="272"/>
        <v>2</v>
      </c>
      <c r="AJ933" s="31">
        <f t="shared" ca="1" si="273"/>
        <v>20</v>
      </c>
      <c r="AK933" s="31">
        <f t="shared" ca="1" si="274"/>
        <v>4</v>
      </c>
      <c r="AL933" s="31">
        <f t="shared" ca="1" si="275"/>
        <v>1</v>
      </c>
      <c r="AM933" s="31">
        <f t="shared" ca="1" si="276"/>
        <v>29</v>
      </c>
    </row>
    <row r="934" spans="14:39">
      <c r="N934" s="26">
        <v>926</v>
      </c>
      <c r="O934" s="30">
        <f t="shared" ca="1" si="280"/>
        <v>23.03723900251693</v>
      </c>
      <c r="P934" s="30">
        <f t="shared" ca="1" si="280"/>
        <v>28.925043733468293</v>
      </c>
      <c r="Q934" s="30">
        <f t="shared" ca="1" si="280"/>
        <v>16.80068901802894</v>
      </c>
      <c r="R934" s="30">
        <f t="shared" ca="1" si="280"/>
        <v>14.063151851235697</v>
      </c>
      <c r="S934" s="30">
        <f t="shared" ca="1" si="280"/>
        <v>4.8966497241261937</v>
      </c>
      <c r="T934" s="30">
        <f t="shared" ca="1" si="280"/>
        <v>1.5583800290391525</v>
      </c>
      <c r="U934" s="30">
        <f t="shared" ca="1" si="280"/>
        <v>27.035605965048561</v>
      </c>
      <c r="V934" s="30">
        <f t="shared" ca="1" si="280"/>
        <v>20.576059939886733</v>
      </c>
      <c r="W934" s="30">
        <f t="shared" ca="1" si="280"/>
        <v>16.29404363754329</v>
      </c>
      <c r="X934" s="30">
        <f t="shared" ca="1" si="280"/>
        <v>1.2762220772765105</v>
      </c>
      <c r="Y934" s="30">
        <f t="shared" ca="1" si="280"/>
        <v>7.3333185200845836</v>
      </c>
      <c r="Z934" s="30">
        <f t="shared" ca="1" si="280"/>
        <v>5.2282070722978986</v>
      </c>
      <c r="AA934" s="26">
        <v>926</v>
      </c>
      <c r="AB934" s="31">
        <f t="shared" ca="1" si="277"/>
        <v>39</v>
      </c>
      <c r="AC934" s="31">
        <f t="shared" ca="1" si="266"/>
        <v>67</v>
      </c>
      <c r="AD934" s="31">
        <f t="shared" ca="1" si="267"/>
        <v>24</v>
      </c>
      <c r="AE934" s="31">
        <f t="shared" ca="1" si="268"/>
        <v>18</v>
      </c>
      <c r="AF934" s="31">
        <f t="shared" ca="1" si="269"/>
        <v>6</v>
      </c>
      <c r="AG934" s="31">
        <f t="shared" ca="1" si="270"/>
        <v>2</v>
      </c>
      <c r="AH934" s="31">
        <f t="shared" ca="1" si="271"/>
        <v>55</v>
      </c>
      <c r="AI934" s="31">
        <f t="shared" ca="1" si="272"/>
        <v>32</v>
      </c>
      <c r="AJ934" s="31">
        <f t="shared" ca="1" si="273"/>
        <v>23</v>
      </c>
      <c r="AK934" s="31">
        <f t="shared" ca="1" si="274"/>
        <v>2</v>
      </c>
      <c r="AL934" s="31">
        <f t="shared" ca="1" si="275"/>
        <v>9</v>
      </c>
      <c r="AM934" s="31">
        <f t="shared" ca="1" si="276"/>
        <v>6</v>
      </c>
    </row>
    <row r="935" spans="14:39">
      <c r="N935" s="26">
        <v>927</v>
      </c>
      <c r="O935" s="30">
        <f t="shared" ca="1" si="280"/>
        <v>20.531658687865828</v>
      </c>
      <c r="P935" s="30">
        <f t="shared" ca="1" si="280"/>
        <v>18.219062947078822</v>
      </c>
      <c r="Q935" s="30">
        <f t="shared" ca="1" si="280"/>
        <v>24.928490022210447</v>
      </c>
      <c r="R935" s="30">
        <f t="shared" ca="1" si="280"/>
        <v>26.028365999352289</v>
      </c>
      <c r="S935" s="30">
        <f t="shared" ca="1" si="280"/>
        <v>30.460693938525701</v>
      </c>
      <c r="T935" s="30">
        <f t="shared" ca="1" si="280"/>
        <v>4.0384684789719891</v>
      </c>
      <c r="U935" s="30">
        <f t="shared" ca="1" si="280"/>
        <v>8.9453216241766356</v>
      </c>
      <c r="V935" s="30">
        <f t="shared" ca="1" si="280"/>
        <v>27.602604541365643</v>
      </c>
      <c r="W935" s="30">
        <f t="shared" ca="1" si="280"/>
        <v>9.4014688899043772</v>
      </c>
      <c r="X935" s="30">
        <f t="shared" ca="1" si="280"/>
        <v>26.052207809074375</v>
      </c>
      <c r="Y935" s="30">
        <f t="shared" ca="1" si="280"/>
        <v>10.36177983940569</v>
      </c>
      <c r="Z935" s="30">
        <f t="shared" ca="1" si="280"/>
        <v>14.680862615700153</v>
      </c>
      <c r="AA935" s="26">
        <v>927</v>
      </c>
      <c r="AB935" s="31">
        <f t="shared" ca="1" si="277"/>
        <v>32</v>
      </c>
      <c r="AC935" s="31">
        <f t="shared" ca="1" si="266"/>
        <v>26</v>
      </c>
      <c r="AD935" s="31">
        <f t="shared" ca="1" si="267"/>
        <v>46</v>
      </c>
      <c r="AE935" s="31">
        <f t="shared" ca="1" si="268"/>
        <v>50</v>
      </c>
      <c r="AF935" s="31">
        <f t="shared" ca="1" si="269"/>
        <v>81</v>
      </c>
      <c r="AG935" s="31">
        <f t="shared" ca="1" si="270"/>
        <v>5</v>
      </c>
      <c r="AH935" s="31">
        <f t="shared" ca="1" si="271"/>
        <v>11</v>
      </c>
      <c r="AI935" s="31">
        <f t="shared" ca="1" si="272"/>
        <v>58</v>
      </c>
      <c r="AJ935" s="31">
        <f t="shared" ca="1" si="273"/>
        <v>11</v>
      </c>
      <c r="AK935" s="31">
        <f t="shared" ca="1" si="274"/>
        <v>50</v>
      </c>
      <c r="AL935" s="31">
        <f t="shared" ca="1" si="275"/>
        <v>13</v>
      </c>
      <c r="AM935" s="31">
        <f t="shared" ca="1" si="276"/>
        <v>20</v>
      </c>
    </row>
    <row r="936" spans="14:39">
      <c r="N936" s="26">
        <v>928</v>
      </c>
      <c r="O936" s="30">
        <f t="shared" ca="1" si="280"/>
        <v>26.892164652018167</v>
      </c>
      <c r="P936" s="30">
        <f t="shared" ca="1" si="280"/>
        <v>6.3778529476777965</v>
      </c>
      <c r="Q936" s="30">
        <f t="shared" ca="1" si="280"/>
        <v>5.9096172554815052</v>
      </c>
      <c r="R936" s="30">
        <f t="shared" ca="1" si="280"/>
        <v>13.151822261003455</v>
      </c>
      <c r="S936" s="30">
        <f t="shared" ca="1" si="280"/>
        <v>20.2871247315537</v>
      </c>
      <c r="T936" s="30">
        <f t="shared" ca="1" si="280"/>
        <v>5.4410505598708969</v>
      </c>
      <c r="U936" s="30">
        <f t="shared" ca="1" si="280"/>
        <v>29.631663009557968</v>
      </c>
      <c r="V936" s="30">
        <f t="shared" ca="1" si="280"/>
        <v>21.624179510718083</v>
      </c>
      <c r="W936" s="30">
        <f t="shared" ca="1" si="280"/>
        <v>26.969845389224162</v>
      </c>
      <c r="X936" s="30">
        <f t="shared" ca="1" si="280"/>
        <v>12.050025097729591</v>
      </c>
      <c r="Y936" s="30">
        <f t="shared" ca="1" si="280"/>
        <v>4.0659958660893425</v>
      </c>
      <c r="Z936" s="30">
        <f t="shared" ca="1" si="280"/>
        <v>1.3548382354082829</v>
      </c>
      <c r="AA936" s="26">
        <v>928</v>
      </c>
      <c r="AB936" s="31">
        <f t="shared" ca="1" si="277"/>
        <v>54</v>
      </c>
      <c r="AC936" s="31">
        <f t="shared" ca="1" si="266"/>
        <v>7</v>
      </c>
      <c r="AD936" s="31">
        <f t="shared" ca="1" si="267"/>
        <v>7</v>
      </c>
      <c r="AE936" s="31">
        <f t="shared" ca="1" si="268"/>
        <v>17</v>
      </c>
      <c r="AF936" s="31">
        <f t="shared" ca="1" si="269"/>
        <v>31</v>
      </c>
      <c r="AG936" s="31">
        <f t="shared" ca="1" si="270"/>
        <v>6</v>
      </c>
      <c r="AH936" s="31">
        <f t="shared" ca="1" si="271"/>
        <v>73</v>
      </c>
      <c r="AI936" s="31">
        <f t="shared" ca="1" si="272"/>
        <v>35</v>
      </c>
      <c r="AJ936" s="31">
        <f t="shared" ca="1" si="273"/>
        <v>55</v>
      </c>
      <c r="AK936" s="31">
        <f t="shared" ca="1" si="274"/>
        <v>15</v>
      </c>
      <c r="AL936" s="31">
        <f t="shared" ca="1" si="275"/>
        <v>5</v>
      </c>
      <c r="AM936" s="31">
        <f t="shared" ca="1" si="276"/>
        <v>2</v>
      </c>
    </row>
    <row r="937" spans="14:39">
      <c r="N937" s="26">
        <v>929</v>
      </c>
      <c r="O937" s="30">
        <f t="shared" ca="1" si="280"/>
        <v>31.323745607346265</v>
      </c>
      <c r="P937" s="30">
        <f t="shared" ca="1" si="280"/>
        <v>25.776864651025683</v>
      </c>
      <c r="Q937" s="30">
        <f t="shared" ca="1" si="280"/>
        <v>24.667594283673402</v>
      </c>
      <c r="R937" s="30">
        <f t="shared" ca="1" si="280"/>
        <v>7.3610833941157692</v>
      </c>
      <c r="S937" s="30">
        <f t="shared" ca="1" si="280"/>
        <v>20.298218440767695</v>
      </c>
      <c r="T937" s="30">
        <f t="shared" ca="1" si="280"/>
        <v>25.527920053492643</v>
      </c>
      <c r="U937" s="30">
        <f t="shared" ca="1" si="280"/>
        <v>21.349936830062543</v>
      </c>
      <c r="V937" s="30">
        <f t="shared" ca="1" si="280"/>
        <v>14.177683300175685</v>
      </c>
      <c r="W937" s="30">
        <f t="shared" ca="1" si="280"/>
        <v>26.472282507385373</v>
      </c>
      <c r="X937" s="30">
        <f t="shared" ca="1" si="280"/>
        <v>15.700849739136599</v>
      </c>
      <c r="Y937" s="30">
        <f t="shared" ca="1" si="280"/>
        <v>15.654397285433742</v>
      </c>
      <c r="Z937" s="30">
        <f t="shared" ca="1" si="280"/>
        <v>0.71432394811836386</v>
      </c>
      <c r="AA937" s="26">
        <v>929</v>
      </c>
      <c r="AB937" s="31">
        <f t="shared" ca="1" si="277"/>
        <v>93</v>
      </c>
      <c r="AC937" s="31">
        <f t="shared" ca="1" si="266"/>
        <v>49</v>
      </c>
      <c r="AD937" s="31">
        <f t="shared" ca="1" si="267"/>
        <v>45</v>
      </c>
      <c r="AE937" s="31">
        <f t="shared" ca="1" si="268"/>
        <v>9</v>
      </c>
      <c r="AF937" s="31">
        <f t="shared" ca="1" si="269"/>
        <v>31</v>
      </c>
      <c r="AG937" s="31">
        <f t="shared" ca="1" si="270"/>
        <v>48</v>
      </c>
      <c r="AH937" s="31">
        <f t="shared" ca="1" si="271"/>
        <v>34</v>
      </c>
      <c r="AI937" s="31">
        <f t="shared" ca="1" si="272"/>
        <v>19</v>
      </c>
      <c r="AJ937" s="31">
        <f t="shared" ca="1" si="273"/>
        <v>52</v>
      </c>
      <c r="AK937" s="31">
        <f t="shared" ca="1" si="274"/>
        <v>21</v>
      </c>
      <c r="AL937" s="31">
        <f t="shared" ca="1" si="275"/>
        <v>21</v>
      </c>
      <c r="AM937" s="31">
        <f t="shared" ca="1" si="276"/>
        <v>1</v>
      </c>
    </row>
    <row r="938" spans="14:39">
      <c r="N938" s="26">
        <v>930</v>
      </c>
      <c r="O938" s="30">
        <f t="shared" ca="1" si="280"/>
        <v>20.109507195606504</v>
      </c>
      <c r="P938" s="30">
        <f t="shared" ca="1" si="280"/>
        <v>27.890810207546387</v>
      </c>
      <c r="Q938" s="30">
        <f t="shared" ca="1" si="280"/>
        <v>11.637060961670137</v>
      </c>
      <c r="R938" s="30">
        <f t="shared" ca="1" si="280"/>
        <v>25.213507694439109</v>
      </c>
      <c r="S938" s="30">
        <f t="shared" ca="1" si="280"/>
        <v>11.906257107815369</v>
      </c>
      <c r="T938" s="30">
        <f t="shared" ca="1" si="280"/>
        <v>3.825222645892675</v>
      </c>
      <c r="U938" s="30">
        <f t="shared" ca="1" si="280"/>
        <v>23.22545139457829</v>
      </c>
      <c r="V938" s="30">
        <f t="shared" ca="1" si="280"/>
        <v>28.779299328507026</v>
      </c>
      <c r="W938" s="30">
        <f t="shared" ca="1" si="280"/>
        <v>10.210476930645548</v>
      </c>
      <c r="X938" s="30">
        <f t="shared" ca="1" si="280"/>
        <v>11.706229892344348</v>
      </c>
      <c r="Y938" s="30">
        <f t="shared" ca="1" si="280"/>
        <v>19.846200208760262</v>
      </c>
      <c r="Z938" s="30">
        <f t="shared" ca="1" si="280"/>
        <v>1.9260874940845367</v>
      </c>
      <c r="AA938" s="26">
        <v>930</v>
      </c>
      <c r="AB938" s="31">
        <f t="shared" ca="1" si="277"/>
        <v>31</v>
      </c>
      <c r="AC938" s="31">
        <f t="shared" ca="1" si="266"/>
        <v>60</v>
      </c>
      <c r="AD938" s="31">
        <f t="shared" ca="1" si="267"/>
        <v>15</v>
      </c>
      <c r="AE938" s="31">
        <f t="shared" ca="1" si="268"/>
        <v>47</v>
      </c>
      <c r="AF938" s="31">
        <f t="shared" ca="1" si="269"/>
        <v>15</v>
      </c>
      <c r="AG938" s="31">
        <f t="shared" ca="1" si="270"/>
        <v>5</v>
      </c>
      <c r="AH938" s="31">
        <f t="shared" ca="1" si="271"/>
        <v>40</v>
      </c>
      <c r="AI938" s="31">
        <f t="shared" ca="1" si="272"/>
        <v>66</v>
      </c>
      <c r="AJ938" s="31">
        <f t="shared" ca="1" si="273"/>
        <v>13</v>
      </c>
      <c r="AK938" s="31">
        <f t="shared" ca="1" si="274"/>
        <v>15</v>
      </c>
      <c r="AL938" s="31">
        <f t="shared" ca="1" si="275"/>
        <v>30</v>
      </c>
      <c r="AM938" s="31">
        <f t="shared" ca="1" si="276"/>
        <v>2</v>
      </c>
    </row>
    <row r="939" spans="14:39">
      <c r="N939" s="26">
        <v>931</v>
      </c>
      <c r="O939" s="30">
        <f t="shared" ref="O939:Z948" ca="1" si="281">RAND()*sumweights</f>
        <v>4.1582048283348927</v>
      </c>
      <c r="P939" s="30">
        <f t="shared" ca="1" si="281"/>
        <v>17.763123921759675</v>
      </c>
      <c r="Q939" s="30">
        <f t="shared" ca="1" si="281"/>
        <v>18.563989479811152</v>
      </c>
      <c r="R939" s="30">
        <f t="shared" ca="1" si="281"/>
        <v>8.6493636579949111</v>
      </c>
      <c r="S939" s="30">
        <f t="shared" ca="1" si="281"/>
        <v>9.8697650577047877</v>
      </c>
      <c r="T939" s="30">
        <f t="shared" ca="1" si="281"/>
        <v>19.715683212603516</v>
      </c>
      <c r="U939" s="30">
        <f t="shared" ca="1" si="281"/>
        <v>23.652349475315368</v>
      </c>
      <c r="V939" s="30">
        <f t="shared" ca="1" si="281"/>
        <v>30.417098507986893</v>
      </c>
      <c r="W939" s="30">
        <f t="shared" ca="1" si="281"/>
        <v>29.068238686528016</v>
      </c>
      <c r="X939" s="30">
        <f t="shared" ca="1" si="281"/>
        <v>13.179856150446867</v>
      </c>
      <c r="Y939" s="30">
        <f t="shared" ca="1" si="281"/>
        <v>23.169843222739573</v>
      </c>
      <c r="Z939" s="30">
        <f t="shared" ca="1" si="281"/>
        <v>1.1877007844021978</v>
      </c>
      <c r="AA939" s="26">
        <v>931</v>
      </c>
      <c r="AB939" s="31">
        <f t="shared" ca="1" si="277"/>
        <v>5</v>
      </c>
      <c r="AC939" s="31">
        <f t="shared" ca="1" si="266"/>
        <v>25</v>
      </c>
      <c r="AD939" s="31">
        <f t="shared" ca="1" si="267"/>
        <v>27</v>
      </c>
      <c r="AE939" s="31">
        <f t="shared" ca="1" si="268"/>
        <v>10</v>
      </c>
      <c r="AF939" s="31">
        <f t="shared" ca="1" si="269"/>
        <v>12</v>
      </c>
      <c r="AG939" s="31">
        <f t="shared" ca="1" si="270"/>
        <v>30</v>
      </c>
      <c r="AH939" s="31">
        <f t="shared" ca="1" si="271"/>
        <v>41</v>
      </c>
      <c r="AI939" s="31">
        <f t="shared" ca="1" si="272"/>
        <v>80</v>
      </c>
      <c r="AJ939" s="31">
        <f t="shared" ca="1" si="273"/>
        <v>68</v>
      </c>
      <c r="AK939" s="31">
        <f t="shared" ca="1" si="274"/>
        <v>17</v>
      </c>
      <c r="AL939" s="31">
        <f t="shared" ca="1" si="275"/>
        <v>39</v>
      </c>
      <c r="AM939" s="31">
        <f t="shared" ca="1" si="276"/>
        <v>2</v>
      </c>
    </row>
    <row r="940" spans="14:39">
      <c r="N940" s="26">
        <v>932</v>
      </c>
      <c r="O940" s="30">
        <f t="shared" ca="1" si="281"/>
        <v>23.789337150497104</v>
      </c>
      <c r="P940" s="30">
        <f t="shared" ca="1" si="281"/>
        <v>17.376629178297893</v>
      </c>
      <c r="Q940" s="30">
        <f t="shared" ca="1" si="281"/>
        <v>31.926669980311402</v>
      </c>
      <c r="R940" s="30">
        <f t="shared" ca="1" si="281"/>
        <v>19.223684614353772</v>
      </c>
      <c r="S940" s="30">
        <f t="shared" ca="1" si="281"/>
        <v>19.583276802050637</v>
      </c>
      <c r="T940" s="30">
        <f t="shared" ca="1" si="281"/>
        <v>19.664678528172441</v>
      </c>
      <c r="U940" s="30">
        <f t="shared" ca="1" si="281"/>
        <v>21.882187529775088</v>
      </c>
      <c r="V940" s="30">
        <f t="shared" ca="1" si="281"/>
        <v>23.683560777881333</v>
      </c>
      <c r="W940" s="30">
        <f t="shared" ca="1" si="281"/>
        <v>7.6484558677835421</v>
      </c>
      <c r="X940" s="30">
        <f t="shared" ca="1" si="281"/>
        <v>15.468327059292683</v>
      </c>
      <c r="Y940" s="30">
        <f t="shared" ca="1" si="281"/>
        <v>27.76499300049354</v>
      </c>
      <c r="Z940" s="30">
        <f t="shared" ca="1" si="281"/>
        <v>6.8616012336322783</v>
      </c>
      <c r="AA940" s="26">
        <v>932</v>
      </c>
      <c r="AB940" s="31">
        <f t="shared" ca="1" si="277"/>
        <v>42</v>
      </c>
      <c r="AC940" s="31">
        <f t="shared" ca="1" si="266"/>
        <v>25</v>
      </c>
      <c r="AD940" s="31">
        <f t="shared" ca="1" si="267"/>
        <v>104</v>
      </c>
      <c r="AE940" s="31">
        <f t="shared" ca="1" si="268"/>
        <v>29</v>
      </c>
      <c r="AF940" s="31">
        <f t="shared" ca="1" si="269"/>
        <v>30</v>
      </c>
      <c r="AG940" s="31">
        <f t="shared" ca="1" si="270"/>
        <v>30</v>
      </c>
      <c r="AH940" s="31">
        <f t="shared" ca="1" si="271"/>
        <v>36</v>
      </c>
      <c r="AI940" s="31">
        <f t="shared" ca="1" si="272"/>
        <v>41</v>
      </c>
      <c r="AJ940" s="31">
        <f t="shared" ca="1" si="273"/>
        <v>9</v>
      </c>
      <c r="AK940" s="31">
        <f t="shared" ca="1" si="274"/>
        <v>21</v>
      </c>
      <c r="AL940" s="31">
        <f t="shared" ca="1" si="275"/>
        <v>59</v>
      </c>
      <c r="AM940" s="31">
        <f t="shared" ca="1" si="276"/>
        <v>8</v>
      </c>
    </row>
    <row r="941" spans="14:39">
      <c r="N941" s="26">
        <v>933</v>
      </c>
      <c r="O941" s="30">
        <f t="shared" ca="1" si="281"/>
        <v>24.969821479415071</v>
      </c>
      <c r="P941" s="30">
        <f t="shared" ca="1" si="281"/>
        <v>7.0602505602429417</v>
      </c>
      <c r="Q941" s="30">
        <f t="shared" ca="1" si="281"/>
        <v>24.868906720831717</v>
      </c>
      <c r="R941" s="30">
        <f t="shared" ca="1" si="281"/>
        <v>16.923877832066392</v>
      </c>
      <c r="S941" s="30">
        <f t="shared" ca="1" si="281"/>
        <v>22.923129685698694</v>
      </c>
      <c r="T941" s="30">
        <f t="shared" ca="1" si="281"/>
        <v>0.66775551130297739</v>
      </c>
      <c r="U941" s="30">
        <f t="shared" ca="1" si="281"/>
        <v>26.846837672151025</v>
      </c>
      <c r="V941" s="30">
        <f t="shared" ca="1" si="281"/>
        <v>30.890997637604396</v>
      </c>
      <c r="W941" s="30">
        <f t="shared" ca="1" si="281"/>
        <v>9.3647360127229291</v>
      </c>
      <c r="X941" s="30">
        <f t="shared" ca="1" si="281"/>
        <v>7.1562266105055983</v>
      </c>
      <c r="Y941" s="30">
        <f t="shared" ca="1" si="281"/>
        <v>29.709291046042168</v>
      </c>
      <c r="Z941" s="30">
        <f t="shared" ca="1" si="281"/>
        <v>16.36907495937696</v>
      </c>
      <c r="AA941" s="26">
        <v>933</v>
      </c>
      <c r="AB941" s="31">
        <f t="shared" ca="1" si="277"/>
        <v>46</v>
      </c>
      <c r="AC941" s="31">
        <f t="shared" ca="1" si="266"/>
        <v>8</v>
      </c>
      <c r="AD941" s="31">
        <f t="shared" ca="1" si="267"/>
        <v>46</v>
      </c>
      <c r="AE941" s="31">
        <f t="shared" ca="1" si="268"/>
        <v>24</v>
      </c>
      <c r="AF941" s="31">
        <f t="shared" ca="1" si="269"/>
        <v>39</v>
      </c>
      <c r="AG941" s="31">
        <f t="shared" ca="1" si="270"/>
        <v>1</v>
      </c>
      <c r="AH941" s="31">
        <f t="shared" ca="1" si="271"/>
        <v>54</v>
      </c>
      <c r="AI941" s="31">
        <f t="shared" ca="1" si="272"/>
        <v>86</v>
      </c>
      <c r="AJ941" s="31">
        <f t="shared" ca="1" si="273"/>
        <v>11</v>
      </c>
      <c r="AK941" s="31">
        <f t="shared" ca="1" si="274"/>
        <v>8</v>
      </c>
      <c r="AL941" s="31">
        <f t="shared" ca="1" si="275"/>
        <v>73</v>
      </c>
      <c r="AM941" s="31">
        <f t="shared" ca="1" si="276"/>
        <v>23</v>
      </c>
    </row>
    <row r="942" spans="14:39">
      <c r="N942" s="26">
        <v>934</v>
      </c>
      <c r="O942" s="30">
        <f t="shared" ca="1" si="281"/>
        <v>1.7088757984192406</v>
      </c>
      <c r="P942" s="30">
        <f t="shared" ca="1" si="281"/>
        <v>27.157688543171577</v>
      </c>
      <c r="Q942" s="30">
        <f t="shared" ca="1" si="281"/>
        <v>19.944297239390867</v>
      </c>
      <c r="R942" s="30">
        <f t="shared" ca="1" si="281"/>
        <v>20.55591100100845</v>
      </c>
      <c r="S942" s="30">
        <f t="shared" ca="1" si="281"/>
        <v>14.150684954689318</v>
      </c>
      <c r="T942" s="30">
        <f t="shared" ca="1" si="281"/>
        <v>24.649874160917843</v>
      </c>
      <c r="U942" s="30">
        <f t="shared" ca="1" si="281"/>
        <v>27.294548493041212</v>
      </c>
      <c r="V942" s="30">
        <f t="shared" ca="1" si="281"/>
        <v>29.045639170367153</v>
      </c>
      <c r="W942" s="30">
        <f t="shared" ca="1" si="281"/>
        <v>5.2058749373992317</v>
      </c>
      <c r="X942" s="30">
        <f t="shared" ca="1" si="281"/>
        <v>23.945431753229432</v>
      </c>
      <c r="Y942" s="30">
        <f t="shared" ca="1" si="281"/>
        <v>11.909330257328085</v>
      </c>
      <c r="Z942" s="30">
        <f t="shared" ca="1" si="281"/>
        <v>12.468710598335736</v>
      </c>
      <c r="AA942" s="26">
        <v>934</v>
      </c>
      <c r="AB942" s="31">
        <f t="shared" ca="1" si="277"/>
        <v>2</v>
      </c>
      <c r="AC942" s="31">
        <f t="shared" ca="1" si="266"/>
        <v>56</v>
      </c>
      <c r="AD942" s="31">
        <f t="shared" ca="1" si="267"/>
        <v>30</v>
      </c>
      <c r="AE942" s="31">
        <f t="shared" ca="1" si="268"/>
        <v>32</v>
      </c>
      <c r="AF942" s="31">
        <f t="shared" ca="1" si="269"/>
        <v>19</v>
      </c>
      <c r="AG942" s="31">
        <f t="shared" ca="1" si="270"/>
        <v>45</v>
      </c>
      <c r="AH942" s="31">
        <f t="shared" ca="1" si="271"/>
        <v>57</v>
      </c>
      <c r="AI942" s="31">
        <f t="shared" ca="1" si="272"/>
        <v>68</v>
      </c>
      <c r="AJ942" s="31">
        <f t="shared" ca="1" si="273"/>
        <v>6</v>
      </c>
      <c r="AK942" s="31">
        <f t="shared" ca="1" si="274"/>
        <v>42</v>
      </c>
      <c r="AL942" s="31">
        <f t="shared" ca="1" si="275"/>
        <v>15</v>
      </c>
      <c r="AM942" s="31">
        <f t="shared" ca="1" si="276"/>
        <v>16</v>
      </c>
    </row>
    <row r="943" spans="14:39">
      <c r="N943" s="26">
        <v>935</v>
      </c>
      <c r="O943" s="30">
        <f t="shared" ca="1" si="281"/>
        <v>5.3257710114184009</v>
      </c>
      <c r="P943" s="30">
        <f t="shared" ca="1" si="281"/>
        <v>10.235146049859203</v>
      </c>
      <c r="Q943" s="30">
        <f t="shared" ca="1" si="281"/>
        <v>0.5992669283885671</v>
      </c>
      <c r="R943" s="30">
        <f t="shared" ca="1" si="281"/>
        <v>17.056339300180774</v>
      </c>
      <c r="S943" s="30">
        <f t="shared" ca="1" si="281"/>
        <v>15.541923713882634</v>
      </c>
      <c r="T943" s="30">
        <f t="shared" ca="1" si="281"/>
        <v>11.940730770542029</v>
      </c>
      <c r="U943" s="30">
        <f t="shared" ca="1" si="281"/>
        <v>9.0522298384229707</v>
      </c>
      <c r="V943" s="30">
        <f t="shared" ca="1" si="281"/>
        <v>33.103519063856709</v>
      </c>
      <c r="W943" s="30">
        <f t="shared" ca="1" si="281"/>
        <v>7.1545901528831255</v>
      </c>
      <c r="X943" s="30">
        <f t="shared" ca="1" si="281"/>
        <v>11.98643905766696</v>
      </c>
      <c r="Y943" s="30">
        <f t="shared" ca="1" si="281"/>
        <v>29.89380174819777</v>
      </c>
      <c r="Z943" s="30">
        <f t="shared" ca="1" si="281"/>
        <v>32.906806085708531</v>
      </c>
      <c r="AA943" s="26">
        <v>935</v>
      </c>
      <c r="AB943" s="31">
        <f t="shared" ca="1" si="277"/>
        <v>6</v>
      </c>
      <c r="AC943" s="31">
        <f t="shared" ca="1" si="266"/>
        <v>13</v>
      </c>
      <c r="AD943" s="31">
        <f t="shared" ca="1" si="267"/>
        <v>1</v>
      </c>
      <c r="AE943" s="31">
        <f t="shared" ca="1" si="268"/>
        <v>24</v>
      </c>
      <c r="AF943" s="31">
        <f t="shared" ca="1" si="269"/>
        <v>21</v>
      </c>
      <c r="AG943" s="31">
        <f t="shared" ca="1" si="270"/>
        <v>15</v>
      </c>
      <c r="AH943" s="31">
        <f t="shared" ca="1" si="271"/>
        <v>11</v>
      </c>
      <c r="AI943" s="31">
        <f t="shared" ca="1" si="272"/>
        <v>164</v>
      </c>
      <c r="AJ943" s="31">
        <f t="shared" ca="1" si="273"/>
        <v>8</v>
      </c>
      <c r="AK943" s="31">
        <f t="shared" ca="1" si="274"/>
        <v>15</v>
      </c>
      <c r="AL943" s="31">
        <f t="shared" ca="1" si="275"/>
        <v>75</v>
      </c>
      <c r="AM943" s="31">
        <f t="shared" ca="1" si="276"/>
        <v>144</v>
      </c>
    </row>
    <row r="944" spans="14:39">
      <c r="N944" s="26">
        <v>936</v>
      </c>
      <c r="O944" s="30">
        <f t="shared" ca="1" si="281"/>
        <v>1.1404493310582109</v>
      </c>
      <c r="P944" s="30">
        <f t="shared" ca="1" si="281"/>
        <v>4.480976775715761</v>
      </c>
      <c r="Q944" s="30">
        <f t="shared" ca="1" si="281"/>
        <v>9.0410379792779132</v>
      </c>
      <c r="R944" s="30">
        <f t="shared" ca="1" si="281"/>
        <v>26.429089328322267</v>
      </c>
      <c r="S944" s="30">
        <f t="shared" ca="1" si="281"/>
        <v>29.451680732256669</v>
      </c>
      <c r="T944" s="30">
        <f t="shared" ca="1" si="281"/>
        <v>26.846891592314211</v>
      </c>
      <c r="U944" s="30">
        <f t="shared" ca="1" si="281"/>
        <v>28.811184801942385</v>
      </c>
      <c r="V944" s="30">
        <f t="shared" ca="1" si="281"/>
        <v>6.7013441890146233</v>
      </c>
      <c r="W944" s="30">
        <f t="shared" ca="1" si="281"/>
        <v>23.834474451580196</v>
      </c>
      <c r="X944" s="30">
        <f t="shared" ca="1" si="281"/>
        <v>3.2359328269602083</v>
      </c>
      <c r="Y944" s="30">
        <f t="shared" ca="1" si="281"/>
        <v>10.20733058908087</v>
      </c>
      <c r="Z944" s="30">
        <f t="shared" ca="1" si="281"/>
        <v>6.6350499318737564</v>
      </c>
      <c r="AA944" s="26">
        <v>936</v>
      </c>
      <c r="AB944" s="31">
        <f t="shared" ca="1" si="277"/>
        <v>2</v>
      </c>
      <c r="AC944" s="31">
        <f t="shared" ca="1" si="266"/>
        <v>5</v>
      </c>
      <c r="AD944" s="31">
        <f t="shared" ca="1" si="267"/>
        <v>11</v>
      </c>
      <c r="AE944" s="31">
        <f t="shared" ca="1" si="268"/>
        <v>52</v>
      </c>
      <c r="AF944" s="31">
        <f t="shared" ca="1" si="269"/>
        <v>71</v>
      </c>
      <c r="AG944" s="31">
        <f t="shared" ca="1" si="270"/>
        <v>54</v>
      </c>
      <c r="AH944" s="31">
        <f t="shared" ca="1" si="271"/>
        <v>66</v>
      </c>
      <c r="AI944" s="31">
        <f t="shared" ca="1" si="272"/>
        <v>8</v>
      </c>
      <c r="AJ944" s="31">
        <f t="shared" ca="1" si="273"/>
        <v>42</v>
      </c>
      <c r="AK944" s="31">
        <f t="shared" ca="1" si="274"/>
        <v>4</v>
      </c>
      <c r="AL944" s="31">
        <f t="shared" ca="1" si="275"/>
        <v>13</v>
      </c>
      <c r="AM944" s="31">
        <f t="shared" ca="1" si="276"/>
        <v>8</v>
      </c>
    </row>
    <row r="945" spans="14:39">
      <c r="N945" s="26">
        <v>937</v>
      </c>
      <c r="O945" s="30">
        <f t="shared" ca="1" si="281"/>
        <v>4.4396760893960741</v>
      </c>
      <c r="P945" s="30">
        <f t="shared" ca="1" si="281"/>
        <v>33.192003978397672</v>
      </c>
      <c r="Q945" s="30">
        <f t="shared" ca="1" si="281"/>
        <v>27.606150800808393</v>
      </c>
      <c r="R945" s="30">
        <f t="shared" ca="1" si="281"/>
        <v>7.4380956620690739</v>
      </c>
      <c r="S945" s="30">
        <f t="shared" ca="1" si="281"/>
        <v>6.6685116413091894</v>
      </c>
      <c r="T945" s="30">
        <f t="shared" ca="1" si="281"/>
        <v>22.713719282272287</v>
      </c>
      <c r="U945" s="30">
        <f t="shared" ca="1" si="281"/>
        <v>13.303402607339178</v>
      </c>
      <c r="V945" s="30">
        <f t="shared" ca="1" si="281"/>
        <v>20.969953413214409</v>
      </c>
      <c r="W945" s="30">
        <f t="shared" ca="1" si="281"/>
        <v>24.184683627357902</v>
      </c>
      <c r="X945" s="30">
        <f t="shared" ca="1" si="281"/>
        <v>20.894753432019495</v>
      </c>
      <c r="Y945" s="30">
        <f t="shared" ca="1" si="281"/>
        <v>29.678998962974795</v>
      </c>
      <c r="Z945" s="30">
        <f t="shared" ca="1" si="281"/>
        <v>5.6373332831497276</v>
      </c>
      <c r="AA945" s="26">
        <v>937</v>
      </c>
      <c r="AB945" s="31">
        <f t="shared" ca="1" si="277"/>
        <v>5</v>
      </c>
      <c r="AC945" s="31">
        <f t="shared" ca="1" si="266"/>
        <v>180</v>
      </c>
      <c r="AD945" s="31">
        <f t="shared" ca="1" si="267"/>
        <v>58</v>
      </c>
      <c r="AE945" s="31">
        <f t="shared" ca="1" si="268"/>
        <v>9</v>
      </c>
      <c r="AF945" s="31">
        <f t="shared" ca="1" si="269"/>
        <v>8</v>
      </c>
      <c r="AG945" s="31">
        <f t="shared" ca="1" si="270"/>
        <v>38</v>
      </c>
      <c r="AH945" s="31">
        <f t="shared" ca="1" si="271"/>
        <v>17</v>
      </c>
      <c r="AI945" s="31">
        <f t="shared" ca="1" si="272"/>
        <v>33</v>
      </c>
      <c r="AJ945" s="31">
        <f t="shared" ca="1" si="273"/>
        <v>43</v>
      </c>
      <c r="AK945" s="31">
        <f t="shared" ca="1" si="274"/>
        <v>33</v>
      </c>
      <c r="AL945" s="31">
        <f t="shared" ca="1" si="275"/>
        <v>73</v>
      </c>
      <c r="AM945" s="31">
        <f t="shared" ca="1" si="276"/>
        <v>7</v>
      </c>
    </row>
    <row r="946" spans="14:39">
      <c r="N946" s="26">
        <v>938</v>
      </c>
      <c r="O946" s="30">
        <f t="shared" ca="1" si="281"/>
        <v>26.482059797130802</v>
      </c>
      <c r="P946" s="30">
        <f t="shared" ca="1" si="281"/>
        <v>27.905601959582068</v>
      </c>
      <c r="Q946" s="30">
        <f t="shared" ca="1" si="281"/>
        <v>23.842538549693685</v>
      </c>
      <c r="R946" s="30">
        <f t="shared" ca="1" si="281"/>
        <v>12.628947382260298</v>
      </c>
      <c r="S946" s="30">
        <f t="shared" ca="1" si="281"/>
        <v>24.401878138459576</v>
      </c>
      <c r="T946" s="30">
        <f t="shared" ca="1" si="281"/>
        <v>9.744346398990249</v>
      </c>
      <c r="U946" s="30">
        <f t="shared" ca="1" si="281"/>
        <v>31.097169250173472</v>
      </c>
      <c r="V946" s="30">
        <f t="shared" ca="1" si="281"/>
        <v>24.889858970539429</v>
      </c>
      <c r="W946" s="30">
        <f t="shared" ca="1" si="281"/>
        <v>20.23153316449423</v>
      </c>
      <c r="X946" s="30">
        <f t="shared" ca="1" si="281"/>
        <v>18.578712819673623</v>
      </c>
      <c r="Y946" s="30">
        <f t="shared" ca="1" si="281"/>
        <v>7.4378851141849793</v>
      </c>
      <c r="Z946" s="30">
        <f t="shared" ca="1" si="281"/>
        <v>21.703453968843977</v>
      </c>
      <c r="AA946" s="26">
        <v>938</v>
      </c>
      <c r="AB946" s="31">
        <f t="shared" ca="1" si="277"/>
        <v>52</v>
      </c>
      <c r="AC946" s="31">
        <f t="shared" ca="1" si="266"/>
        <v>60</v>
      </c>
      <c r="AD946" s="31">
        <f t="shared" ca="1" si="267"/>
        <v>42</v>
      </c>
      <c r="AE946" s="31">
        <f t="shared" ca="1" si="268"/>
        <v>16</v>
      </c>
      <c r="AF946" s="31">
        <f t="shared" ca="1" si="269"/>
        <v>44</v>
      </c>
      <c r="AG946" s="31">
        <f t="shared" ca="1" si="270"/>
        <v>12</v>
      </c>
      <c r="AH946" s="31">
        <f t="shared" ca="1" si="271"/>
        <v>89</v>
      </c>
      <c r="AI946" s="31">
        <f t="shared" ca="1" si="272"/>
        <v>46</v>
      </c>
      <c r="AJ946" s="31">
        <f t="shared" ca="1" si="273"/>
        <v>31</v>
      </c>
      <c r="AK946" s="31">
        <f t="shared" ca="1" si="274"/>
        <v>27</v>
      </c>
      <c r="AL946" s="31">
        <f t="shared" ca="1" si="275"/>
        <v>9</v>
      </c>
      <c r="AM946" s="31">
        <f t="shared" ca="1" si="276"/>
        <v>35</v>
      </c>
    </row>
    <row r="947" spans="14:39">
      <c r="N947" s="26">
        <v>939</v>
      </c>
      <c r="O947" s="30">
        <f t="shared" ca="1" si="281"/>
        <v>31.424388574033411</v>
      </c>
      <c r="P947" s="30">
        <f t="shared" ca="1" si="281"/>
        <v>6.6211708212670093</v>
      </c>
      <c r="Q947" s="30">
        <f t="shared" ca="1" si="281"/>
        <v>9.4389120884438231</v>
      </c>
      <c r="R947" s="30">
        <f t="shared" ca="1" si="281"/>
        <v>8.7365400724474203</v>
      </c>
      <c r="S947" s="30">
        <f t="shared" ca="1" si="281"/>
        <v>12.531461166101332</v>
      </c>
      <c r="T947" s="30">
        <f t="shared" ca="1" si="281"/>
        <v>15.626816579815763</v>
      </c>
      <c r="U947" s="30">
        <f t="shared" ca="1" si="281"/>
        <v>12.538385498849333</v>
      </c>
      <c r="V947" s="30">
        <f t="shared" ca="1" si="281"/>
        <v>32.777328019460484</v>
      </c>
      <c r="W947" s="30">
        <f t="shared" ca="1" si="281"/>
        <v>12.289844001091996</v>
      </c>
      <c r="X947" s="30">
        <f t="shared" ca="1" si="281"/>
        <v>17.922241748783982</v>
      </c>
      <c r="Y947" s="30">
        <f t="shared" ca="1" si="281"/>
        <v>15.441844543023189</v>
      </c>
      <c r="Z947" s="30">
        <f t="shared" ca="1" si="281"/>
        <v>22.598191762048486</v>
      </c>
      <c r="AA947" s="26">
        <v>939</v>
      </c>
      <c r="AB947" s="31">
        <f t="shared" ca="1" si="277"/>
        <v>94</v>
      </c>
      <c r="AC947" s="31">
        <f t="shared" ca="1" si="266"/>
        <v>8</v>
      </c>
      <c r="AD947" s="31">
        <f t="shared" ca="1" si="267"/>
        <v>11</v>
      </c>
      <c r="AE947" s="31">
        <f t="shared" ca="1" si="268"/>
        <v>10</v>
      </c>
      <c r="AF947" s="31">
        <f t="shared" ca="1" si="269"/>
        <v>16</v>
      </c>
      <c r="AG947" s="31">
        <f t="shared" ca="1" si="270"/>
        <v>21</v>
      </c>
      <c r="AH947" s="31">
        <f t="shared" ca="1" si="271"/>
        <v>16</v>
      </c>
      <c r="AI947" s="31">
        <f t="shared" ca="1" si="272"/>
        <v>135</v>
      </c>
      <c r="AJ947" s="31">
        <f t="shared" ca="1" si="273"/>
        <v>16</v>
      </c>
      <c r="AK947" s="31">
        <f t="shared" ca="1" si="274"/>
        <v>26</v>
      </c>
      <c r="AL947" s="31">
        <f t="shared" ca="1" si="275"/>
        <v>21</v>
      </c>
      <c r="AM947" s="31">
        <f t="shared" ca="1" si="276"/>
        <v>38</v>
      </c>
    </row>
    <row r="948" spans="14:39">
      <c r="N948" s="26">
        <v>940</v>
      </c>
      <c r="O948" s="30">
        <f t="shared" ca="1" si="281"/>
        <v>21.857631820821847</v>
      </c>
      <c r="P948" s="30">
        <f t="shared" ca="1" si="281"/>
        <v>25.55235026402784</v>
      </c>
      <c r="Q948" s="30">
        <f t="shared" ca="1" si="281"/>
        <v>16.020652068650524</v>
      </c>
      <c r="R948" s="30">
        <f t="shared" ca="1" si="281"/>
        <v>17.787057638115719</v>
      </c>
      <c r="S948" s="30">
        <f t="shared" ca="1" si="281"/>
        <v>4.5767266779065556</v>
      </c>
      <c r="T948" s="30">
        <f t="shared" ca="1" si="281"/>
        <v>24.432012918500572</v>
      </c>
      <c r="U948" s="30">
        <f t="shared" ca="1" si="281"/>
        <v>32.316758570683092</v>
      </c>
      <c r="V948" s="30">
        <f t="shared" ca="1" si="281"/>
        <v>21.395868047149911</v>
      </c>
      <c r="W948" s="30">
        <f t="shared" ca="1" si="281"/>
        <v>4.2591742221455942</v>
      </c>
      <c r="X948" s="30">
        <f t="shared" ca="1" si="281"/>
        <v>11.511832214203837</v>
      </c>
      <c r="Y948" s="30">
        <f t="shared" ca="1" si="281"/>
        <v>31.749471268923468</v>
      </c>
      <c r="Z948" s="30">
        <f t="shared" ca="1" si="281"/>
        <v>6.6562148906694389</v>
      </c>
      <c r="AA948" s="26">
        <v>940</v>
      </c>
      <c r="AB948" s="31">
        <f t="shared" ca="1" si="277"/>
        <v>36</v>
      </c>
      <c r="AC948" s="31">
        <f t="shared" ca="1" si="266"/>
        <v>48</v>
      </c>
      <c r="AD948" s="31">
        <f t="shared" ca="1" si="267"/>
        <v>22</v>
      </c>
      <c r="AE948" s="31">
        <f t="shared" ca="1" si="268"/>
        <v>26</v>
      </c>
      <c r="AF948" s="31">
        <f t="shared" ca="1" si="269"/>
        <v>5</v>
      </c>
      <c r="AG948" s="31">
        <f t="shared" ca="1" si="270"/>
        <v>44</v>
      </c>
      <c r="AH948" s="31">
        <f t="shared" ca="1" si="271"/>
        <v>115</v>
      </c>
      <c r="AI948" s="31">
        <f t="shared" ca="1" si="272"/>
        <v>34</v>
      </c>
      <c r="AJ948" s="31">
        <f t="shared" ca="1" si="273"/>
        <v>5</v>
      </c>
      <c r="AK948" s="31">
        <f t="shared" ca="1" si="274"/>
        <v>14</v>
      </c>
      <c r="AL948" s="31">
        <f t="shared" ca="1" si="275"/>
        <v>101</v>
      </c>
      <c r="AM948" s="31">
        <f t="shared" ca="1" si="276"/>
        <v>8</v>
      </c>
    </row>
    <row r="949" spans="14:39">
      <c r="N949" s="26">
        <v>941</v>
      </c>
      <c r="O949" s="30">
        <f t="shared" ref="O949:Z958" ca="1" si="282">RAND()*sumweights</f>
        <v>14.540918394586528</v>
      </c>
      <c r="P949" s="30">
        <f t="shared" ca="1" si="282"/>
        <v>8.49679255698479</v>
      </c>
      <c r="Q949" s="30">
        <f t="shared" ca="1" si="282"/>
        <v>8.6800121560551009</v>
      </c>
      <c r="R949" s="30">
        <f t="shared" ca="1" si="282"/>
        <v>4.2519580819855056</v>
      </c>
      <c r="S949" s="30">
        <f t="shared" ca="1" si="282"/>
        <v>7.4395824856182076</v>
      </c>
      <c r="T949" s="30">
        <f t="shared" ca="1" si="282"/>
        <v>20.190497848189828</v>
      </c>
      <c r="U949" s="30">
        <f t="shared" ca="1" si="282"/>
        <v>26.623853664822271</v>
      </c>
      <c r="V949" s="30">
        <f t="shared" ca="1" si="282"/>
        <v>3.3149393856684068</v>
      </c>
      <c r="W949" s="30">
        <f t="shared" ca="1" si="282"/>
        <v>7.6531095349399738</v>
      </c>
      <c r="X949" s="30">
        <f t="shared" ca="1" si="282"/>
        <v>10.694506638367976</v>
      </c>
      <c r="Y949" s="30">
        <f t="shared" ca="1" si="282"/>
        <v>28.586018634417464</v>
      </c>
      <c r="Z949" s="30">
        <f t="shared" ca="1" si="282"/>
        <v>8.9184120590131535</v>
      </c>
      <c r="AA949" s="26">
        <v>941</v>
      </c>
      <c r="AB949" s="31">
        <f t="shared" ca="1" si="277"/>
        <v>19</v>
      </c>
      <c r="AC949" s="31">
        <f t="shared" ca="1" si="266"/>
        <v>10</v>
      </c>
      <c r="AD949" s="31">
        <f t="shared" ca="1" si="267"/>
        <v>10</v>
      </c>
      <c r="AE949" s="31">
        <f t="shared" ca="1" si="268"/>
        <v>5</v>
      </c>
      <c r="AF949" s="31">
        <f t="shared" ca="1" si="269"/>
        <v>9</v>
      </c>
      <c r="AG949" s="31">
        <f t="shared" ca="1" si="270"/>
        <v>31</v>
      </c>
      <c r="AH949" s="31">
        <f t="shared" ca="1" si="271"/>
        <v>53</v>
      </c>
      <c r="AI949" s="31">
        <f t="shared" ca="1" si="272"/>
        <v>4</v>
      </c>
      <c r="AJ949" s="31">
        <f t="shared" ca="1" si="273"/>
        <v>9</v>
      </c>
      <c r="AK949" s="31">
        <f t="shared" ca="1" si="274"/>
        <v>13</v>
      </c>
      <c r="AL949" s="31">
        <f t="shared" ca="1" si="275"/>
        <v>64</v>
      </c>
      <c r="AM949" s="31">
        <f t="shared" ca="1" si="276"/>
        <v>11</v>
      </c>
    </row>
    <row r="950" spans="14:39">
      <c r="N950" s="26">
        <v>942</v>
      </c>
      <c r="O950" s="30">
        <f t="shared" ca="1" si="282"/>
        <v>31.80447254470787</v>
      </c>
      <c r="P950" s="30">
        <f t="shared" ca="1" si="282"/>
        <v>29.039054530984973</v>
      </c>
      <c r="Q950" s="30">
        <f t="shared" ca="1" si="282"/>
        <v>4.8066393606380879</v>
      </c>
      <c r="R950" s="30">
        <f t="shared" ca="1" si="282"/>
        <v>1.6635479159186257</v>
      </c>
      <c r="S950" s="30">
        <f t="shared" ca="1" si="282"/>
        <v>11.761787257743659</v>
      </c>
      <c r="T950" s="30">
        <f t="shared" ca="1" si="282"/>
        <v>32.333548729088697</v>
      </c>
      <c r="U950" s="30">
        <f t="shared" ca="1" si="282"/>
        <v>23.712286063868703</v>
      </c>
      <c r="V950" s="30">
        <f t="shared" ca="1" si="282"/>
        <v>1.0494275923638281</v>
      </c>
      <c r="W950" s="30">
        <f t="shared" ca="1" si="282"/>
        <v>13.28039165268385</v>
      </c>
      <c r="X950" s="30">
        <f t="shared" ca="1" si="282"/>
        <v>26.452734041951338</v>
      </c>
      <c r="Y950" s="30">
        <f t="shared" ca="1" si="282"/>
        <v>18.994048041998408</v>
      </c>
      <c r="Z950" s="30">
        <f t="shared" ca="1" si="282"/>
        <v>12.134888103537174</v>
      </c>
      <c r="AA950" s="26">
        <v>942</v>
      </c>
      <c r="AB950" s="31">
        <f t="shared" ca="1" si="277"/>
        <v>102</v>
      </c>
      <c r="AC950" s="31">
        <f t="shared" ca="1" si="266"/>
        <v>68</v>
      </c>
      <c r="AD950" s="31">
        <f t="shared" ca="1" si="267"/>
        <v>6</v>
      </c>
      <c r="AE950" s="31">
        <f t="shared" ca="1" si="268"/>
        <v>2</v>
      </c>
      <c r="AF950" s="31">
        <f t="shared" ca="1" si="269"/>
        <v>15</v>
      </c>
      <c r="AG950" s="31">
        <f t="shared" ca="1" si="270"/>
        <v>116</v>
      </c>
      <c r="AH950" s="31">
        <f t="shared" ca="1" si="271"/>
        <v>41</v>
      </c>
      <c r="AI950" s="31">
        <f t="shared" ca="1" si="272"/>
        <v>2</v>
      </c>
      <c r="AJ950" s="31">
        <f t="shared" ca="1" si="273"/>
        <v>17</v>
      </c>
      <c r="AK950" s="31">
        <f t="shared" ca="1" si="274"/>
        <v>52</v>
      </c>
      <c r="AL950" s="31">
        <f t="shared" ca="1" si="275"/>
        <v>28</v>
      </c>
      <c r="AM950" s="31">
        <f t="shared" ca="1" si="276"/>
        <v>15</v>
      </c>
    </row>
    <row r="951" spans="14:39">
      <c r="N951" s="26">
        <v>943</v>
      </c>
      <c r="O951" s="30">
        <f t="shared" ca="1" si="282"/>
        <v>25.899137017830235</v>
      </c>
      <c r="P951" s="30">
        <f t="shared" ca="1" si="282"/>
        <v>11.148586091301484</v>
      </c>
      <c r="Q951" s="30">
        <f t="shared" ca="1" si="282"/>
        <v>16.669537000065031</v>
      </c>
      <c r="R951" s="30">
        <f t="shared" ca="1" si="282"/>
        <v>10.338257529483139</v>
      </c>
      <c r="S951" s="30">
        <f t="shared" ca="1" si="282"/>
        <v>24.591899099571631</v>
      </c>
      <c r="T951" s="30">
        <f t="shared" ca="1" si="282"/>
        <v>7.4532026847606661</v>
      </c>
      <c r="U951" s="30">
        <f t="shared" ca="1" si="282"/>
        <v>32.660894459908363</v>
      </c>
      <c r="V951" s="30">
        <f t="shared" ca="1" si="282"/>
        <v>23.630488681966259</v>
      </c>
      <c r="W951" s="30">
        <f t="shared" ca="1" si="282"/>
        <v>28.503582409556831</v>
      </c>
      <c r="X951" s="30">
        <f t="shared" ca="1" si="282"/>
        <v>26.504891952220841</v>
      </c>
      <c r="Y951" s="30">
        <f t="shared" ca="1" si="282"/>
        <v>7.1419451784795749</v>
      </c>
      <c r="Z951" s="30">
        <f t="shared" ca="1" si="282"/>
        <v>25.027126992199875</v>
      </c>
      <c r="AA951" s="26">
        <v>943</v>
      </c>
      <c r="AB951" s="31">
        <f t="shared" ca="1" si="277"/>
        <v>50</v>
      </c>
      <c r="AC951" s="31">
        <f t="shared" ca="1" si="266"/>
        <v>14</v>
      </c>
      <c r="AD951" s="31">
        <f t="shared" ca="1" si="267"/>
        <v>23</v>
      </c>
      <c r="AE951" s="31">
        <f t="shared" ca="1" si="268"/>
        <v>13</v>
      </c>
      <c r="AF951" s="31">
        <f t="shared" ca="1" si="269"/>
        <v>44</v>
      </c>
      <c r="AG951" s="31">
        <f t="shared" ca="1" si="270"/>
        <v>9</v>
      </c>
      <c r="AH951" s="31">
        <f t="shared" ca="1" si="271"/>
        <v>129</v>
      </c>
      <c r="AI951" s="31">
        <f t="shared" ca="1" si="272"/>
        <v>41</v>
      </c>
      <c r="AJ951" s="31">
        <f t="shared" ca="1" si="273"/>
        <v>64</v>
      </c>
      <c r="AK951" s="31">
        <f t="shared" ca="1" si="274"/>
        <v>53</v>
      </c>
      <c r="AL951" s="31">
        <f t="shared" ca="1" si="275"/>
        <v>8</v>
      </c>
      <c r="AM951" s="31">
        <f t="shared" ca="1" si="276"/>
        <v>46</v>
      </c>
    </row>
    <row r="952" spans="14:39">
      <c r="N952" s="26">
        <v>944</v>
      </c>
      <c r="O952" s="30">
        <f t="shared" ca="1" si="282"/>
        <v>10.668299928654905</v>
      </c>
      <c r="P952" s="30">
        <f t="shared" ca="1" si="282"/>
        <v>27.203635052710915</v>
      </c>
      <c r="Q952" s="30">
        <f t="shared" ca="1" si="282"/>
        <v>31.872015791120322</v>
      </c>
      <c r="R952" s="30">
        <f t="shared" ca="1" si="282"/>
        <v>25.453294517793555</v>
      </c>
      <c r="S952" s="30">
        <f t="shared" ca="1" si="282"/>
        <v>29.059477862144888</v>
      </c>
      <c r="T952" s="30">
        <f t="shared" ca="1" si="282"/>
        <v>13.00486519708195</v>
      </c>
      <c r="U952" s="30">
        <f t="shared" ca="1" si="282"/>
        <v>28.099087509789911</v>
      </c>
      <c r="V952" s="30">
        <f t="shared" ca="1" si="282"/>
        <v>3.2992135151624784</v>
      </c>
      <c r="W952" s="30">
        <f t="shared" ca="1" si="282"/>
        <v>14.374596778745209</v>
      </c>
      <c r="X952" s="30">
        <f t="shared" ca="1" si="282"/>
        <v>3.0941058139380067</v>
      </c>
      <c r="Y952" s="30">
        <f t="shared" ca="1" si="282"/>
        <v>23.477062004336201</v>
      </c>
      <c r="Z952" s="30">
        <f t="shared" ca="1" si="282"/>
        <v>4.239054564963209</v>
      </c>
      <c r="AA952" s="26">
        <v>944</v>
      </c>
      <c r="AB952" s="31">
        <f t="shared" ca="1" si="277"/>
        <v>13</v>
      </c>
      <c r="AC952" s="31">
        <f t="shared" ca="1" si="266"/>
        <v>56</v>
      </c>
      <c r="AD952" s="31">
        <f t="shared" ca="1" si="267"/>
        <v>103</v>
      </c>
      <c r="AE952" s="31">
        <f t="shared" ca="1" si="268"/>
        <v>48</v>
      </c>
      <c r="AF952" s="31">
        <f t="shared" ca="1" si="269"/>
        <v>68</v>
      </c>
      <c r="AG952" s="31">
        <f t="shared" ca="1" si="270"/>
        <v>17</v>
      </c>
      <c r="AH952" s="31">
        <f t="shared" ca="1" si="271"/>
        <v>61</v>
      </c>
      <c r="AI952" s="31">
        <f t="shared" ca="1" si="272"/>
        <v>4</v>
      </c>
      <c r="AJ952" s="31">
        <f t="shared" ca="1" si="273"/>
        <v>19</v>
      </c>
      <c r="AK952" s="31">
        <f t="shared" ca="1" si="274"/>
        <v>4</v>
      </c>
      <c r="AL952" s="31">
        <f t="shared" ca="1" si="275"/>
        <v>41</v>
      </c>
      <c r="AM952" s="31">
        <f t="shared" ca="1" si="276"/>
        <v>5</v>
      </c>
    </row>
    <row r="953" spans="14:39">
      <c r="N953" s="26">
        <v>945</v>
      </c>
      <c r="O953" s="30">
        <f t="shared" ca="1" si="282"/>
        <v>10.476884917758106</v>
      </c>
      <c r="P953" s="30">
        <f t="shared" ca="1" si="282"/>
        <v>29.770101729037741</v>
      </c>
      <c r="Q953" s="30">
        <f t="shared" ca="1" si="282"/>
        <v>24.791993871535549</v>
      </c>
      <c r="R953" s="30">
        <f t="shared" ca="1" si="282"/>
        <v>26.247332378380314</v>
      </c>
      <c r="S953" s="30">
        <f t="shared" ca="1" si="282"/>
        <v>15.816762389424191</v>
      </c>
      <c r="T953" s="30">
        <f t="shared" ca="1" si="282"/>
        <v>9.0648636840301542</v>
      </c>
      <c r="U953" s="30">
        <f t="shared" ca="1" si="282"/>
        <v>32.866791107148444</v>
      </c>
      <c r="V953" s="30">
        <f t="shared" ca="1" si="282"/>
        <v>18.594658978477234</v>
      </c>
      <c r="W953" s="30">
        <f t="shared" ca="1" si="282"/>
        <v>0.39144017280591475</v>
      </c>
      <c r="X953" s="30">
        <f t="shared" ca="1" si="282"/>
        <v>32.301018678270651</v>
      </c>
      <c r="Y953" s="30">
        <f t="shared" ca="1" si="282"/>
        <v>4.2961024641930274</v>
      </c>
      <c r="Z953" s="30">
        <f t="shared" ca="1" si="282"/>
        <v>16.189159079080021</v>
      </c>
      <c r="AA953" s="26">
        <v>945</v>
      </c>
      <c r="AB953" s="31">
        <f t="shared" ca="1" si="277"/>
        <v>13</v>
      </c>
      <c r="AC953" s="31">
        <f t="shared" ca="1" si="266"/>
        <v>74</v>
      </c>
      <c r="AD953" s="31">
        <f t="shared" ca="1" si="267"/>
        <v>45</v>
      </c>
      <c r="AE953" s="31">
        <f t="shared" ca="1" si="268"/>
        <v>51</v>
      </c>
      <c r="AF953" s="31">
        <f t="shared" ca="1" si="269"/>
        <v>22</v>
      </c>
      <c r="AG953" s="31">
        <f t="shared" ca="1" si="270"/>
        <v>11</v>
      </c>
      <c r="AH953" s="31">
        <f t="shared" ca="1" si="271"/>
        <v>141</v>
      </c>
      <c r="AI953" s="31">
        <f t="shared" ca="1" si="272"/>
        <v>27</v>
      </c>
      <c r="AJ953" s="31">
        <f t="shared" ca="1" si="273"/>
        <v>1</v>
      </c>
      <c r="AK953" s="31">
        <f t="shared" ca="1" si="274"/>
        <v>115</v>
      </c>
      <c r="AL953" s="31">
        <f t="shared" ca="1" si="275"/>
        <v>5</v>
      </c>
      <c r="AM953" s="31">
        <f t="shared" ca="1" si="276"/>
        <v>22</v>
      </c>
    </row>
    <row r="954" spans="14:39">
      <c r="N954" s="26">
        <v>946</v>
      </c>
      <c r="O954" s="30">
        <f t="shared" ca="1" si="282"/>
        <v>3.7265768505406109</v>
      </c>
      <c r="P954" s="30">
        <f t="shared" ca="1" si="282"/>
        <v>12.71909721040749</v>
      </c>
      <c r="Q954" s="30">
        <f t="shared" ca="1" si="282"/>
        <v>15.144425255064888</v>
      </c>
      <c r="R954" s="30">
        <f t="shared" ca="1" si="282"/>
        <v>29.861070824272524</v>
      </c>
      <c r="S954" s="30">
        <f t="shared" ca="1" si="282"/>
        <v>32.594691010849459</v>
      </c>
      <c r="T954" s="30">
        <f t="shared" ca="1" si="282"/>
        <v>18.950269344106854</v>
      </c>
      <c r="U954" s="30">
        <f t="shared" ca="1" si="282"/>
        <v>28.555437590501839</v>
      </c>
      <c r="V954" s="30">
        <f t="shared" ca="1" si="282"/>
        <v>17.349624866782108</v>
      </c>
      <c r="W954" s="30">
        <f t="shared" ca="1" si="282"/>
        <v>18.284385411236229</v>
      </c>
      <c r="X954" s="30">
        <f t="shared" ca="1" si="282"/>
        <v>21.320290909647742</v>
      </c>
      <c r="Y954" s="30">
        <f t="shared" ca="1" si="282"/>
        <v>15.666432535724811</v>
      </c>
      <c r="Z954" s="30">
        <f t="shared" ca="1" si="282"/>
        <v>23.489201685421364</v>
      </c>
      <c r="AA954" s="26">
        <v>946</v>
      </c>
      <c r="AB954" s="31">
        <f t="shared" ca="1" si="277"/>
        <v>4</v>
      </c>
      <c r="AC954" s="31">
        <f t="shared" ca="1" si="266"/>
        <v>16</v>
      </c>
      <c r="AD954" s="31">
        <f t="shared" ca="1" si="267"/>
        <v>20</v>
      </c>
      <c r="AE954" s="31">
        <f t="shared" ca="1" si="268"/>
        <v>75</v>
      </c>
      <c r="AF954" s="31">
        <f t="shared" ca="1" si="269"/>
        <v>126</v>
      </c>
      <c r="AG954" s="31">
        <f t="shared" ca="1" si="270"/>
        <v>28</v>
      </c>
      <c r="AH954" s="31">
        <f t="shared" ca="1" si="271"/>
        <v>64</v>
      </c>
      <c r="AI954" s="31">
        <f t="shared" ca="1" si="272"/>
        <v>25</v>
      </c>
      <c r="AJ954" s="31">
        <f t="shared" ca="1" si="273"/>
        <v>27</v>
      </c>
      <c r="AK954" s="31">
        <f t="shared" ca="1" si="274"/>
        <v>34</v>
      </c>
      <c r="AL954" s="31">
        <f t="shared" ca="1" si="275"/>
        <v>21</v>
      </c>
      <c r="AM954" s="31">
        <f t="shared" ca="1" si="276"/>
        <v>41</v>
      </c>
    </row>
    <row r="955" spans="14:39">
      <c r="N955" s="26">
        <v>947</v>
      </c>
      <c r="O955" s="30">
        <f t="shared" ca="1" si="282"/>
        <v>26.669606554771715</v>
      </c>
      <c r="P955" s="30">
        <f t="shared" ca="1" si="282"/>
        <v>21.936277175396746</v>
      </c>
      <c r="Q955" s="30">
        <f t="shared" ca="1" si="282"/>
        <v>7.0259264047335357</v>
      </c>
      <c r="R955" s="30">
        <f t="shared" ca="1" si="282"/>
        <v>23.6668169509799</v>
      </c>
      <c r="S955" s="30">
        <f t="shared" ca="1" si="282"/>
        <v>9.448732615733201</v>
      </c>
      <c r="T955" s="30">
        <f t="shared" ca="1" si="282"/>
        <v>5.2485616183824906</v>
      </c>
      <c r="U955" s="30">
        <f t="shared" ca="1" si="282"/>
        <v>23.095172700630723</v>
      </c>
      <c r="V955" s="30">
        <f t="shared" ca="1" si="282"/>
        <v>19.877501699281254</v>
      </c>
      <c r="W955" s="30">
        <f t="shared" ca="1" si="282"/>
        <v>33.068157717130774</v>
      </c>
      <c r="X955" s="30">
        <f t="shared" ca="1" si="282"/>
        <v>15.130294528138272</v>
      </c>
      <c r="Y955" s="30">
        <f t="shared" ca="1" si="282"/>
        <v>30.586564368300728</v>
      </c>
      <c r="Z955" s="30">
        <f t="shared" ca="1" si="282"/>
        <v>8.2755760198876445</v>
      </c>
      <c r="AA955" s="26">
        <v>947</v>
      </c>
      <c r="AB955" s="31">
        <f t="shared" ca="1" si="277"/>
        <v>53</v>
      </c>
      <c r="AC955" s="31">
        <f t="shared" ca="1" si="266"/>
        <v>36</v>
      </c>
      <c r="AD955" s="31">
        <f t="shared" ca="1" si="267"/>
        <v>8</v>
      </c>
      <c r="AE955" s="31">
        <f t="shared" ca="1" si="268"/>
        <v>41</v>
      </c>
      <c r="AF955" s="31">
        <f t="shared" ca="1" si="269"/>
        <v>11</v>
      </c>
      <c r="AG955" s="31">
        <f t="shared" ca="1" si="270"/>
        <v>6</v>
      </c>
      <c r="AH955" s="31">
        <f t="shared" ca="1" si="271"/>
        <v>39</v>
      </c>
      <c r="AI955" s="31">
        <f t="shared" ca="1" si="272"/>
        <v>30</v>
      </c>
      <c r="AJ955" s="31">
        <f t="shared" ca="1" si="273"/>
        <v>159</v>
      </c>
      <c r="AK955" s="31">
        <f t="shared" ca="1" si="274"/>
        <v>20</v>
      </c>
      <c r="AL955" s="31">
        <f t="shared" ca="1" si="275"/>
        <v>82</v>
      </c>
      <c r="AM955" s="31">
        <f t="shared" ca="1" si="276"/>
        <v>10</v>
      </c>
    </row>
    <row r="956" spans="14:39">
      <c r="N956" s="26">
        <v>948</v>
      </c>
      <c r="O956" s="30">
        <f t="shared" ca="1" si="282"/>
        <v>15.231017144064117</v>
      </c>
      <c r="P956" s="30">
        <f t="shared" ca="1" si="282"/>
        <v>16.423683098184881</v>
      </c>
      <c r="Q956" s="30">
        <f t="shared" ca="1" si="282"/>
        <v>0.36326121469367967</v>
      </c>
      <c r="R956" s="30">
        <f t="shared" ca="1" si="282"/>
        <v>10.127850891429185</v>
      </c>
      <c r="S956" s="30">
        <f t="shared" ca="1" si="282"/>
        <v>22.294315997558272</v>
      </c>
      <c r="T956" s="30">
        <f t="shared" ca="1" si="282"/>
        <v>28.840073899946184</v>
      </c>
      <c r="U956" s="30">
        <f t="shared" ca="1" si="282"/>
        <v>33.205514002955255</v>
      </c>
      <c r="V956" s="30">
        <f t="shared" ca="1" si="282"/>
        <v>30.207159153639214</v>
      </c>
      <c r="W956" s="30">
        <f t="shared" ca="1" si="282"/>
        <v>31.306826627629338</v>
      </c>
      <c r="X956" s="30">
        <f t="shared" ca="1" si="282"/>
        <v>14.596783791290006</v>
      </c>
      <c r="Y956" s="30">
        <f t="shared" ca="1" si="282"/>
        <v>0.83341812678403437</v>
      </c>
      <c r="Z956" s="30">
        <f t="shared" ca="1" si="282"/>
        <v>2.8481011675190011</v>
      </c>
      <c r="AA956" s="26">
        <v>948</v>
      </c>
      <c r="AB956" s="31">
        <f t="shared" ca="1" si="277"/>
        <v>21</v>
      </c>
      <c r="AC956" s="31">
        <f t="shared" ca="1" si="266"/>
        <v>23</v>
      </c>
      <c r="AD956" s="31">
        <f t="shared" ca="1" si="267"/>
        <v>1</v>
      </c>
      <c r="AE956" s="31">
        <f t="shared" ca="1" si="268"/>
        <v>12</v>
      </c>
      <c r="AF956" s="31">
        <f t="shared" ca="1" si="269"/>
        <v>37</v>
      </c>
      <c r="AG956" s="31">
        <f t="shared" ca="1" si="270"/>
        <v>66</v>
      </c>
      <c r="AH956" s="31">
        <f t="shared" ca="1" si="271"/>
        <v>183</v>
      </c>
      <c r="AI956" s="31">
        <f t="shared" ca="1" si="272"/>
        <v>78</v>
      </c>
      <c r="AJ956" s="31">
        <f t="shared" ca="1" si="273"/>
        <v>92</v>
      </c>
      <c r="AK956" s="31">
        <f t="shared" ca="1" si="274"/>
        <v>19</v>
      </c>
      <c r="AL956" s="31">
        <f t="shared" ca="1" si="275"/>
        <v>1</v>
      </c>
      <c r="AM956" s="31">
        <f t="shared" ca="1" si="276"/>
        <v>3</v>
      </c>
    </row>
    <row r="957" spans="14:39">
      <c r="N957" s="26">
        <v>949</v>
      </c>
      <c r="O957" s="30">
        <f t="shared" ca="1" si="282"/>
        <v>0.44145057151658751</v>
      </c>
      <c r="P957" s="30">
        <f t="shared" ca="1" si="282"/>
        <v>11.409340873083298</v>
      </c>
      <c r="Q957" s="30">
        <f t="shared" ca="1" si="282"/>
        <v>16.869673589076605</v>
      </c>
      <c r="R957" s="30">
        <f t="shared" ca="1" si="282"/>
        <v>32.065041830424548</v>
      </c>
      <c r="S957" s="30">
        <f t="shared" ca="1" si="282"/>
        <v>9.9412084549555058</v>
      </c>
      <c r="T957" s="30">
        <f t="shared" ca="1" si="282"/>
        <v>18.400941534697257</v>
      </c>
      <c r="U957" s="30">
        <f t="shared" ca="1" si="282"/>
        <v>33.011802353428735</v>
      </c>
      <c r="V957" s="30">
        <f t="shared" ca="1" si="282"/>
        <v>4.5144903824471596</v>
      </c>
      <c r="W957" s="30">
        <f t="shared" ca="1" si="282"/>
        <v>11.115331815040328</v>
      </c>
      <c r="X957" s="30">
        <f t="shared" ca="1" si="282"/>
        <v>0.2731026803139201</v>
      </c>
      <c r="Y957" s="30">
        <f t="shared" ca="1" si="282"/>
        <v>2.2013026968352754</v>
      </c>
      <c r="Z957" s="30">
        <f t="shared" ca="1" si="282"/>
        <v>11.000894625167557</v>
      </c>
      <c r="AA957" s="26">
        <v>949</v>
      </c>
      <c r="AB957" s="31">
        <f t="shared" ca="1" si="277"/>
        <v>1</v>
      </c>
      <c r="AC957" s="31">
        <f t="shared" ca="1" si="266"/>
        <v>14</v>
      </c>
      <c r="AD957" s="31">
        <f t="shared" ca="1" si="267"/>
        <v>24</v>
      </c>
      <c r="AE957" s="31">
        <f t="shared" ca="1" si="268"/>
        <v>108</v>
      </c>
      <c r="AF957" s="31">
        <f t="shared" ca="1" si="269"/>
        <v>12</v>
      </c>
      <c r="AG957" s="31">
        <f t="shared" ca="1" si="270"/>
        <v>27</v>
      </c>
      <c r="AH957" s="31">
        <f t="shared" ca="1" si="271"/>
        <v>153</v>
      </c>
      <c r="AI957" s="31">
        <f t="shared" ca="1" si="272"/>
        <v>5</v>
      </c>
      <c r="AJ957" s="31">
        <f t="shared" ca="1" si="273"/>
        <v>14</v>
      </c>
      <c r="AK957" s="31">
        <f t="shared" ca="1" si="274"/>
        <v>1</v>
      </c>
      <c r="AL957" s="31">
        <f t="shared" ca="1" si="275"/>
        <v>3</v>
      </c>
      <c r="AM957" s="31">
        <f t="shared" ca="1" si="276"/>
        <v>14</v>
      </c>
    </row>
    <row r="958" spans="14:39">
      <c r="N958" s="26">
        <v>950</v>
      </c>
      <c r="O958" s="30">
        <f t="shared" ca="1" si="282"/>
        <v>32.977629029459401</v>
      </c>
      <c r="P958" s="30">
        <f t="shared" ca="1" si="282"/>
        <v>9.7620344736659934</v>
      </c>
      <c r="Q958" s="30">
        <f t="shared" ca="1" si="282"/>
        <v>6.1594534488112718</v>
      </c>
      <c r="R958" s="30">
        <f t="shared" ca="1" si="282"/>
        <v>24.417202176928349</v>
      </c>
      <c r="S958" s="30">
        <f t="shared" ca="1" si="282"/>
        <v>5.1466851455206619</v>
      </c>
      <c r="T958" s="30">
        <f t="shared" ca="1" si="282"/>
        <v>21.849694871320871</v>
      </c>
      <c r="U958" s="30">
        <f t="shared" ca="1" si="282"/>
        <v>12.648561988515683</v>
      </c>
      <c r="V958" s="30">
        <f t="shared" ca="1" si="282"/>
        <v>9.1036755329372845</v>
      </c>
      <c r="W958" s="30">
        <f t="shared" ca="1" si="282"/>
        <v>26.98429347910913</v>
      </c>
      <c r="X958" s="30">
        <f t="shared" ca="1" si="282"/>
        <v>17.815237902108329</v>
      </c>
      <c r="Y958" s="30">
        <f t="shared" ca="1" si="282"/>
        <v>7.5279086314495851</v>
      </c>
      <c r="Z958" s="30">
        <f t="shared" ca="1" si="282"/>
        <v>26.775741079087847</v>
      </c>
      <c r="AA958" s="26">
        <v>950</v>
      </c>
      <c r="AB958" s="31">
        <f t="shared" ca="1" si="277"/>
        <v>150</v>
      </c>
      <c r="AC958" s="31">
        <f t="shared" ca="1" si="266"/>
        <v>12</v>
      </c>
      <c r="AD958" s="31">
        <f t="shared" ca="1" si="267"/>
        <v>7</v>
      </c>
      <c r="AE958" s="31">
        <f t="shared" ca="1" si="268"/>
        <v>44</v>
      </c>
      <c r="AF958" s="31">
        <f t="shared" ca="1" si="269"/>
        <v>6</v>
      </c>
      <c r="AG958" s="31">
        <f t="shared" ca="1" si="270"/>
        <v>35</v>
      </c>
      <c r="AH958" s="31">
        <f t="shared" ca="1" si="271"/>
        <v>16</v>
      </c>
      <c r="AI958" s="31">
        <f t="shared" ca="1" si="272"/>
        <v>11</v>
      </c>
      <c r="AJ958" s="31">
        <f t="shared" ca="1" si="273"/>
        <v>55</v>
      </c>
      <c r="AK958" s="31">
        <f t="shared" ca="1" si="274"/>
        <v>26</v>
      </c>
      <c r="AL958" s="31">
        <f t="shared" ca="1" si="275"/>
        <v>9</v>
      </c>
      <c r="AM958" s="31">
        <f t="shared" ca="1" si="276"/>
        <v>54</v>
      </c>
    </row>
    <row r="959" spans="14:39">
      <c r="N959" s="26">
        <v>951</v>
      </c>
      <c r="O959" s="30">
        <f t="shared" ref="O959:Z968" ca="1" si="283">RAND()*sumweights</f>
        <v>13.283867385405621</v>
      </c>
      <c r="P959" s="30">
        <f t="shared" ca="1" si="283"/>
        <v>20.004931869351786</v>
      </c>
      <c r="Q959" s="30">
        <f t="shared" ca="1" si="283"/>
        <v>16.954467636003699</v>
      </c>
      <c r="R959" s="30">
        <f t="shared" ca="1" si="283"/>
        <v>21.566011605577774</v>
      </c>
      <c r="S959" s="30">
        <f t="shared" ca="1" si="283"/>
        <v>18.614518966821372</v>
      </c>
      <c r="T959" s="30">
        <f t="shared" ca="1" si="283"/>
        <v>20.232254354900505</v>
      </c>
      <c r="U959" s="30">
        <f t="shared" ca="1" si="283"/>
        <v>28.727870638917047</v>
      </c>
      <c r="V959" s="30">
        <f t="shared" ca="1" si="283"/>
        <v>28.097814594441502</v>
      </c>
      <c r="W959" s="30">
        <f t="shared" ca="1" si="283"/>
        <v>12.529271693013538</v>
      </c>
      <c r="X959" s="30">
        <f t="shared" ca="1" si="283"/>
        <v>5.4042318318934059</v>
      </c>
      <c r="Y959" s="30">
        <f t="shared" ca="1" si="283"/>
        <v>31.749297919044817</v>
      </c>
      <c r="Z959" s="30">
        <f t="shared" ca="1" si="283"/>
        <v>33.05594242267231</v>
      </c>
      <c r="AA959" s="26">
        <v>951</v>
      </c>
      <c r="AB959" s="31">
        <f t="shared" ca="1" si="277"/>
        <v>17</v>
      </c>
      <c r="AC959" s="31">
        <f t="shared" ca="1" si="266"/>
        <v>31</v>
      </c>
      <c r="AD959" s="31">
        <f t="shared" ca="1" si="267"/>
        <v>24</v>
      </c>
      <c r="AE959" s="31">
        <f t="shared" ca="1" si="268"/>
        <v>35</v>
      </c>
      <c r="AF959" s="31">
        <f t="shared" ca="1" si="269"/>
        <v>27</v>
      </c>
      <c r="AG959" s="31">
        <f t="shared" ca="1" si="270"/>
        <v>31</v>
      </c>
      <c r="AH959" s="31">
        <f t="shared" ca="1" si="271"/>
        <v>65</v>
      </c>
      <c r="AI959" s="31">
        <f t="shared" ca="1" si="272"/>
        <v>61</v>
      </c>
      <c r="AJ959" s="31">
        <f t="shared" ca="1" si="273"/>
        <v>16</v>
      </c>
      <c r="AK959" s="31">
        <f t="shared" ca="1" si="274"/>
        <v>6</v>
      </c>
      <c r="AL959" s="31">
        <f t="shared" ca="1" si="275"/>
        <v>101</v>
      </c>
      <c r="AM959" s="31">
        <f t="shared" ca="1" si="276"/>
        <v>158</v>
      </c>
    </row>
    <row r="960" spans="14:39">
      <c r="N960" s="26">
        <v>952</v>
      </c>
      <c r="O960" s="30">
        <f t="shared" ca="1" si="283"/>
        <v>27.235679588128129</v>
      </c>
      <c r="P960" s="30">
        <f t="shared" ca="1" si="283"/>
        <v>6.0981872014784919</v>
      </c>
      <c r="Q960" s="30">
        <f t="shared" ca="1" si="283"/>
        <v>5.9728986266426576</v>
      </c>
      <c r="R960" s="30">
        <f t="shared" ca="1" si="283"/>
        <v>24.77327019358972</v>
      </c>
      <c r="S960" s="30">
        <f t="shared" ca="1" si="283"/>
        <v>3.4889985576100284</v>
      </c>
      <c r="T960" s="30">
        <f t="shared" ca="1" si="283"/>
        <v>27.478737738313157</v>
      </c>
      <c r="U960" s="30">
        <f t="shared" ca="1" si="283"/>
        <v>14.874318079791792</v>
      </c>
      <c r="V960" s="30">
        <f t="shared" ca="1" si="283"/>
        <v>29.686042510906919</v>
      </c>
      <c r="W960" s="30">
        <f t="shared" ca="1" si="283"/>
        <v>7.5022917277657282</v>
      </c>
      <c r="X960" s="30">
        <f t="shared" ca="1" si="283"/>
        <v>18.234801116464137</v>
      </c>
      <c r="Y960" s="30">
        <f t="shared" ca="1" si="283"/>
        <v>4.2403575974750458</v>
      </c>
      <c r="Z960" s="30">
        <f t="shared" ca="1" si="283"/>
        <v>21.456164924415738</v>
      </c>
      <c r="AA960" s="26">
        <v>952</v>
      </c>
      <c r="AB960" s="31">
        <f t="shared" ca="1" si="277"/>
        <v>56</v>
      </c>
      <c r="AC960" s="31">
        <f t="shared" ca="1" si="266"/>
        <v>7</v>
      </c>
      <c r="AD960" s="31">
        <f t="shared" ca="1" si="267"/>
        <v>7</v>
      </c>
      <c r="AE960" s="31">
        <f t="shared" ca="1" si="268"/>
        <v>45</v>
      </c>
      <c r="AF960" s="31">
        <f t="shared" ca="1" si="269"/>
        <v>4</v>
      </c>
      <c r="AG960" s="31">
        <f t="shared" ca="1" si="270"/>
        <v>58</v>
      </c>
      <c r="AH960" s="31">
        <f t="shared" ca="1" si="271"/>
        <v>20</v>
      </c>
      <c r="AI960" s="31">
        <f t="shared" ca="1" si="272"/>
        <v>73</v>
      </c>
      <c r="AJ960" s="31">
        <f t="shared" ca="1" si="273"/>
        <v>9</v>
      </c>
      <c r="AK960" s="31">
        <f t="shared" ca="1" si="274"/>
        <v>27</v>
      </c>
      <c r="AL960" s="31">
        <f t="shared" ca="1" si="275"/>
        <v>5</v>
      </c>
      <c r="AM960" s="31">
        <f t="shared" ca="1" si="276"/>
        <v>34</v>
      </c>
    </row>
    <row r="961" spans="14:39">
      <c r="N961" s="26">
        <v>953</v>
      </c>
      <c r="O961" s="30">
        <f t="shared" ca="1" si="283"/>
        <v>11.51375067291435</v>
      </c>
      <c r="P961" s="30">
        <f t="shared" ca="1" si="283"/>
        <v>15.929245674191041</v>
      </c>
      <c r="Q961" s="30">
        <f t="shared" ca="1" si="283"/>
        <v>17.542259968920678</v>
      </c>
      <c r="R961" s="30">
        <f t="shared" ca="1" si="283"/>
        <v>6.0316788389127884</v>
      </c>
      <c r="S961" s="30">
        <f t="shared" ca="1" si="283"/>
        <v>15.081737061096028</v>
      </c>
      <c r="T961" s="30">
        <f t="shared" ca="1" si="283"/>
        <v>12.402492081382894</v>
      </c>
      <c r="U961" s="30">
        <f t="shared" ca="1" si="283"/>
        <v>31.396433546824092</v>
      </c>
      <c r="V961" s="30">
        <f t="shared" ca="1" si="283"/>
        <v>31.083373044474442</v>
      </c>
      <c r="W961" s="30">
        <f t="shared" ca="1" si="283"/>
        <v>20.882268081223433</v>
      </c>
      <c r="X961" s="30">
        <f t="shared" ca="1" si="283"/>
        <v>11.660197629291321</v>
      </c>
      <c r="Y961" s="30">
        <f t="shared" ca="1" si="283"/>
        <v>0.9889561977326311</v>
      </c>
      <c r="Z961" s="30">
        <f t="shared" ca="1" si="283"/>
        <v>32.666436904475404</v>
      </c>
      <c r="AA961" s="26">
        <v>953</v>
      </c>
      <c r="AB961" s="31">
        <f t="shared" ca="1" si="277"/>
        <v>14</v>
      </c>
      <c r="AC961" s="31">
        <f t="shared" ca="1" si="266"/>
        <v>22</v>
      </c>
      <c r="AD961" s="31">
        <f t="shared" ca="1" si="267"/>
        <v>25</v>
      </c>
      <c r="AE961" s="31">
        <f t="shared" ca="1" si="268"/>
        <v>7</v>
      </c>
      <c r="AF961" s="31">
        <f t="shared" ca="1" si="269"/>
        <v>20</v>
      </c>
      <c r="AG961" s="31">
        <f t="shared" ca="1" si="270"/>
        <v>16</v>
      </c>
      <c r="AH961" s="31">
        <f t="shared" ca="1" si="271"/>
        <v>94</v>
      </c>
      <c r="AI961" s="31">
        <f t="shared" ca="1" si="272"/>
        <v>89</v>
      </c>
      <c r="AJ961" s="31">
        <f t="shared" ca="1" si="273"/>
        <v>33</v>
      </c>
      <c r="AK961" s="31">
        <f t="shared" ca="1" si="274"/>
        <v>15</v>
      </c>
      <c r="AL961" s="31">
        <f t="shared" ca="1" si="275"/>
        <v>1</v>
      </c>
      <c r="AM961" s="31">
        <f t="shared" ca="1" si="276"/>
        <v>129</v>
      </c>
    </row>
    <row r="962" spans="14:39">
      <c r="N962" s="26">
        <v>954</v>
      </c>
      <c r="O962" s="30">
        <f t="shared" ca="1" si="283"/>
        <v>16.474116864265088</v>
      </c>
      <c r="P962" s="30">
        <f t="shared" ca="1" si="283"/>
        <v>17.429323974697301</v>
      </c>
      <c r="Q962" s="30">
        <f t="shared" ca="1" si="283"/>
        <v>1.2548526559180888</v>
      </c>
      <c r="R962" s="30">
        <f t="shared" ca="1" si="283"/>
        <v>16.13593382816051</v>
      </c>
      <c r="S962" s="30">
        <f t="shared" ca="1" si="283"/>
        <v>18.608714817448561</v>
      </c>
      <c r="T962" s="30">
        <f t="shared" ca="1" si="283"/>
        <v>11.125782750746584</v>
      </c>
      <c r="U962" s="30">
        <f t="shared" ca="1" si="283"/>
        <v>20.55228469255799</v>
      </c>
      <c r="V962" s="30">
        <f t="shared" ca="1" si="283"/>
        <v>0.86129509347098532</v>
      </c>
      <c r="W962" s="30">
        <f t="shared" ca="1" si="283"/>
        <v>24.101352016516305</v>
      </c>
      <c r="X962" s="30">
        <f t="shared" ca="1" si="283"/>
        <v>27.449350129275494</v>
      </c>
      <c r="Y962" s="30">
        <f t="shared" ca="1" si="283"/>
        <v>8.7620663666349596</v>
      </c>
      <c r="Z962" s="30">
        <f t="shared" ca="1" si="283"/>
        <v>5.9287333877368402</v>
      </c>
      <c r="AA962" s="26">
        <v>954</v>
      </c>
      <c r="AB962" s="31">
        <f t="shared" ca="1" si="277"/>
        <v>23</v>
      </c>
      <c r="AC962" s="31">
        <f t="shared" ca="1" si="266"/>
        <v>25</v>
      </c>
      <c r="AD962" s="31">
        <f t="shared" ca="1" si="267"/>
        <v>2</v>
      </c>
      <c r="AE962" s="31">
        <f t="shared" ca="1" si="268"/>
        <v>22</v>
      </c>
      <c r="AF962" s="31">
        <f t="shared" ca="1" si="269"/>
        <v>27</v>
      </c>
      <c r="AG962" s="31">
        <f t="shared" ca="1" si="270"/>
        <v>14</v>
      </c>
      <c r="AH962" s="31">
        <f t="shared" ca="1" si="271"/>
        <v>32</v>
      </c>
      <c r="AI962" s="31">
        <f t="shared" ca="1" si="272"/>
        <v>1</v>
      </c>
      <c r="AJ962" s="31">
        <f t="shared" ca="1" si="273"/>
        <v>43</v>
      </c>
      <c r="AK962" s="31">
        <f t="shared" ca="1" si="274"/>
        <v>57</v>
      </c>
      <c r="AL962" s="31">
        <f t="shared" ca="1" si="275"/>
        <v>11</v>
      </c>
      <c r="AM962" s="31">
        <f t="shared" ca="1" si="276"/>
        <v>7</v>
      </c>
    </row>
    <row r="963" spans="14:39">
      <c r="N963" s="26">
        <v>955</v>
      </c>
      <c r="O963" s="30">
        <f t="shared" ca="1" si="283"/>
        <v>30.218396624379036</v>
      </c>
      <c r="P963" s="30">
        <f t="shared" ca="1" si="283"/>
        <v>7.7197098526914996</v>
      </c>
      <c r="Q963" s="30">
        <f t="shared" ca="1" si="283"/>
        <v>11.831718882148923</v>
      </c>
      <c r="R963" s="30">
        <f t="shared" ca="1" si="283"/>
        <v>26.136077576709731</v>
      </c>
      <c r="S963" s="30">
        <f t="shared" ca="1" si="283"/>
        <v>27.955063430077534</v>
      </c>
      <c r="T963" s="30">
        <f t="shared" ca="1" si="283"/>
        <v>30.566239232694524</v>
      </c>
      <c r="U963" s="30">
        <f t="shared" ca="1" si="283"/>
        <v>9.5268533034277851</v>
      </c>
      <c r="V963" s="30">
        <f t="shared" ca="1" si="283"/>
        <v>28.098564053140354</v>
      </c>
      <c r="W963" s="30">
        <f t="shared" ca="1" si="283"/>
        <v>27.337804812532454</v>
      </c>
      <c r="X963" s="30">
        <f t="shared" ca="1" si="283"/>
        <v>4.2609362765912486</v>
      </c>
      <c r="Y963" s="30">
        <f t="shared" ca="1" si="283"/>
        <v>11.242224172300284</v>
      </c>
      <c r="Z963" s="30">
        <f t="shared" ca="1" si="283"/>
        <v>16.287514665639872</v>
      </c>
      <c r="AA963" s="26">
        <v>955</v>
      </c>
      <c r="AB963" s="31">
        <f t="shared" ca="1" si="277"/>
        <v>78</v>
      </c>
      <c r="AC963" s="31">
        <f t="shared" ca="1" si="266"/>
        <v>9</v>
      </c>
      <c r="AD963" s="31">
        <f t="shared" ca="1" si="267"/>
        <v>15</v>
      </c>
      <c r="AE963" s="31">
        <f t="shared" ca="1" si="268"/>
        <v>51</v>
      </c>
      <c r="AF963" s="31">
        <f t="shared" ca="1" si="269"/>
        <v>60</v>
      </c>
      <c r="AG963" s="31">
        <f t="shared" ca="1" si="270"/>
        <v>82</v>
      </c>
      <c r="AH963" s="31">
        <f t="shared" ca="1" si="271"/>
        <v>12</v>
      </c>
      <c r="AI963" s="31">
        <f t="shared" ca="1" si="272"/>
        <v>61</v>
      </c>
      <c r="AJ963" s="31">
        <f t="shared" ca="1" si="273"/>
        <v>57</v>
      </c>
      <c r="AK963" s="31">
        <f t="shared" ca="1" si="274"/>
        <v>5</v>
      </c>
      <c r="AL963" s="31">
        <f t="shared" ca="1" si="275"/>
        <v>14</v>
      </c>
      <c r="AM963" s="31">
        <f t="shared" ca="1" si="276"/>
        <v>23</v>
      </c>
    </row>
    <row r="964" spans="14:39">
      <c r="N964" s="26">
        <v>956</v>
      </c>
      <c r="O964" s="30">
        <f t="shared" ca="1" si="283"/>
        <v>20.348103515240183</v>
      </c>
      <c r="P964" s="30">
        <f t="shared" ca="1" si="283"/>
        <v>10.147852514908612</v>
      </c>
      <c r="Q964" s="30">
        <f t="shared" ca="1" si="283"/>
        <v>0.14336427577097383</v>
      </c>
      <c r="R964" s="30">
        <f t="shared" ca="1" si="283"/>
        <v>2.0848573240178938</v>
      </c>
      <c r="S964" s="30">
        <f t="shared" ca="1" si="283"/>
        <v>19.09645174184632</v>
      </c>
      <c r="T964" s="30">
        <f t="shared" ca="1" si="283"/>
        <v>4.9495567775288256</v>
      </c>
      <c r="U964" s="30">
        <f t="shared" ca="1" si="283"/>
        <v>32.189342849292345</v>
      </c>
      <c r="V964" s="30">
        <f t="shared" ca="1" si="283"/>
        <v>26.701260730138454</v>
      </c>
      <c r="W964" s="30">
        <f t="shared" ca="1" si="283"/>
        <v>10.531271115530116</v>
      </c>
      <c r="X964" s="30">
        <f t="shared" ca="1" si="283"/>
        <v>17.851540416731584</v>
      </c>
      <c r="Y964" s="30">
        <f t="shared" ca="1" si="283"/>
        <v>8.4281327604515575</v>
      </c>
      <c r="Z964" s="30">
        <f t="shared" ca="1" si="283"/>
        <v>7.6814929554687685</v>
      </c>
      <c r="AA964" s="26">
        <v>956</v>
      </c>
      <c r="AB964" s="31">
        <f t="shared" ca="1" si="277"/>
        <v>31</v>
      </c>
      <c r="AC964" s="31">
        <f t="shared" ca="1" si="266"/>
        <v>12</v>
      </c>
      <c r="AD964" s="31">
        <f t="shared" ca="1" si="267"/>
        <v>1</v>
      </c>
      <c r="AE964" s="31">
        <f t="shared" ca="1" si="268"/>
        <v>3</v>
      </c>
      <c r="AF964" s="31">
        <f t="shared" ca="1" si="269"/>
        <v>28</v>
      </c>
      <c r="AG964" s="31">
        <f t="shared" ca="1" si="270"/>
        <v>6</v>
      </c>
      <c r="AH964" s="31">
        <f t="shared" ca="1" si="271"/>
        <v>111</v>
      </c>
      <c r="AI964" s="31">
        <f t="shared" ca="1" si="272"/>
        <v>54</v>
      </c>
      <c r="AJ964" s="31">
        <f t="shared" ca="1" si="273"/>
        <v>13</v>
      </c>
      <c r="AK964" s="31">
        <f t="shared" ca="1" si="274"/>
        <v>26</v>
      </c>
      <c r="AL964" s="31">
        <f t="shared" ca="1" si="275"/>
        <v>10</v>
      </c>
      <c r="AM964" s="31">
        <f t="shared" ca="1" si="276"/>
        <v>9</v>
      </c>
    </row>
    <row r="965" spans="14:39">
      <c r="N965" s="26">
        <v>957</v>
      </c>
      <c r="O965" s="30">
        <f t="shared" ca="1" si="283"/>
        <v>19.951598110710513</v>
      </c>
      <c r="P965" s="30">
        <f t="shared" ca="1" si="283"/>
        <v>16.927198494345866</v>
      </c>
      <c r="Q965" s="30">
        <f t="shared" ca="1" si="283"/>
        <v>21.761227560225706</v>
      </c>
      <c r="R965" s="30">
        <f t="shared" ca="1" si="283"/>
        <v>27.099136654919629</v>
      </c>
      <c r="S965" s="30">
        <f t="shared" ca="1" si="283"/>
        <v>24.322297270588358</v>
      </c>
      <c r="T965" s="30">
        <f t="shared" ca="1" si="283"/>
        <v>19.296720253239464</v>
      </c>
      <c r="U965" s="30">
        <f t="shared" ca="1" si="283"/>
        <v>32.740955425468762</v>
      </c>
      <c r="V965" s="30">
        <f t="shared" ca="1" si="283"/>
        <v>32.967420147901187</v>
      </c>
      <c r="W965" s="30">
        <f t="shared" ca="1" si="283"/>
        <v>12.103283032504111</v>
      </c>
      <c r="X965" s="30">
        <f t="shared" ca="1" si="283"/>
        <v>10.593830020938206</v>
      </c>
      <c r="Y965" s="30">
        <f t="shared" ca="1" si="283"/>
        <v>20.398886312988367</v>
      </c>
      <c r="Z965" s="30">
        <f t="shared" ca="1" si="283"/>
        <v>1.74377626935682</v>
      </c>
      <c r="AA965" s="26">
        <v>957</v>
      </c>
      <c r="AB965" s="31">
        <f t="shared" ca="1" si="277"/>
        <v>30</v>
      </c>
      <c r="AC965" s="31">
        <f t="shared" ca="1" si="266"/>
        <v>24</v>
      </c>
      <c r="AD965" s="31">
        <f t="shared" ca="1" si="267"/>
        <v>35</v>
      </c>
      <c r="AE965" s="31">
        <f t="shared" ca="1" si="268"/>
        <v>56</v>
      </c>
      <c r="AF965" s="31">
        <f t="shared" ca="1" si="269"/>
        <v>43</v>
      </c>
      <c r="AG965" s="31">
        <f t="shared" ca="1" si="270"/>
        <v>29</v>
      </c>
      <c r="AH965" s="31">
        <f t="shared" ca="1" si="271"/>
        <v>133</v>
      </c>
      <c r="AI965" s="31">
        <f t="shared" ca="1" si="272"/>
        <v>149</v>
      </c>
      <c r="AJ965" s="31">
        <f t="shared" ca="1" si="273"/>
        <v>15</v>
      </c>
      <c r="AK965" s="31">
        <f t="shared" ca="1" si="274"/>
        <v>13</v>
      </c>
      <c r="AL965" s="31">
        <f t="shared" ca="1" si="275"/>
        <v>32</v>
      </c>
      <c r="AM965" s="31">
        <f t="shared" ca="1" si="276"/>
        <v>2</v>
      </c>
    </row>
    <row r="966" spans="14:39">
      <c r="N966" s="26">
        <v>958</v>
      </c>
      <c r="O966" s="30">
        <f t="shared" ca="1" si="283"/>
        <v>26.062373123716636</v>
      </c>
      <c r="P966" s="30">
        <f t="shared" ca="1" si="283"/>
        <v>10.426917376124759</v>
      </c>
      <c r="Q966" s="30">
        <f t="shared" ca="1" si="283"/>
        <v>21.51760843406408</v>
      </c>
      <c r="R966" s="30">
        <f t="shared" ca="1" si="283"/>
        <v>19.840498187220927</v>
      </c>
      <c r="S966" s="30">
        <f t="shared" ca="1" si="283"/>
        <v>15.145353246208703</v>
      </c>
      <c r="T966" s="30">
        <f t="shared" ca="1" si="283"/>
        <v>31.692378301475078</v>
      </c>
      <c r="U966" s="30">
        <f t="shared" ca="1" si="283"/>
        <v>18.343872454246728</v>
      </c>
      <c r="V966" s="30">
        <f t="shared" ca="1" si="283"/>
        <v>14.684075705825833</v>
      </c>
      <c r="W966" s="30">
        <f t="shared" ca="1" si="283"/>
        <v>7.5613773689452568</v>
      </c>
      <c r="X966" s="30">
        <f t="shared" ca="1" si="283"/>
        <v>19.763471000574476</v>
      </c>
      <c r="Y966" s="30">
        <f t="shared" ca="1" si="283"/>
        <v>13.805495548849345</v>
      </c>
      <c r="Z966" s="30">
        <f t="shared" ca="1" si="283"/>
        <v>16.670868428750428</v>
      </c>
      <c r="AA966" s="26">
        <v>958</v>
      </c>
      <c r="AB966" s="31">
        <f t="shared" ca="1" si="277"/>
        <v>50</v>
      </c>
      <c r="AC966" s="31">
        <f t="shared" ca="1" si="266"/>
        <v>13</v>
      </c>
      <c r="AD966" s="31">
        <f t="shared" ca="1" si="267"/>
        <v>35</v>
      </c>
      <c r="AE966" s="31">
        <f t="shared" ca="1" si="268"/>
        <v>30</v>
      </c>
      <c r="AF966" s="31">
        <f t="shared" ca="1" si="269"/>
        <v>20</v>
      </c>
      <c r="AG966" s="31">
        <f t="shared" ca="1" si="270"/>
        <v>99</v>
      </c>
      <c r="AH966" s="31">
        <f t="shared" ca="1" si="271"/>
        <v>27</v>
      </c>
      <c r="AI966" s="31">
        <f t="shared" ca="1" si="272"/>
        <v>20</v>
      </c>
      <c r="AJ966" s="31">
        <f t="shared" ca="1" si="273"/>
        <v>9</v>
      </c>
      <c r="AK966" s="31">
        <f t="shared" ca="1" si="274"/>
        <v>30</v>
      </c>
      <c r="AL966" s="31">
        <f t="shared" ca="1" si="275"/>
        <v>18</v>
      </c>
      <c r="AM966" s="31">
        <f t="shared" ca="1" si="276"/>
        <v>23</v>
      </c>
    </row>
    <row r="967" spans="14:39">
      <c r="N967" s="26">
        <v>959</v>
      </c>
      <c r="O967" s="30">
        <f t="shared" ca="1" si="283"/>
        <v>30.430658915188332</v>
      </c>
      <c r="P967" s="30">
        <f t="shared" ca="1" si="283"/>
        <v>22.946811566603127</v>
      </c>
      <c r="Q967" s="30">
        <f t="shared" ca="1" si="283"/>
        <v>25.535576815559381</v>
      </c>
      <c r="R967" s="30">
        <f t="shared" ca="1" si="283"/>
        <v>18.010581238896009</v>
      </c>
      <c r="S967" s="30">
        <f t="shared" ca="1" si="283"/>
        <v>28.875252211670617</v>
      </c>
      <c r="T967" s="30">
        <f t="shared" ca="1" si="283"/>
        <v>23.320987517141642</v>
      </c>
      <c r="U967" s="30">
        <f t="shared" ca="1" si="283"/>
        <v>12.023599021486318</v>
      </c>
      <c r="V967" s="30">
        <f t="shared" ca="1" si="283"/>
        <v>32.541890204428505</v>
      </c>
      <c r="W967" s="30">
        <f t="shared" ca="1" si="283"/>
        <v>5.2237261625251517</v>
      </c>
      <c r="X967" s="30">
        <f t="shared" ca="1" si="283"/>
        <v>11.940242365648203</v>
      </c>
      <c r="Y967" s="30">
        <f t="shared" ca="1" si="283"/>
        <v>27.161431712865888</v>
      </c>
      <c r="Z967" s="30">
        <f t="shared" ca="1" si="283"/>
        <v>18.719384867336132</v>
      </c>
      <c r="AA967" s="26">
        <v>959</v>
      </c>
      <c r="AB967" s="31">
        <f t="shared" ca="1" si="277"/>
        <v>81</v>
      </c>
      <c r="AC967" s="31">
        <f t="shared" ca="1" si="266"/>
        <v>39</v>
      </c>
      <c r="AD967" s="31">
        <f t="shared" ca="1" si="267"/>
        <v>48</v>
      </c>
      <c r="AE967" s="31">
        <f t="shared" ca="1" si="268"/>
        <v>26</v>
      </c>
      <c r="AF967" s="31">
        <f t="shared" ca="1" si="269"/>
        <v>67</v>
      </c>
      <c r="AG967" s="31">
        <f t="shared" ca="1" si="270"/>
        <v>40</v>
      </c>
      <c r="AH967" s="31">
        <f t="shared" ca="1" si="271"/>
        <v>15</v>
      </c>
      <c r="AI967" s="31">
        <f t="shared" ca="1" si="272"/>
        <v>123</v>
      </c>
      <c r="AJ967" s="31">
        <f t="shared" ca="1" si="273"/>
        <v>6</v>
      </c>
      <c r="AK967" s="31">
        <f t="shared" ca="1" si="274"/>
        <v>15</v>
      </c>
      <c r="AL967" s="31">
        <f t="shared" ca="1" si="275"/>
        <v>56</v>
      </c>
      <c r="AM967" s="31">
        <f t="shared" ca="1" si="276"/>
        <v>28</v>
      </c>
    </row>
    <row r="968" spans="14:39">
      <c r="N968" s="26">
        <v>960</v>
      </c>
      <c r="O968" s="30">
        <f t="shared" ca="1" si="283"/>
        <v>24.759735052290068</v>
      </c>
      <c r="P968" s="30">
        <f t="shared" ca="1" si="283"/>
        <v>26.775422992362323</v>
      </c>
      <c r="Q968" s="30">
        <f t="shared" ca="1" si="283"/>
        <v>15.091119662633583</v>
      </c>
      <c r="R968" s="30">
        <f t="shared" ca="1" si="283"/>
        <v>8.1644580749192102</v>
      </c>
      <c r="S968" s="30">
        <f t="shared" ca="1" si="283"/>
        <v>4.4497094616058233</v>
      </c>
      <c r="T968" s="30">
        <f t="shared" ca="1" si="283"/>
        <v>32.770515914168747</v>
      </c>
      <c r="U968" s="30">
        <f t="shared" ca="1" si="283"/>
        <v>5.7964206329963792</v>
      </c>
      <c r="V968" s="30">
        <f t="shared" ca="1" si="283"/>
        <v>14.887839573961941</v>
      </c>
      <c r="W968" s="30">
        <f t="shared" ca="1" si="283"/>
        <v>9.423983832314903</v>
      </c>
      <c r="X968" s="30">
        <f t="shared" ca="1" si="283"/>
        <v>32.765773528364385</v>
      </c>
      <c r="Y968" s="30">
        <f t="shared" ca="1" si="283"/>
        <v>14.000109265871805</v>
      </c>
      <c r="Z968" s="30">
        <f t="shared" ca="1" si="283"/>
        <v>27.880456869744894</v>
      </c>
      <c r="AA968" s="26">
        <v>960</v>
      </c>
      <c r="AB968" s="31">
        <f t="shared" ca="1" si="277"/>
        <v>45</v>
      </c>
      <c r="AC968" s="31">
        <f t="shared" ca="1" si="266"/>
        <v>54</v>
      </c>
      <c r="AD968" s="31">
        <f t="shared" ca="1" si="267"/>
        <v>20</v>
      </c>
      <c r="AE968" s="31">
        <f t="shared" ca="1" si="268"/>
        <v>10</v>
      </c>
      <c r="AF968" s="31">
        <f t="shared" ca="1" si="269"/>
        <v>5</v>
      </c>
      <c r="AG968" s="31">
        <f t="shared" ca="1" si="270"/>
        <v>134</v>
      </c>
      <c r="AH968" s="31">
        <f t="shared" ca="1" si="271"/>
        <v>7</v>
      </c>
      <c r="AI968" s="31">
        <f t="shared" ca="1" si="272"/>
        <v>20</v>
      </c>
      <c r="AJ968" s="31">
        <f t="shared" ca="1" si="273"/>
        <v>11</v>
      </c>
      <c r="AK968" s="31">
        <f t="shared" ca="1" si="274"/>
        <v>134</v>
      </c>
      <c r="AL968" s="31">
        <f t="shared" ca="1" si="275"/>
        <v>18</v>
      </c>
      <c r="AM968" s="31">
        <f t="shared" ca="1" si="276"/>
        <v>60</v>
      </c>
    </row>
    <row r="969" spans="14:39">
      <c r="N969" s="26">
        <v>961</v>
      </c>
      <c r="O969" s="30">
        <f t="shared" ref="O969:Z978" ca="1" si="284">RAND()*sumweights</f>
        <v>1.9456224524310874</v>
      </c>
      <c r="P969" s="30">
        <f t="shared" ca="1" si="284"/>
        <v>14.977617507715594</v>
      </c>
      <c r="Q969" s="30">
        <f t="shared" ca="1" si="284"/>
        <v>1.9322791590715254</v>
      </c>
      <c r="R969" s="30">
        <f t="shared" ca="1" si="284"/>
        <v>26.380318520857941</v>
      </c>
      <c r="S969" s="30">
        <f t="shared" ca="1" si="284"/>
        <v>0.35622898165248579</v>
      </c>
      <c r="T969" s="30">
        <f t="shared" ca="1" si="284"/>
        <v>7.0090199339796184</v>
      </c>
      <c r="U969" s="30">
        <f t="shared" ca="1" si="284"/>
        <v>9.4042788516292646</v>
      </c>
      <c r="V969" s="30">
        <f t="shared" ca="1" si="284"/>
        <v>10.755665584717288</v>
      </c>
      <c r="W969" s="30">
        <f t="shared" ca="1" si="284"/>
        <v>26.228732169893991</v>
      </c>
      <c r="X969" s="30">
        <f t="shared" ca="1" si="284"/>
        <v>32.177816979991221</v>
      </c>
      <c r="Y969" s="30">
        <f t="shared" ca="1" si="284"/>
        <v>4.2013580663437038</v>
      </c>
      <c r="Z969" s="30">
        <f t="shared" ca="1" si="284"/>
        <v>16.639457759746136</v>
      </c>
      <c r="AA969" s="26">
        <v>961</v>
      </c>
      <c r="AB969" s="31">
        <f t="shared" ca="1" si="277"/>
        <v>2</v>
      </c>
      <c r="AC969" s="31">
        <f t="shared" ref="AC969:AC1008" ca="1" si="285">MATCH(P969,cum_wt,1)</f>
        <v>20</v>
      </c>
      <c r="AD969" s="31">
        <f t="shared" ref="AD969:AD1008" ca="1" si="286">MATCH(Q969,cum_wt,1)</f>
        <v>2</v>
      </c>
      <c r="AE969" s="31">
        <f t="shared" ref="AE969:AE1008" ca="1" si="287">MATCH(R969,cum_wt,1)</f>
        <v>52</v>
      </c>
      <c r="AF969" s="31">
        <f t="shared" ref="AF969:AF1008" ca="1" si="288">MATCH(S969,cum_wt,1)</f>
        <v>1</v>
      </c>
      <c r="AG969" s="31">
        <f t="shared" ref="AG969:AG1008" ca="1" si="289">MATCH(T969,cum_wt,1)</f>
        <v>8</v>
      </c>
      <c r="AH969" s="31">
        <f t="shared" ref="AH969:AH1008" ca="1" si="290">MATCH(U969,cum_wt,1)</f>
        <v>11</v>
      </c>
      <c r="AI969" s="31">
        <f t="shared" ref="AI969:AI1008" ca="1" si="291">MATCH(V969,cum_wt,1)</f>
        <v>13</v>
      </c>
      <c r="AJ969" s="31">
        <f t="shared" ref="AJ969:AJ1008" ca="1" si="292">MATCH(W969,cum_wt,1)</f>
        <v>51</v>
      </c>
      <c r="AK969" s="31">
        <f t="shared" ref="AK969:AK1008" ca="1" si="293">MATCH(X969,cum_wt,1)</f>
        <v>111</v>
      </c>
      <c r="AL969" s="31">
        <f t="shared" ref="AL969:AL1008" ca="1" si="294">MATCH(Y969,cum_wt,1)</f>
        <v>5</v>
      </c>
      <c r="AM969" s="31">
        <f t="shared" ref="AM969:AM1008" ca="1" si="295">MATCH(Z969,cum_wt,1)</f>
        <v>23</v>
      </c>
    </row>
    <row r="970" spans="14:39">
      <c r="N970" s="26">
        <v>962</v>
      </c>
      <c r="O970" s="30">
        <f t="shared" ca="1" si="284"/>
        <v>27.092687437346456</v>
      </c>
      <c r="P970" s="30">
        <f t="shared" ca="1" si="284"/>
        <v>2.8563789967920026</v>
      </c>
      <c r="Q970" s="30">
        <f t="shared" ca="1" si="284"/>
        <v>27.513419332537325</v>
      </c>
      <c r="R970" s="30">
        <f t="shared" ca="1" si="284"/>
        <v>13.493282169716247</v>
      </c>
      <c r="S970" s="30">
        <f t="shared" ca="1" si="284"/>
        <v>23.344781639872522</v>
      </c>
      <c r="T970" s="30">
        <f t="shared" ca="1" si="284"/>
        <v>15.274493275783017</v>
      </c>
      <c r="U970" s="30">
        <f t="shared" ca="1" si="284"/>
        <v>13.875266437715009</v>
      </c>
      <c r="V970" s="30">
        <f t="shared" ca="1" si="284"/>
        <v>20.317802796574206</v>
      </c>
      <c r="W970" s="30">
        <f t="shared" ca="1" si="284"/>
        <v>27.764147693708644</v>
      </c>
      <c r="X970" s="30">
        <f t="shared" ca="1" si="284"/>
        <v>12.35100355594021</v>
      </c>
      <c r="Y970" s="30">
        <f t="shared" ca="1" si="284"/>
        <v>3.3966696804804308</v>
      </c>
      <c r="Z970" s="30">
        <f t="shared" ca="1" si="284"/>
        <v>18.046796999710381</v>
      </c>
      <c r="AA970" s="26">
        <v>962</v>
      </c>
      <c r="AB970" s="31">
        <f t="shared" ref="AB970:AB1008" ca="1" si="296">MATCH(O970,cum_wt,1)</f>
        <v>56</v>
      </c>
      <c r="AC970" s="31">
        <f t="shared" ca="1" si="285"/>
        <v>3</v>
      </c>
      <c r="AD970" s="31">
        <f t="shared" ca="1" si="286"/>
        <v>58</v>
      </c>
      <c r="AE970" s="31">
        <f t="shared" ca="1" si="287"/>
        <v>18</v>
      </c>
      <c r="AF970" s="31">
        <f t="shared" ca="1" si="288"/>
        <v>40</v>
      </c>
      <c r="AG970" s="31">
        <f t="shared" ca="1" si="289"/>
        <v>21</v>
      </c>
      <c r="AH970" s="31">
        <f t="shared" ca="1" si="290"/>
        <v>18</v>
      </c>
      <c r="AI970" s="31">
        <f t="shared" ca="1" si="291"/>
        <v>31</v>
      </c>
      <c r="AJ970" s="31">
        <f t="shared" ca="1" si="292"/>
        <v>59</v>
      </c>
      <c r="AK970" s="31">
        <f t="shared" ca="1" si="293"/>
        <v>16</v>
      </c>
      <c r="AL970" s="31">
        <f t="shared" ca="1" si="294"/>
        <v>4</v>
      </c>
      <c r="AM970" s="31">
        <f t="shared" ca="1" si="295"/>
        <v>26</v>
      </c>
    </row>
    <row r="971" spans="14:39">
      <c r="N971" s="26">
        <v>963</v>
      </c>
      <c r="O971" s="30">
        <f t="shared" ca="1" si="284"/>
        <v>6.9066842345701671</v>
      </c>
      <c r="P971" s="30">
        <f t="shared" ca="1" si="284"/>
        <v>29.024269469753687</v>
      </c>
      <c r="Q971" s="30">
        <f t="shared" ca="1" si="284"/>
        <v>5.8371384171556349</v>
      </c>
      <c r="R971" s="30">
        <f t="shared" ca="1" si="284"/>
        <v>4.881783409782237</v>
      </c>
      <c r="S971" s="30">
        <f t="shared" ca="1" si="284"/>
        <v>7.1009988929858654</v>
      </c>
      <c r="T971" s="30">
        <f t="shared" ca="1" si="284"/>
        <v>27.122645822967243</v>
      </c>
      <c r="U971" s="30">
        <f t="shared" ca="1" si="284"/>
        <v>7.0737878978602184</v>
      </c>
      <c r="V971" s="30">
        <f t="shared" ca="1" si="284"/>
        <v>20.122371053811793</v>
      </c>
      <c r="W971" s="30">
        <f t="shared" ca="1" si="284"/>
        <v>0.92438719357841426</v>
      </c>
      <c r="X971" s="30">
        <f t="shared" ca="1" si="284"/>
        <v>7.1184411314999991</v>
      </c>
      <c r="Y971" s="30">
        <f t="shared" ca="1" si="284"/>
        <v>25.528888474083345</v>
      </c>
      <c r="Z971" s="30">
        <f t="shared" ca="1" si="284"/>
        <v>17.64278454663912</v>
      </c>
      <c r="AA971" s="26">
        <v>963</v>
      </c>
      <c r="AB971" s="31">
        <f t="shared" ca="1" si="296"/>
        <v>8</v>
      </c>
      <c r="AC971" s="31">
        <f t="shared" ca="1" si="285"/>
        <v>68</v>
      </c>
      <c r="AD971" s="31">
        <f t="shared" ca="1" si="286"/>
        <v>7</v>
      </c>
      <c r="AE971" s="31">
        <f t="shared" ca="1" si="287"/>
        <v>6</v>
      </c>
      <c r="AF971" s="31">
        <f t="shared" ca="1" si="288"/>
        <v>8</v>
      </c>
      <c r="AG971" s="31">
        <f t="shared" ca="1" si="289"/>
        <v>56</v>
      </c>
      <c r="AH971" s="31">
        <f t="shared" ca="1" si="290"/>
        <v>8</v>
      </c>
      <c r="AI971" s="31">
        <f t="shared" ca="1" si="291"/>
        <v>31</v>
      </c>
      <c r="AJ971" s="31">
        <f t="shared" ca="1" si="292"/>
        <v>1</v>
      </c>
      <c r="AK971" s="31">
        <f t="shared" ca="1" si="293"/>
        <v>8</v>
      </c>
      <c r="AL971" s="31">
        <f t="shared" ca="1" si="294"/>
        <v>48</v>
      </c>
      <c r="AM971" s="31">
        <f t="shared" ca="1" si="295"/>
        <v>25</v>
      </c>
    </row>
    <row r="972" spans="14:39">
      <c r="N972" s="26">
        <v>964</v>
      </c>
      <c r="O972" s="30">
        <f t="shared" ca="1" si="284"/>
        <v>14.950653266003588</v>
      </c>
      <c r="P972" s="30">
        <f t="shared" ca="1" si="284"/>
        <v>4.536048343698126</v>
      </c>
      <c r="Q972" s="30">
        <f t="shared" ca="1" si="284"/>
        <v>6.9782632412775429</v>
      </c>
      <c r="R972" s="30">
        <f t="shared" ca="1" si="284"/>
        <v>12.178799741627083</v>
      </c>
      <c r="S972" s="30">
        <f t="shared" ca="1" si="284"/>
        <v>11.062747140246541</v>
      </c>
      <c r="T972" s="30">
        <f t="shared" ca="1" si="284"/>
        <v>21.943765351379728</v>
      </c>
      <c r="U972" s="30">
        <f t="shared" ca="1" si="284"/>
        <v>24.414397358659805</v>
      </c>
      <c r="V972" s="30">
        <f t="shared" ca="1" si="284"/>
        <v>12.045388090610848</v>
      </c>
      <c r="W972" s="30">
        <f t="shared" ca="1" si="284"/>
        <v>24.382382720482322</v>
      </c>
      <c r="X972" s="30">
        <f t="shared" ca="1" si="284"/>
        <v>18.481415900135751</v>
      </c>
      <c r="Y972" s="30">
        <f t="shared" ca="1" si="284"/>
        <v>12.400817715924157</v>
      </c>
      <c r="Z972" s="30">
        <f t="shared" ca="1" si="284"/>
        <v>0.1262647522543483</v>
      </c>
      <c r="AA972" s="26">
        <v>964</v>
      </c>
      <c r="AB972" s="31">
        <f t="shared" ca="1" si="296"/>
        <v>20</v>
      </c>
      <c r="AC972" s="31">
        <f t="shared" ca="1" si="285"/>
        <v>5</v>
      </c>
      <c r="AD972" s="31">
        <f t="shared" ca="1" si="286"/>
        <v>8</v>
      </c>
      <c r="AE972" s="31">
        <f t="shared" ca="1" si="287"/>
        <v>15</v>
      </c>
      <c r="AF972" s="31">
        <f t="shared" ca="1" si="288"/>
        <v>14</v>
      </c>
      <c r="AG972" s="31">
        <f t="shared" ca="1" si="289"/>
        <v>36</v>
      </c>
      <c r="AH972" s="31">
        <f t="shared" ca="1" si="290"/>
        <v>44</v>
      </c>
      <c r="AI972" s="31">
        <f t="shared" ca="1" si="291"/>
        <v>15</v>
      </c>
      <c r="AJ972" s="31">
        <f t="shared" ca="1" si="292"/>
        <v>44</v>
      </c>
      <c r="AK972" s="31">
        <f t="shared" ca="1" si="293"/>
        <v>27</v>
      </c>
      <c r="AL972" s="31">
        <f t="shared" ca="1" si="294"/>
        <v>16</v>
      </c>
      <c r="AM972" s="31">
        <f t="shared" ca="1" si="295"/>
        <v>1</v>
      </c>
    </row>
    <row r="973" spans="14:39">
      <c r="N973" s="26">
        <v>965</v>
      </c>
      <c r="O973" s="30">
        <f t="shared" ca="1" si="284"/>
        <v>6.8596110029557291</v>
      </c>
      <c r="P973" s="30">
        <f t="shared" ca="1" si="284"/>
        <v>22.338040906389288</v>
      </c>
      <c r="Q973" s="30">
        <f t="shared" ca="1" si="284"/>
        <v>9.5884516100789643</v>
      </c>
      <c r="R973" s="30">
        <f t="shared" ca="1" si="284"/>
        <v>18.817901339622171</v>
      </c>
      <c r="S973" s="30">
        <f t="shared" ca="1" si="284"/>
        <v>31.550346330929898</v>
      </c>
      <c r="T973" s="30">
        <f t="shared" ca="1" si="284"/>
        <v>2.5631133900200584</v>
      </c>
      <c r="U973" s="30">
        <f t="shared" ca="1" si="284"/>
        <v>31.103187572653976</v>
      </c>
      <c r="V973" s="30">
        <f t="shared" ca="1" si="284"/>
        <v>17.837962696259648</v>
      </c>
      <c r="W973" s="30">
        <f t="shared" ca="1" si="284"/>
        <v>22.669028913960869</v>
      </c>
      <c r="X973" s="30">
        <f t="shared" ca="1" si="284"/>
        <v>8.510710494498694</v>
      </c>
      <c r="Y973" s="30">
        <f t="shared" ca="1" si="284"/>
        <v>16.123445990653604</v>
      </c>
      <c r="Z973" s="30">
        <f t="shared" ca="1" si="284"/>
        <v>4.2178446624453505</v>
      </c>
      <c r="AA973" s="26">
        <v>965</v>
      </c>
      <c r="AB973" s="31">
        <f t="shared" ca="1" si="296"/>
        <v>8</v>
      </c>
      <c r="AC973" s="31">
        <f t="shared" ca="1" si="285"/>
        <v>37</v>
      </c>
      <c r="AD973" s="31">
        <f t="shared" ca="1" si="286"/>
        <v>12</v>
      </c>
      <c r="AE973" s="31">
        <f t="shared" ca="1" si="287"/>
        <v>28</v>
      </c>
      <c r="AF973" s="31">
        <f t="shared" ca="1" si="288"/>
        <v>97</v>
      </c>
      <c r="AG973" s="31">
        <f t="shared" ca="1" si="289"/>
        <v>3</v>
      </c>
      <c r="AH973" s="31">
        <f t="shared" ca="1" si="290"/>
        <v>89</v>
      </c>
      <c r="AI973" s="31">
        <f t="shared" ca="1" si="291"/>
        <v>26</v>
      </c>
      <c r="AJ973" s="31">
        <f t="shared" ca="1" si="292"/>
        <v>38</v>
      </c>
      <c r="AK973" s="31">
        <f t="shared" ca="1" si="293"/>
        <v>10</v>
      </c>
      <c r="AL973" s="31">
        <f t="shared" ca="1" si="294"/>
        <v>22</v>
      </c>
      <c r="AM973" s="31">
        <f t="shared" ca="1" si="295"/>
        <v>5</v>
      </c>
    </row>
    <row r="974" spans="14:39">
      <c r="N974" s="26">
        <v>966</v>
      </c>
      <c r="O974" s="30">
        <f t="shared" ca="1" si="284"/>
        <v>27.013802403490644</v>
      </c>
      <c r="P974" s="30">
        <f t="shared" ca="1" si="284"/>
        <v>17.139378674339579</v>
      </c>
      <c r="Q974" s="30">
        <f t="shared" ca="1" si="284"/>
        <v>33.241109357028073</v>
      </c>
      <c r="R974" s="30">
        <f t="shared" ca="1" si="284"/>
        <v>5.1970469285364995</v>
      </c>
      <c r="S974" s="30">
        <f t="shared" ca="1" si="284"/>
        <v>19.60903492762905</v>
      </c>
      <c r="T974" s="30">
        <f t="shared" ca="1" si="284"/>
        <v>22.832062763128512</v>
      </c>
      <c r="U974" s="30">
        <f t="shared" ca="1" si="284"/>
        <v>16.095224373934215</v>
      </c>
      <c r="V974" s="30">
        <f t="shared" ca="1" si="284"/>
        <v>21.515000284714159</v>
      </c>
      <c r="W974" s="30">
        <f t="shared" ca="1" si="284"/>
        <v>9.1838879928594483</v>
      </c>
      <c r="X974" s="30">
        <f t="shared" ca="1" si="284"/>
        <v>1.4922457269270175</v>
      </c>
      <c r="Y974" s="30">
        <f t="shared" ca="1" si="284"/>
        <v>9.4215654206121879</v>
      </c>
      <c r="Z974" s="30">
        <f t="shared" ca="1" si="284"/>
        <v>14.885861110408152</v>
      </c>
      <c r="AA974" s="26">
        <v>966</v>
      </c>
      <c r="AB974" s="31">
        <f t="shared" ca="1" si="296"/>
        <v>55</v>
      </c>
      <c r="AC974" s="31">
        <f t="shared" ca="1" si="285"/>
        <v>24</v>
      </c>
      <c r="AD974" s="31">
        <f t="shared" ca="1" si="286"/>
        <v>194</v>
      </c>
      <c r="AE974" s="31">
        <f t="shared" ca="1" si="287"/>
        <v>6</v>
      </c>
      <c r="AF974" s="31">
        <f t="shared" ca="1" si="288"/>
        <v>30</v>
      </c>
      <c r="AG974" s="31">
        <f t="shared" ca="1" si="289"/>
        <v>38</v>
      </c>
      <c r="AH974" s="31">
        <f t="shared" ca="1" si="290"/>
        <v>22</v>
      </c>
      <c r="AI974" s="31">
        <f t="shared" ca="1" si="291"/>
        <v>35</v>
      </c>
      <c r="AJ974" s="31">
        <f t="shared" ca="1" si="292"/>
        <v>11</v>
      </c>
      <c r="AK974" s="31">
        <f t="shared" ca="1" si="293"/>
        <v>2</v>
      </c>
      <c r="AL974" s="31">
        <f t="shared" ca="1" si="294"/>
        <v>11</v>
      </c>
      <c r="AM974" s="31">
        <f t="shared" ca="1" si="295"/>
        <v>20</v>
      </c>
    </row>
    <row r="975" spans="14:39">
      <c r="N975" s="26">
        <v>967</v>
      </c>
      <c r="O975" s="30">
        <f t="shared" ca="1" si="284"/>
        <v>3.7464905530463381E-2</v>
      </c>
      <c r="P975" s="30">
        <f t="shared" ca="1" si="284"/>
        <v>26.044142985835343</v>
      </c>
      <c r="Q975" s="30">
        <f t="shared" ca="1" si="284"/>
        <v>23.520874496118594</v>
      </c>
      <c r="R975" s="30">
        <f t="shared" ca="1" si="284"/>
        <v>1.2496102737663821</v>
      </c>
      <c r="S975" s="30">
        <f t="shared" ca="1" si="284"/>
        <v>28.905554187194671</v>
      </c>
      <c r="T975" s="30">
        <f t="shared" ca="1" si="284"/>
        <v>23.101928514721706</v>
      </c>
      <c r="U975" s="30">
        <f t="shared" ca="1" si="284"/>
        <v>30.275470725296994</v>
      </c>
      <c r="V975" s="30">
        <f t="shared" ca="1" si="284"/>
        <v>19.34878702447903</v>
      </c>
      <c r="W975" s="30">
        <f t="shared" ca="1" si="284"/>
        <v>9.3815815707892938</v>
      </c>
      <c r="X975" s="30">
        <f t="shared" ca="1" si="284"/>
        <v>11.081395425559581</v>
      </c>
      <c r="Y975" s="30">
        <f t="shared" ca="1" si="284"/>
        <v>25.359591424241543</v>
      </c>
      <c r="Z975" s="30">
        <f t="shared" ca="1" si="284"/>
        <v>0.69075700482935209</v>
      </c>
      <c r="AA975" s="26">
        <v>967</v>
      </c>
      <c r="AB975" s="31">
        <f t="shared" ca="1" si="296"/>
        <v>1</v>
      </c>
      <c r="AC975" s="31">
        <f t="shared" ca="1" si="285"/>
        <v>50</v>
      </c>
      <c r="AD975" s="31">
        <f t="shared" ca="1" si="286"/>
        <v>41</v>
      </c>
      <c r="AE975" s="31">
        <f t="shared" ca="1" si="287"/>
        <v>2</v>
      </c>
      <c r="AF975" s="31">
        <f t="shared" ca="1" si="288"/>
        <v>67</v>
      </c>
      <c r="AG975" s="31">
        <f t="shared" ca="1" si="289"/>
        <v>39</v>
      </c>
      <c r="AH975" s="31">
        <f t="shared" ca="1" si="290"/>
        <v>79</v>
      </c>
      <c r="AI975" s="31">
        <f t="shared" ca="1" si="291"/>
        <v>29</v>
      </c>
      <c r="AJ975" s="31">
        <f t="shared" ca="1" si="292"/>
        <v>11</v>
      </c>
      <c r="AK975" s="31">
        <f t="shared" ca="1" si="293"/>
        <v>14</v>
      </c>
      <c r="AL975" s="31">
        <f t="shared" ca="1" si="294"/>
        <v>47</v>
      </c>
      <c r="AM975" s="31">
        <f t="shared" ca="1" si="295"/>
        <v>1</v>
      </c>
    </row>
    <row r="976" spans="14:39">
      <c r="N976" s="26">
        <v>968</v>
      </c>
      <c r="O976" s="30">
        <f t="shared" ca="1" si="284"/>
        <v>33.263265037567571</v>
      </c>
      <c r="P976" s="30">
        <f t="shared" ca="1" si="284"/>
        <v>28.736196872229979</v>
      </c>
      <c r="Q976" s="30">
        <f t="shared" ca="1" si="284"/>
        <v>6.9699200993505608</v>
      </c>
      <c r="R976" s="30">
        <f t="shared" ca="1" si="284"/>
        <v>4.5340097024306898</v>
      </c>
      <c r="S976" s="30">
        <f t="shared" ca="1" si="284"/>
        <v>19.660271678340653</v>
      </c>
      <c r="T976" s="30">
        <f t="shared" ca="1" si="284"/>
        <v>19.927967981944722</v>
      </c>
      <c r="U976" s="30">
        <f t="shared" ca="1" si="284"/>
        <v>29.197344173794519</v>
      </c>
      <c r="V976" s="30">
        <f t="shared" ca="1" si="284"/>
        <v>24.671717071249862</v>
      </c>
      <c r="W976" s="30">
        <f t="shared" ca="1" si="284"/>
        <v>0.91512982551969535</v>
      </c>
      <c r="X976" s="30">
        <f t="shared" ca="1" si="284"/>
        <v>5.7283972667883774</v>
      </c>
      <c r="Y976" s="30">
        <f t="shared" ca="1" si="284"/>
        <v>28.60942539252521</v>
      </c>
      <c r="Z976" s="30">
        <f t="shared" ca="1" si="284"/>
        <v>23.396663594855934</v>
      </c>
      <c r="AA976" s="26">
        <v>968</v>
      </c>
      <c r="AB976" s="31">
        <f t="shared" ca="1" si="296"/>
        <v>203</v>
      </c>
      <c r="AC976" s="31">
        <f t="shared" ca="1" si="285"/>
        <v>66</v>
      </c>
      <c r="AD976" s="31">
        <f t="shared" ca="1" si="286"/>
        <v>8</v>
      </c>
      <c r="AE976" s="31">
        <f t="shared" ca="1" si="287"/>
        <v>5</v>
      </c>
      <c r="AF976" s="31">
        <f t="shared" ca="1" si="288"/>
        <v>30</v>
      </c>
      <c r="AG976" s="31">
        <f t="shared" ca="1" si="289"/>
        <v>30</v>
      </c>
      <c r="AH976" s="31">
        <f t="shared" ca="1" si="290"/>
        <v>69</v>
      </c>
      <c r="AI976" s="31">
        <f t="shared" ca="1" si="291"/>
        <v>45</v>
      </c>
      <c r="AJ976" s="31">
        <f t="shared" ca="1" si="292"/>
        <v>1</v>
      </c>
      <c r="AK976" s="31">
        <f t="shared" ca="1" si="293"/>
        <v>7</v>
      </c>
      <c r="AL976" s="31">
        <f t="shared" ca="1" si="294"/>
        <v>65</v>
      </c>
      <c r="AM976" s="31">
        <f t="shared" ca="1" si="295"/>
        <v>40</v>
      </c>
    </row>
    <row r="977" spans="14:39">
      <c r="N977" s="26">
        <v>969</v>
      </c>
      <c r="O977" s="30">
        <f t="shared" ca="1" si="284"/>
        <v>30.773590623124765</v>
      </c>
      <c r="P977" s="30">
        <f t="shared" ca="1" si="284"/>
        <v>26.659598038373368</v>
      </c>
      <c r="Q977" s="30">
        <f t="shared" ca="1" si="284"/>
        <v>6.4503892245587586</v>
      </c>
      <c r="R977" s="30">
        <f t="shared" ca="1" si="284"/>
        <v>19.840105694762279</v>
      </c>
      <c r="S977" s="30">
        <f t="shared" ca="1" si="284"/>
        <v>4.6739491297898015</v>
      </c>
      <c r="T977" s="30">
        <f t="shared" ca="1" si="284"/>
        <v>5.4125964109364038</v>
      </c>
      <c r="U977" s="30">
        <f t="shared" ca="1" si="284"/>
        <v>19.828665423326157</v>
      </c>
      <c r="V977" s="30">
        <f t="shared" ca="1" si="284"/>
        <v>29.039955250947205</v>
      </c>
      <c r="W977" s="30">
        <f t="shared" ca="1" si="284"/>
        <v>23.273188307981258</v>
      </c>
      <c r="X977" s="30">
        <f t="shared" ca="1" si="284"/>
        <v>18.867629562996893</v>
      </c>
      <c r="Y977" s="30">
        <f t="shared" ca="1" si="284"/>
        <v>26.143361100569503</v>
      </c>
      <c r="Z977" s="30">
        <f t="shared" ca="1" si="284"/>
        <v>30.686756619051696</v>
      </c>
      <c r="AA977" s="26">
        <v>969</v>
      </c>
      <c r="AB977" s="31">
        <f t="shared" ca="1" si="296"/>
        <v>85</v>
      </c>
      <c r="AC977" s="31">
        <f t="shared" ca="1" si="285"/>
        <v>53</v>
      </c>
      <c r="AD977" s="31">
        <f t="shared" ca="1" si="286"/>
        <v>8</v>
      </c>
      <c r="AE977" s="31">
        <f t="shared" ca="1" si="287"/>
        <v>30</v>
      </c>
      <c r="AF977" s="31">
        <f t="shared" ca="1" si="288"/>
        <v>5</v>
      </c>
      <c r="AG977" s="31">
        <f t="shared" ca="1" si="289"/>
        <v>6</v>
      </c>
      <c r="AH977" s="31">
        <f t="shared" ca="1" si="290"/>
        <v>30</v>
      </c>
      <c r="AI977" s="31">
        <f t="shared" ca="1" si="291"/>
        <v>68</v>
      </c>
      <c r="AJ977" s="31">
        <f t="shared" ca="1" si="292"/>
        <v>40</v>
      </c>
      <c r="AK977" s="31">
        <f t="shared" ca="1" si="293"/>
        <v>28</v>
      </c>
      <c r="AL977" s="31">
        <f t="shared" ca="1" si="294"/>
        <v>51</v>
      </c>
      <c r="AM977" s="31">
        <f t="shared" ca="1" si="295"/>
        <v>84</v>
      </c>
    </row>
    <row r="978" spans="14:39">
      <c r="N978" s="26">
        <v>970</v>
      </c>
      <c r="O978" s="30">
        <f t="shared" ca="1" si="284"/>
        <v>3.8193212084237009</v>
      </c>
      <c r="P978" s="30">
        <f t="shared" ca="1" si="284"/>
        <v>18.064096302996845</v>
      </c>
      <c r="Q978" s="30">
        <f t="shared" ca="1" si="284"/>
        <v>12.257829226009937</v>
      </c>
      <c r="R978" s="30">
        <f t="shared" ca="1" si="284"/>
        <v>14.291254039551712</v>
      </c>
      <c r="S978" s="30">
        <f t="shared" ca="1" si="284"/>
        <v>26.470169502541818</v>
      </c>
      <c r="T978" s="30">
        <f t="shared" ca="1" si="284"/>
        <v>26.848672960587304</v>
      </c>
      <c r="U978" s="30">
        <f t="shared" ca="1" si="284"/>
        <v>31.161980433865718</v>
      </c>
      <c r="V978" s="30">
        <f t="shared" ca="1" si="284"/>
        <v>17.568556576377148</v>
      </c>
      <c r="W978" s="30">
        <f t="shared" ca="1" si="284"/>
        <v>21.016396239154087</v>
      </c>
      <c r="X978" s="30">
        <f t="shared" ca="1" si="284"/>
        <v>19.624134402604646</v>
      </c>
      <c r="Y978" s="30">
        <f t="shared" ca="1" si="284"/>
        <v>33.051420074794976</v>
      </c>
      <c r="Z978" s="30">
        <f t="shared" ca="1" si="284"/>
        <v>12.684385881262479</v>
      </c>
      <c r="AA978" s="26">
        <v>970</v>
      </c>
      <c r="AB978" s="31">
        <f t="shared" ca="1" si="296"/>
        <v>4</v>
      </c>
      <c r="AC978" s="31">
        <f t="shared" ca="1" si="285"/>
        <v>26</v>
      </c>
      <c r="AD978" s="31">
        <f t="shared" ca="1" si="286"/>
        <v>16</v>
      </c>
      <c r="AE978" s="31">
        <f t="shared" ca="1" si="287"/>
        <v>19</v>
      </c>
      <c r="AF978" s="31">
        <f t="shared" ca="1" si="288"/>
        <v>52</v>
      </c>
      <c r="AG978" s="31">
        <f t="shared" ca="1" si="289"/>
        <v>54</v>
      </c>
      <c r="AH978" s="31">
        <f t="shared" ca="1" si="290"/>
        <v>90</v>
      </c>
      <c r="AI978" s="31">
        <f t="shared" ca="1" si="291"/>
        <v>25</v>
      </c>
      <c r="AJ978" s="31">
        <f t="shared" ca="1" si="292"/>
        <v>33</v>
      </c>
      <c r="AK978" s="31">
        <f t="shared" ca="1" si="293"/>
        <v>30</v>
      </c>
      <c r="AL978" s="31">
        <f t="shared" ca="1" si="294"/>
        <v>157</v>
      </c>
      <c r="AM978" s="31">
        <f t="shared" ca="1" si="295"/>
        <v>16</v>
      </c>
    </row>
    <row r="979" spans="14:39">
      <c r="N979" s="26">
        <v>971</v>
      </c>
      <c r="O979" s="30">
        <f t="shared" ref="O979:Z988" ca="1" si="297">RAND()*sumweights</f>
        <v>8.1124063789918246</v>
      </c>
      <c r="P979" s="30">
        <f t="shared" ca="1" si="297"/>
        <v>10.226849402993693</v>
      </c>
      <c r="Q979" s="30">
        <f t="shared" ca="1" si="297"/>
        <v>19.219704181510114</v>
      </c>
      <c r="R979" s="30">
        <f t="shared" ca="1" si="297"/>
        <v>26.14014310919687</v>
      </c>
      <c r="S979" s="30">
        <f t="shared" ca="1" si="297"/>
        <v>14.795662874057657</v>
      </c>
      <c r="T979" s="30">
        <f t="shared" ca="1" si="297"/>
        <v>28.96968691689796</v>
      </c>
      <c r="U979" s="30">
        <f t="shared" ca="1" si="297"/>
        <v>29.953005911852124</v>
      </c>
      <c r="V979" s="30">
        <f t="shared" ca="1" si="297"/>
        <v>24.804228071979384</v>
      </c>
      <c r="W979" s="30">
        <f t="shared" ca="1" si="297"/>
        <v>29.02043802897208</v>
      </c>
      <c r="X979" s="30">
        <f t="shared" ca="1" si="297"/>
        <v>3.8541080836158712</v>
      </c>
      <c r="Y979" s="30">
        <f t="shared" ca="1" si="297"/>
        <v>5.8808762271852002</v>
      </c>
      <c r="Z979" s="30">
        <f t="shared" ca="1" si="297"/>
        <v>23.335203539619322</v>
      </c>
      <c r="AA979" s="26">
        <v>971</v>
      </c>
      <c r="AB979" s="31">
        <f t="shared" ca="1" si="296"/>
        <v>10</v>
      </c>
      <c r="AC979" s="31">
        <f t="shared" ca="1" si="285"/>
        <v>13</v>
      </c>
      <c r="AD979" s="31">
        <f t="shared" ca="1" si="286"/>
        <v>29</v>
      </c>
      <c r="AE979" s="31">
        <f t="shared" ca="1" si="287"/>
        <v>51</v>
      </c>
      <c r="AF979" s="31">
        <f t="shared" ca="1" si="288"/>
        <v>20</v>
      </c>
      <c r="AG979" s="31">
        <f t="shared" ca="1" si="289"/>
        <v>67</v>
      </c>
      <c r="AH979" s="31">
        <f t="shared" ca="1" si="290"/>
        <v>76</v>
      </c>
      <c r="AI979" s="31">
        <f t="shared" ca="1" si="291"/>
        <v>45</v>
      </c>
      <c r="AJ979" s="31">
        <f t="shared" ca="1" si="292"/>
        <v>68</v>
      </c>
      <c r="AK979" s="31">
        <f t="shared" ca="1" si="293"/>
        <v>5</v>
      </c>
      <c r="AL979" s="31">
        <f t="shared" ca="1" si="294"/>
        <v>7</v>
      </c>
      <c r="AM979" s="31">
        <f t="shared" ca="1" si="295"/>
        <v>40</v>
      </c>
    </row>
    <row r="980" spans="14:39">
      <c r="N980" s="26">
        <v>972</v>
      </c>
      <c r="O980" s="30">
        <f t="shared" ca="1" si="297"/>
        <v>15.125911210569679</v>
      </c>
      <c r="P980" s="30">
        <f t="shared" ca="1" si="297"/>
        <v>6.2022498720979309</v>
      </c>
      <c r="Q980" s="30">
        <f t="shared" ca="1" si="297"/>
        <v>15.218433490422282</v>
      </c>
      <c r="R980" s="30">
        <f t="shared" ca="1" si="297"/>
        <v>25.767296522349568</v>
      </c>
      <c r="S980" s="30">
        <f t="shared" ca="1" si="297"/>
        <v>23.305906050460113</v>
      </c>
      <c r="T980" s="30">
        <f t="shared" ca="1" si="297"/>
        <v>20.7052935787321</v>
      </c>
      <c r="U980" s="30">
        <f t="shared" ca="1" si="297"/>
        <v>5.1636982030799983</v>
      </c>
      <c r="V980" s="30">
        <f t="shared" ca="1" si="297"/>
        <v>0.3391572946939162</v>
      </c>
      <c r="W980" s="30">
        <f t="shared" ca="1" si="297"/>
        <v>5.4985655608194666</v>
      </c>
      <c r="X980" s="30">
        <f t="shared" ca="1" si="297"/>
        <v>2.9459687796227003</v>
      </c>
      <c r="Y980" s="30">
        <f t="shared" ca="1" si="297"/>
        <v>6.8344413381336455</v>
      </c>
      <c r="Z980" s="30">
        <f t="shared" ca="1" si="297"/>
        <v>18.401659401011646</v>
      </c>
      <c r="AA980" s="26">
        <v>972</v>
      </c>
      <c r="AB980" s="31">
        <f t="shared" ca="1" si="296"/>
        <v>20</v>
      </c>
      <c r="AC980" s="31">
        <f t="shared" ca="1" si="285"/>
        <v>7</v>
      </c>
      <c r="AD980" s="31">
        <f t="shared" ca="1" si="286"/>
        <v>21</v>
      </c>
      <c r="AE980" s="31">
        <f t="shared" ca="1" si="287"/>
        <v>49</v>
      </c>
      <c r="AF980" s="31">
        <f t="shared" ca="1" si="288"/>
        <v>40</v>
      </c>
      <c r="AG980" s="31">
        <f t="shared" ca="1" si="289"/>
        <v>32</v>
      </c>
      <c r="AH980" s="31">
        <f t="shared" ca="1" si="290"/>
        <v>6</v>
      </c>
      <c r="AI980" s="31">
        <f t="shared" ca="1" si="291"/>
        <v>1</v>
      </c>
      <c r="AJ980" s="31">
        <f t="shared" ca="1" si="292"/>
        <v>6</v>
      </c>
      <c r="AK980" s="31">
        <f t="shared" ca="1" si="293"/>
        <v>4</v>
      </c>
      <c r="AL980" s="31">
        <f t="shared" ca="1" si="294"/>
        <v>8</v>
      </c>
      <c r="AM980" s="31">
        <f t="shared" ca="1" si="295"/>
        <v>27</v>
      </c>
    </row>
    <row r="981" spans="14:39">
      <c r="N981" s="26">
        <v>973</v>
      </c>
      <c r="O981" s="30">
        <f t="shared" ca="1" si="297"/>
        <v>18.404909810436695</v>
      </c>
      <c r="P981" s="30">
        <f t="shared" ca="1" si="297"/>
        <v>4.8138281121957167</v>
      </c>
      <c r="Q981" s="30">
        <f t="shared" ca="1" si="297"/>
        <v>29.86086906641529</v>
      </c>
      <c r="R981" s="30">
        <f t="shared" ca="1" si="297"/>
        <v>4.209864205642484</v>
      </c>
      <c r="S981" s="30">
        <f t="shared" ca="1" si="297"/>
        <v>31.183016078236381</v>
      </c>
      <c r="T981" s="30">
        <f t="shared" ca="1" si="297"/>
        <v>15.546110159876225</v>
      </c>
      <c r="U981" s="30">
        <f t="shared" ca="1" si="297"/>
        <v>9.3701778451016455</v>
      </c>
      <c r="V981" s="30">
        <f t="shared" ca="1" si="297"/>
        <v>27.435776232840222</v>
      </c>
      <c r="W981" s="30">
        <f t="shared" ca="1" si="297"/>
        <v>16.470709514369467</v>
      </c>
      <c r="X981" s="30">
        <f t="shared" ca="1" si="297"/>
        <v>31.971464188606969</v>
      </c>
      <c r="Y981" s="30">
        <f t="shared" ca="1" si="297"/>
        <v>16.623477936576645</v>
      </c>
      <c r="Z981" s="30">
        <f t="shared" ca="1" si="297"/>
        <v>25.728120152305692</v>
      </c>
      <c r="AA981" s="26">
        <v>973</v>
      </c>
      <c r="AB981" s="31">
        <f t="shared" ca="1" si="296"/>
        <v>27</v>
      </c>
      <c r="AC981" s="31">
        <f t="shared" ca="1" si="285"/>
        <v>6</v>
      </c>
      <c r="AD981" s="31">
        <f t="shared" ca="1" si="286"/>
        <v>75</v>
      </c>
      <c r="AE981" s="31">
        <f t="shared" ca="1" si="287"/>
        <v>5</v>
      </c>
      <c r="AF981" s="31">
        <f t="shared" ca="1" si="288"/>
        <v>90</v>
      </c>
      <c r="AG981" s="31">
        <f t="shared" ca="1" si="289"/>
        <v>21</v>
      </c>
      <c r="AH981" s="31">
        <f t="shared" ca="1" si="290"/>
        <v>11</v>
      </c>
      <c r="AI981" s="31">
        <f t="shared" ca="1" si="291"/>
        <v>57</v>
      </c>
      <c r="AJ981" s="31">
        <f t="shared" ca="1" si="292"/>
        <v>23</v>
      </c>
      <c r="AK981" s="31">
        <f t="shared" ca="1" si="293"/>
        <v>105</v>
      </c>
      <c r="AL981" s="31">
        <f t="shared" ca="1" si="294"/>
        <v>23</v>
      </c>
      <c r="AM981" s="31">
        <f t="shared" ca="1" si="295"/>
        <v>49</v>
      </c>
    </row>
    <row r="982" spans="14:39">
      <c r="N982" s="26">
        <v>974</v>
      </c>
      <c r="O982" s="30">
        <f t="shared" ca="1" si="297"/>
        <v>24.962054695317168</v>
      </c>
      <c r="P982" s="30">
        <f t="shared" ca="1" si="297"/>
        <v>0.34535956907362758</v>
      </c>
      <c r="Q982" s="30">
        <f t="shared" ca="1" si="297"/>
        <v>11.611059045327648</v>
      </c>
      <c r="R982" s="30">
        <f t="shared" ca="1" si="297"/>
        <v>11.300253750554351</v>
      </c>
      <c r="S982" s="30">
        <f t="shared" ca="1" si="297"/>
        <v>24.976156109499655</v>
      </c>
      <c r="T982" s="30">
        <f t="shared" ca="1" si="297"/>
        <v>11.318959206762704</v>
      </c>
      <c r="U982" s="30">
        <f t="shared" ca="1" si="297"/>
        <v>31.552322729653209</v>
      </c>
      <c r="V982" s="30">
        <f t="shared" ca="1" si="297"/>
        <v>16.364055019425155</v>
      </c>
      <c r="W982" s="30">
        <f t="shared" ca="1" si="297"/>
        <v>14.949447838090432</v>
      </c>
      <c r="X982" s="30">
        <f t="shared" ca="1" si="297"/>
        <v>3.3896354002576046</v>
      </c>
      <c r="Y982" s="30">
        <f t="shared" ca="1" si="297"/>
        <v>26.57910742731854</v>
      </c>
      <c r="Z982" s="30">
        <f t="shared" ca="1" si="297"/>
        <v>13.871606428656319</v>
      </c>
      <c r="AA982" s="26">
        <v>974</v>
      </c>
      <c r="AB982" s="31">
        <f t="shared" ca="1" si="296"/>
        <v>46</v>
      </c>
      <c r="AC982" s="31">
        <f t="shared" ca="1" si="285"/>
        <v>1</v>
      </c>
      <c r="AD982" s="31">
        <f t="shared" ca="1" si="286"/>
        <v>15</v>
      </c>
      <c r="AE982" s="31">
        <f t="shared" ca="1" si="287"/>
        <v>14</v>
      </c>
      <c r="AF982" s="31">
        <f t="shared" ca="1" si="288"/>
        <v>46</v>
      </c>
      <c r="AG982" s="31">
        <f t="shared" ca="1" si="289"/>
        <v>14</v>
      </c>
      <c r="AH982" s="31">
        <f t="shared" ca="1" si="290"/>
        <v>97</v>
      </c>
      <c r="AI982" s="31">
        <f t="shared" ca="1" si="291"/>
        <v>23</v>
      </c>
      <c r="AJ982" s="31">
        <f t="shared" ca="1" si="292"/>
        <v>20</v>
      </c>
      <c r="AK982" s="31">
        <f t="shared" ca="1" si="293"/>
        <v>4</v>
      </c>
      <c r="AL982" s="31">
        <f t="shared" ca="1" si="294"/>
        <v>53</v>
      </c>
      <c r="AM982" s="31">
        <f t="shared" ca="1" si="295"/>
        <v>18</v>
      </c>
    </row>
    <row r="983" spans="14:39">
      <c r="N983" s="26">
        <v>975</v>
      </c>
      <c r="O983" s="30">
        <f t="shared" ca="1" si="297"/>
        <v>12.691956313307893</v>
      </c>
      <c r="P983" s="30">
        <f t="shared" ca="1" si="297"/>
        <v>30.592256322603998</v>
      </c>
      <c r="Q983" s="30">
        <f t="shared" ca="1" si="297"/>
        <v>30.152834643128589</v>
      </c>
      <c r="R983" s="30">
        <f t="shared" ca="1" si="297"/>
        <v>28.635519417343392</v>
      </c>
      <c r="S983" s="30">
        <f t="shared" ca="1" si="297"/>
        <v>15.280851715267065</v>
      </c>
      <c r="T983" s="30">
        <f t="shared" ca="1" si="297"/>
        <v>12.276846220825297</v>
      </c>
      <c r="U983" s="30">
        <f t="shared" ca="1" si="297"/>
        <v>22.076561080512995</v>
      </c>
      <c r="V983" s="30">
        <f t="shared" ca="1" si="297"/>
        <v>18.190627569050715</v>
      </c>
      <c r="W983" s="30">
        <f t="shared" ca="1" si="297"/>
        <v>6.4594014114341878</v>
      </c>
      <c r="X983" s="30">
        <f t="shared" ca="1" si="297"/>
        <v>20.712496792457333</v>
      </c>
      <c r="Y983" s="30">
        <f t="shared" ca="1" si="297"/>
        <v>26.06749043951589</v>
      </c>
      <c r="Z983" s="30">
        <f t="shared" ca="1" si="297"/>
        <v>5.9341008206882586</v>
      </c>
      <c r="AA983" s="26">
        <v>975</v>
      </c>
      <c r="AB983" s="31">
        <f t="shared" ca="1" si="296"/>
        <v>16</v>
      </c>
      <c r="AC983" s="31">
        <f t="shared" ca="1" si="285"/>
        <v>83</v>
      </c>
      <c r="AD983" s="31">
        <f t="shared" ca="1" si="286"/>
        <v>78</v>
      </c>
      <c r="AE983" s="31">
        <f t="shared" ca="1" si="287"/>
        <v>65</v>
      </c>
      <c r="AF983" s="31">
        <f t="shared" ca="1" si="288"/>
        <v>21</v>
      </c>
      <c r="AG983" s="31">
        <f t="shared" ca="1" si="289"/>
        <v>16</v>
      </c>
      <c r="AH983" s="31">
        <f t="shared" ca="1" si="290"/>
        <v>36</v>
      </c>
      <c r="AI983" s="31">
        <f t="shared" ca="1" si="291"/>
        <v>26</v>
      </c>
      <c r="AJ983" s="31">
        <f t="shared" ca="1" si="292"/>
        <v>8</v>
      </c>
      <c r="AK983" s="31">
        <f t="shared" ca="1" si="293"/>
        <v>32</v>
      </c>
      <c r="AL983" s="31">
        <f t="shared" ca="1" si="294"/>
        <v>51</v>
      </c>
      <c r="AM983" s="31">
        <f t="shared" ca="1" si="295"/>
        <v>7</v>
      </c>
    </row>
    <row r="984" spans="14:39">
      <c r="N984" s="26">
        <v>976</v>
      </c>
      <c r="O984" s="30">
        <f t="shared" ca="1" si="297"/>
        <v>13.826667998855667</v>
      </c>
      <c r="P984" s="30">
        <f t="shared" ca="1" si="297"/>
        <v>26.488910519717045</v>
      </c>
      <c r="Q984" s="30">
        <f t="shared" ca="1" si="297"/>
        <v>12.966362836266148</v>
      </c>
      <c r="R984" s="30">
        <f t="shared" ca="1" si="297"/>
        <v>32.209996821120974</v>
      </c>
      <c r="S984" s="30">
        <f t="shared" ca="1" si="297"/>
        <v>11.769557930798671</v>
      </c>
      <c r="T984" s="30">
        <f t="shared" ca="1" si="297"/>
        <v>9.898054204764529</v>
      </c>
      <c r="U984" s="30">
        <f t="shared" ca="1" si="297"/>
        <v>1.1129340586891818</v>
      </c>
      <c r="V984" s="30">
        <f t="shared" ca="1" si="297"/>
        <v>14.104763579954934</v>
      </c>
      <c r="W984" s="30">
        <f t="shared" ca="1" si="297"/>
        <v>13.919851718710888</v>
      </c>
      <c r="X984" s="30">
        <f t="shared" ca="1" si="297"/>
        <v>10.077280243506815</v>
      </c>
      <c r="Y984" s="30">
        <f t="shared" ca="1" si="297"/>
        <v>25.224207970660004</v>
      </c>
      <c r="Z984" s="30">
        <f t="shared" ca="1" si="297"/>
        <v>13.043099463926938</v>
      </c>
      <c r="AA984" s="26">
        <v>976</v>
      </c>
      <c r="AB984" s="31">
        <f t="shared" ca="1" si="296"/>
        <v>18</v>
      </c>
      <c r="AC984" s="31">
        <f t="shared" ca="1" si="285"/>
        <v>52</v>
      </c>
      <c r="AD984" s="31">
        <f t="shared" ca="1" si="286"/>
        <v>17</v>
      </c>
      <c r="AE984" s="31">
        <f t="shared" ca="1" si="287"/>
        <v>112</v>
      </c>
      <c r="AF984" s="31">
        <f t="shared" ca="1" si="288"/>
        <v>15</v>
      </c>
      <c r="AG984" s="31">
        <f t="shared" ca="1" si="289"/>
        <v>12</v>
      </c>
      <c r="AH984" s="31">
        <f t="shared" ca="1" si="290"/>
        <v>2</v>
      </c>
      <c r="AI984" s="31">
        <f t="shared" ca="1" si="291"/>
        <v>19</v>
      </c>
      <c r="AJ984" s="31">
        <f t="shared" ca="1" si="292"/>
        <v>18</v>
      </c>
      <c r="AK984" s="31">
        <f t="shared" ca="1" si="293"/>
        <v>12</v>
      </c>
      <c r="AL984" s="31">
        <f t="shared" ca="1" si="294"/>
        <v>47</v>
      </c>
      <c r="AM984" s="31">
        <f t="shared" ca="1" si="295"/>
        <v>17</v>
      </c>
    </row>
    <row r="985" spans="14:39">
      <c r="N985" s="26">
        <v>977</v>
      </c>
      <c r="O985" s="30">
        <f t="shared" ca="1" si="297"/>
        <v>0.75384692171853074</v>
      </c>
      <c r="P985" s="30">
        <f t="shared" ca="1" si="297"/>
        <v>20.037580832973024</v>
      </c>
      <c r="Q985" s="30">
        <f t="shared" ca="1" si="297"/>
        <v>27.020863889724346</v>
      </c>
      <c r="R985" s="30">
        <f t="shared" ca="1" si="297"/>
        <v>32.195543295645599</v>
      </c>
      <c r="S985" s="30">
        <f t="shared" ca="1" si="297"/>
        <v>22.664100566974689</v>
      </c>
      <c r="T985" s="30">
        <f t="shared" ca="1" si="297"/>
        <v>16.238748834148062</v>
      </c>
      <c r="U985" s="30">
        <f t="shared" ca="1" si="297"/>
        <v>14.519007537158469</v>
      </c>
      <c r="V985" s="30">
        <f t="shared" ca="1" si="297"/>
        <v>18.678991136227058</v>
      </c>
      <c r="W985" s="30">
        <f t="shared" ca="1" si="297"/>
        <v>0.30430250033388545</v>
      </c>
      <c r="X985" s="30">
        <f t="shared" ca="1" si="297"/>
        <v>11.501758892126931</v>
      </c>
      <c r="Y985" s="30">
        <f t="shared" ca="1" si="297"/>
        <v>11.296733995131287</v>
      </c>
      <c r="Z985" s="30">
        <f t="shared" ca="1" si="297"/>
        <v>33.26531841179748</v>
      </c>
      <c r="AA985" s="26">
        <v>977</v>
      </c>
      <c r="AB985" s="31">
        <f t="shared" ca="1" si="296"/>
        <v>1</v>
      </c>
      <c r="AC985" s="31">
        <f t="shared" ca="1" si="285"/>
        <v>31</v>
      </c>
      <c r="AD985" s="31">
        <f t="shared" ca="1" si="286"/>
        <v>55</v>
      </c>
      <c r="AE985" s="31">
        <f t="shared" ca="1" si="287"/>
        <v>111</v>
      </c>
      <c r="AF985" s="31">
        <f t="shared" ca="1" si="288"/>
        <v>38</v>
      </c>
      <c r="AG985" s="31">
        <f t="shared" ca="1" si="289"/>
        <v>22</v>
      </c>
      <c r="AH985" s="31">
        <f t="shared" ca="1" si="290"/>
        <v>19</v>
      </c>
      <c r="AI985" s="31">
        <f t="shared" ca="1" si="291"/>
        <v>27</v>
      </c>
      <c r="AJ985" s="31">
        <f t="shared" ca="1" si="292"/>
        <v>1</v>
      </c>
      <c r="AK985" s="31">
        <f t="shared" ca="1" si="293"/>
        <v>14</v>
      </c>
      <c r="AL985" s="31">
        <f t="shared" ca="1" si="294"/>
        <v>14</v>
      </c>
      <c r="AM985" s="31">
        <f t="shared" ca="1" si="295"/>
        <v>204</v>
      </c>
    </row>
    <row r="986" spans="14:39">
      <c r="N986" s="26">
        <v>978</v>
      </c>
      <c r="O986" s="30">
        <f t="shared" ca="1" si="297"/>
        <v>27.004152441895215</v>
      </c>
      <c r="P986" s="30">
        <f t="shared" ca="1" si="297"/>
        <v>26.015455852201733</v>
      </c>
      <c r="Q986" s="30">
        <f t="shared" ca="1" si="297"/>
        <v>22.21846003200902</v>
      </c>
      <c r="R986" s="30">
        <f t="shared" ca="1" si="297"/>
        <v>10.564237635745481</v>
      </c>
      <c r="S986" s="30">
        <f t="shared" ca="1" si="297"/>
        <v>10.965598975302482</v>
      </c>
      <c r="T986" s="30">
        <f t="shared" ca="1" si="297"/>
        <v>12.497839594412588</v>
      </c>
      <c r="U986" s="30">
        <f t="shared" ca="1" si="297"/>
        <v>3.9200667702527894</v>
      </c>
      <c r="V986" s="30">
        <f t="shared" ca="1" si="297"/>
        <v>10.693526272769947</v>
      </c>
      <c r="W986" s="30">
        <f t="shared" ca="1" si="297"/>
        <v>19.947301598771652</v>
      </c>
      <c r="X986" s="30">
        <f t="shared" ca="1" si="297"/>
        <v>8.5617833349857424</v>
      </c>
      <c r="Y986" s="30">
        <f t="shared" ca="1" si="297"/>
        <v>28.367337967333011</v>
      </c>
      <c r="Z986" s="30">
        <f t="shared" ca="1" si="297"/>
        <v>11.077798030548127</v>
      </c>
      <c r="AA986" s="26">
        <v>978</v>
      </c>
      <c r="AB986" s="31">
        <f t="shared" ca="1" si="296"/>
        <v>55</v>
      </c>
      <c r="AC986" s="31">
        <f t="shared" ca="1" si="285"/>
        <v>50</v>
      </c>
      <c r="AD986" s="31">
        <f t="shared" ca="1" si="286"/>
        <v>37</v>
      </c>
      <c r="AE986" s="31">
        <f t="shared" ca="1" si="287"/>
        <v>13</v>
      </c>
      <c r="AF986" s="31">
        <f t="shared" ca="1" si="288"/>
        <v>14</v>
      </c>
      <c r="AG986" s="31">
        <f t="shared" ca="1" si="289"/>
        <v>16</v>
      </c>
      <c r="AH986" s="31">
        <f t="shared" ca="1" si="290"/>
        <v>5</v>
      </c>
      <c r="AI986" s="31">
        <f t="shared" ca="1" si="291"/>
        <v>13</v>
      </c>
      <c r="AJ986" s="31">
        <f t="shared" ca="1" si="292"/>
        <v>30</v>
      </c>
      <c r="AK986" s="31">
        <f t="shared" ca="1" si="293"/>
        <v>10</v>
      </c>
      <c r="AL986" s="31">
        <f t="shared" ca="1" si="294"/>
        <v>63</v>
      </c>
      <c r="AM986" s="31">
        <f t="shared" ca="1" si="295"/>
        <v>14</v>
      </c>
    </row>
    <row r="987" spans="14:39">
      <c r="N987" s="26">
        <v>979</v>
      </c>
      <c r="O987" s="30">
        <f t="shared" ca="1" si="297"/>
        <v>32.243116825374628</v>
      </c>
      <c r="P987" s="30">
        <f t="shared" ca="1" si="297"/>
        <v>15.575241108677877</v>
      </c>
      <c r="Q987" s="30">
        <f t="shared" ca="1" si="297"/>
        <v>8.0045923735661972</v>
      </c>
      <c r="R987" s="30">
        <f t="shared" ca="1" si="297"/>
        <v>32.767607206267201</v>
      </c>
      <c r="S987" s="30">
        <f t="shared" ca="1" si="297"/>
        <v>12.7292554923027</v>
      </c>
      <c r="T987" s="30">
        <f t="shared" ca="1" si="297"/>
        <v>4.6805635249603981</v>
      </c>
      <c r="U987" s="30">
        <f t="shared" ca="1" si="297"/>
        <v>29.147979972420625</v>
      </c>
      <c r="V987" s="30">
        <f t="shared" ca="1" si="297"/>
        <v>26.603665318453189</v>
      </c>
      <c r="W987" s="30">
        <f t="shared" ca="1" si="297"/>
        <v>18.80437141623257</v>
      </c>
      <c r="X987" s="30">
        <f t="shared" ca="1" si="297"/>
        <v>31.144916924364328</v>
      </c>
      <c r="Y987" s="30">
        <f t="shared" ca="1" si="297"/>
        <v>28.642357628063838</v>
      </c>
      <c r="Z987" s="30">
        <f t="shared" ca="1" si="297"/>
        <v>11.541746388549981</v>
      </c>
      <c r="AA987" s="26">
        <v>979</v>
      </c>
      <c r="AB987" s="31">
        <f t="shared" ca="1" si="296"/>
        <v>113</v>
      </c>
      <c r="AC987" s="31">
        <f t="shared" ca="1" si="285"/>
        <v>21</v>
      </c>
      <c r="AD987" s="31">
        <f t="shared" ca="1" si="286"/>
        <v>10</v>
      </c>
      <c r="AE987" s="31">
        <f t="shared" ca="1" si="287"/>
        <v>134</v>
      </c>
      <c r="AF987" s="31">
        <f t="shared" ca="1" si="288"/>
        <v>16</v>
      </c>
      <c r="AG987" s="31">
        <f t="shared" ca="1" si="289"/>
        <v>5</v>
      </c>
      <c r="AH987" s="31">
        <f t="shared" ca="1" si="290"/>
        <v>69</v>
      </c>
      <c r="AI987" s="31">
        <f t="shared" ca="1" si="291"/>
        <v>53</v>
      </c>
      <c r="AJ987" s="31">
        <f t="shared" ca="1" si="292"/>
        <v>28</v>
      </c>
      <c r="AK987" s="31">
        <f t="shared" ca="1" si="293"/>
        <v>90</v>
      </c>
      <c r="AL987" s="31">
        <f t="shared" ca="1" si="294"/>
        <v>65</v>
      </c>
      <c r="AM987" s="31">
        <f t="shared" ca="1" si="295"/>
        <v>14</v>
      </c>
    </row>
    <row r="988" spans="14:39">
      <c r="N988" s="26">
        <v>980</v>
      </c>
      <c r="O988" s="30">
        <f t="shared" ca="1" si="297"/>
        <v>13.972063307075299</v>
      </c>
      <c r="P988" s="30">
        <f t="shared" ca="1" si="297"/>
        <v>19.456748607752473</v>
      </c>
      <c r="Q988" s="30">
        <f t="shared" ca="1" si="297"/>
        <v>22.674448774921945</v>
      </c>
      <c r="R988" s="30">
        <f t="shared" ca="1" si="297"/>
        <v>17.175504183511819</v>
      </c>
      <c r="S988" s="30">
        <f t="shared" ca="1" si="297"/>
        <v>31.866347910222387</v>
      </c>
      <c r="T988" s="30">
        <f t="shared" ca="1" si="297"/>
        <v>10.231440451585708</v>
      </c>
      <c r="U988" s="30">
        <f t="shared" ca="1" si="297"/>
        <v>12.667751801933811</v>
      </c>
      <c r="V988" s="30">
        <f t="shared" ca="1" si="297"/>
        <v>3.7802028041024567</v>
      </c>
      <c r="W988" s="30">
        <f t="shared" ca="1" si="297"/>
        <v>24.060167562328157</v>
      </c>
      <c r="X988" s="30">
        <f t="shared" ca="1" si="297"/>
        <v>12.332373966185258</v>
      </c>
      <c r="Y988" s="30">
        <f t="shared" ca="1" si="297"/>
        <v>22.280746311544743</v>
      </c>
      <c r="Z988" s="30">
        <f t="shared" ca="1" si="297"/>
        <v>30.493426367220689</v>
      </c>
      <c r="AA988" s="26">
        <v>980</v>
      </c>
      <c r="AB988" s="31">
        <f t="shared" ca="1" si="296"/>
        <v>18</v>
      </c>
      <c r="AC988" s="31">
        <f t="shared" ca="1" si="285"/>
        <v>29</v>
      </c>
      <c r="AD988" s="31">
        <f t="shared" ca="1" si="286"/>
        <v>38</v>
      </c>
      <c r="AE988" s="31">
        <f t="shared" ca="1" si="287"/>
        <v>24</v>
      </c>
      <c r="AF988" s="31">
        <f t="shared" ca="1" si="288"/>
        <v>103</v>
      </c>
      <c r="AG988" s="31">
        <f t="shared" ca="1" si="289"/>
        <v>13</v>
      </c>
      <c r="AH988" s="31">
        <f t="shared" ca="1" si="290"/>
        <v>16</v>
      </c>
      <c r="AI988" s="31">
        <f t="shared" ca="1" si="291"/>
        <v>4</v>
      </c>
      <c r="AJ988" s="31">
        <f t="shared" ca="1" si="292"/>
        <v>43</v>
      </c>
      <c r="AK988" s="31">
        <f t="shared" ca="1" si="293"/>
        <v>16</v>
      </c>
      <c r="AL988" s="31">
        <f t="shared" ca="1" si="294"/>
        <v>37</v>
      </c>
      <c r="AM988" s="31">
        <f t="shared" ca="1" si="295"/>
        <v>81</v>
      </c>
    </row>
    <row r="989" spans="14:39">
      <c r="N989" s="26">
        <v>981</v>
      </c>
      <c r="O989" s="30">
        <f t="shared" ref="O989:Z998" ca="1" si="298">RAND()*sumweights</f>
        <v>23.087633516460656</v>
      </c>
      <c r="P989" s="30">
        <f t="shared" ca="1" si="298"/>
        <v>30.714898561444723</v>
      </c>
      <c r="Q989" s="30">
        <f t="shared" ca="1" si="298"/>
        <v>33.059202987689083</v>
      </c>
      <c r="R989" s="30">
        <f t="shared" ca="1" si="298"/>
        <v>6.66510839417949</v>
      </c>
      <c r="S989" s="30">
        <f t="shared" ca="1" si="298"/>
        <v>16.91191770427341</v>
      </c>
      <c r="T989" s="30">
        <f t="shared" ca="1" si="298"/>
        <v>5.3708884816864435</v>
      </c>
      <c r="U989" s="30">
        <f t="shared" ca="1" si="298"/>
        <v>17.574098056464312</v>
      </c>
      <c r="V989" s="30">
        <f t="shared" ca="1" si="298"/>
        <v>11.853538014074879</v>
      </c>
      <c r="W989" s="30">
        <f t="shared" ca="1" si="298"/>
        <v>0.80942996288226599</v>
      </c>
      <c r="X989" s="30">
        <f t="shared" ca="1" si="298"/>
        <v>4.7704852553867525</v>
      </c>
      <c r="Y989" s="30">
        <f t="shared" ca="1" si="298"/>
        <v>6.853152272831184</v>
      </c>
      <c r="Z989" s="30">
        <f t="shared" ca="1" si="298"/>
        <v>7.8697234293534191</v>
      </c>
      <c r="AA989" s="26">
        <v>981</v>
      </c>
      <c r="AB989" s="31">
        <f t="shared" ca="1" si="296"/>
        <v>39</v>
      </c>
      <c r="AC989" s="31">
        <f t="shared" ca="1" si="285"/>
        <v>84</v>
      </c>
      <c r="AD989" s="31">
        <f t="shared" ca="1" si="286"/>
        <v>158</v>
      </c>
      <c r="AE989" s="31">
        <f t="shared" ca="1" si="287"/>
        <v>8</v>
      </c>
      <c r="AF989" s="31">
        <f t="shared" ca="1" si="288"/>
        <v>24</v>
      </c>
      <c r="AG989" s="31">
        <f t="shared" ca="1" si="289"/>
        <v>6</v>
      </c>
      <c r="AH989" s="31">
        <f t="shared" ca="1" si="290"/>
        <v>25</v>
      </c>
      <c r="AI989" s="31">
        <f t="shared" ca="1" si="291"/>
        <v>15</v>
      </c>
      <c r="AJ989" s="31">
        <f t="shared" ca="1" si="292"/>
        <v>1</v>
      </c>
      <c r="AK989" s="31">
        <f t="shared" ca="1" si="293"/>
        <v>6</v>
      </c>
      <c r="AL989" s="31">
        <f t="shared" ca="1" si="294"/>
        <v>8</v>
      </c>
      <c r="AM989" s="31">
        <f t="shared" ca="1" si="295"/>
        <v>9</v>
      </c>
    </row>
    <row r="990" spans="14:39">
      <c r="N990" s="26">
        <v>982</v>
      </c>
      <c r="O990" s="30">
        <f t="shared" ca="1" si="298"/>
        <v>23.809742436637087</v>
      </c>
      <c r="P990" s="30">
        <f t="shared" ca="1" si="298"/>
        <v>22.193818993405028</v>
      </c>
      <c r="Q990" s="30">
        <f t="shared" ca="1" si="298"/>
        <v>17.813343223741779</v>
      </c>
      <c r="R990" s="30">
        <f t="shared" ca="1" si="298"/>
        <v>10.818751690906005</v>
      </c>
      <c r="S990" s="30">
        <f t="shared" ca="1" si="298"/>
        <v>3.7688964931577349</v>
      </c>
      <c r="T990" s="30">
        <f t="shared" ca="1" si="298"/>
        <v>28.989512071376552</v>
      </c>
      <c r="U990" s="30">
        <f t="shared" ca="1" si="298"/>
        <v>16.91593366715006</v>
      </c>
      <c r="V990" s="30">
        <f t="shared" ca="1" si="298"/>
        <v>25.670556758545025</v>
      </c>
      <c r="W990" s="30">
        <f t="shared" ca="1" si="298"/>
        <v>28.42720848333915</v>
      </c>
      <c r="X990" s="30">
        <f t="shared" ca="1" si="298"/>
        <v>26.417342244118792</v>
      </c>
      <c r="Y990" s="30">
        <f t="shared" ca="1" si="298"/>
        <v>3.8940031437616538</v>
      </c>
      <c r="Z990" s="30">
        <f t="shared" ca="1" si="298"/>
        <v>17.177742120914136</v>
      </c>
      <c r="AA990" s="26">
        <v>982</v>
      </c>
      <c r="AB990" s="31">
        <f t="shared" ca="1" si="296"/>
        <v>42</v>
      </c>
      <c r="AC990" s="31">
        <f t="shared" ca="1" si="285"/>
        <v>36</v>
      </c>
      <c r="AD990" s="31">
        <f t="shared" ca="1" si="286"/>
        <v>26</v>
      </c>
      <c r="AE990" s="31">
        <f t="shared" ca="1" si="287"/>
        <v>13</v>
      </c>
      <c r="AF990" s="31">
        <f t="shared" ca="1" si="288"/>
        <v>4</v>
      </c>
      <c r="AG990" s="31">
        <f t="shared" ca="1" si="289"/>
        <v>67</v>
      </c>
      <c r="AH990" s="31">
        <f t="shared" ca="1" si="290"/>
        <v>24</v>
      </c>
      <c r="AI990" s="31">
        <f t="shared" ca="1" si="291"/>
        <v>49</v>
      </c>
      <c r="AJ990" s="31">
        <f t="shared" ca="1" si="292"/>
        <v>63</v>
      </c>
      <c r="AK990" s="31">
        <f t="shared" ca="1" si="293"/>
        <v>52</v>
      </c>
      <c r="AL990" s="31">
        <f t="shared" ca="1" si="294"/>
        <v>5</v>
      </c>
      <c r="AM990" s="31">
        <f t="shared" ca="1" si="295"/>
        <v>24</v>
      </c>
    </row>
    <row r="991" spans="14:39">
      <c r="N991" s="26">
        <v>983</v>
      </c>
      <c r="O991" s="30">
        <f t="shared" ca="1" si="298"/>
        <v>2.2965368704915861</v>
      </c>
      <c r="P991" s="30">
        <f t="shared" ca="1" si="298"/>
        <v>5.7514898047939589</v>
      </c>
      <c r="Q991" s="30">
        <f t="shared" ca="1" si="298"/>
        <v>5.800966962649448</v>
      </c>
      <c r="R991" s="30">
        <f t="shared" ca="1" si="298"/>
        <v>16.29405813089372</v>
      </c>
      <c r="S991" s="30">
        <f t="shared" ca="1" si="298"/>
        <v>23.523478047097083</v>
      </c>
      <c r="T991" s="30">
        <f t="shared" ca="1" si="298"/>
        <v>14.368531567677584</v>
      </c>
      <c r="U991" s="30">
        <f t="shared" ca="1" si="298"/>
        <v>23.023312807793882</v>
      </c>
      <c r="V991" s="30">
        <f t="shared" ca="1" si="298"/>
        <v>1.4487964070414281</v>
      </c>
      <c r="W991" s="30">
        <f t="shared" ca="1" si="298"/>
        <v>5.7491646605171765</v>
      </c>
      <c r="X991" s="30">
        <f t="shared" ca="1" si="298"/>
        <v>17.29851702854139</v>
      </c>
      <c r="Y991" s="30">
        <f t="shared" ca="1" si="298"/>
        <v>15.176373119457315</v>
      </c>
      <c r="Z991" s="30">
        <f t="shared" ca="1" si="298"/>
        <v>7.9088230596989186</v>
      </c>
      <c r="AA991" s="26">
        <v>983</v>
      </c>
      <c r="AB991" s="31">
        <f t="shared" ca="1" si="296"/>
        <v>3</v>
      </c>
      <c r="AC991" s="31">
        <f t="shared" ca="1" si="285"/>
        <v>7</v>
      </c>
      <c r="AD991" s="31">
        <f t="shared" ca="1" si="286"/>
        <v>7</v>
      </c>
      <c r="AE991" s="31">
        <f t="shared" ca="1" si="287"/>
        <v>23</v>
      </c>
      <c r="AF991" s="31">
        <f t="shared" ca="1" si="288"/>
        <v>41</v>
      </c>
      <c r="AG991" s="31">
        <f t="shared" ca="1" si="289"/>
        <v>19</v>
      </c>
      <c r="AH991" s="31">
        <f t="shared" ca="1" si="290"/>
        <v>39</v>
      </c>
      <c r="AI991" s="31">
        <f t="shared" ca="1" si="291"/>
        <v>2</v>
      </c>
      <c r="AJ991" s="31">
        <f t="shared" ca="1" si="292"/>
        <v>7</v>
      </c>
      <c r="AK991" s="31">
        <f t="shared" ca="1" si="293"/>
        <v>25</v>
      </c>
      <c r="AL991" s="31">
        <f t="shared" ca="1" si="294"/>
        <v>20</v>
      </c>
      <c r="AM991" s="31">
        <f t="shared" ca="1" si="295"/>
        <v>9</v>
      </c>
    </row>
    <row r="992" spans="14:39">
      <c r="N992" s="26">
        <v>984</v>
      </c>
      <c r="O992" s="30">
        <f t="shared" ca="1" si="298"/>
        <v>25.696146345155494</v>
      </c>
      <c r="P992" s="30">
        <f t="shared" ca="1" si="298"/>
        <v>17.25331753729137</v>
      </c>
      <c r="Q992" s="30">
        <f t="shared" ca="1" si="298"/>
        <v>4.3919233118373278</v>
      </c>
      <c r="R992" s="30">
        <f t="shared" ca="1" si="298"/>
        <v>22.303546492465934</v>
      </c>
      <c r="S992" s="30">
        <f t="shared" ca="1" si="298"/>
        <v>0.95625137387763715</v>
      </c>
      <c r="T992" s="30">
        <f t="shared" ca="1" si="298"/>
        <v>10.196243562785188</v>
      </c>
      <c r="U992" s="30">
        <f t="shared" ca="1" si="298"/>
        <v>31.55047262821066</v>
      </c>
      <c r="V992" s="30">
        <f t="shared" ca="1" si="298"/>
        <v>7.3817709367985351</v>
      </c>
      <c r="W992" s="30">
        <f t="shared" ca="1" si="298"/>
        <v>21.703556159420163</v>
      </c>
      <c r="X992" s="30">
        <f t="shared" ca="1" si="298"/>
        <v>25.065693882775125</v>
      </c>
      <c r="Y992" s="30">
        <f t="shared" ca="1" si="298"/>
        <v>24.038760271614688</v>
      </c>
      <c r="Z992" s="30">
        <f t="shared" ca="1" si="298"/>
        <v>10.125008073846175</v>
      </c>
      <c r="AA992" s="26">
        <v>984</v>
      </c>
      <c r="AB992" s="31">
        <f t="shared" ca="1" si="296"/>
        <v>49</v>
      </c>
      <c r="AC992" s="31">
        <f t="shared" ca="1" si="285"/>
        <v>24</v>
      </c>
      <c r="AD992" s="31">
        <f t="shared" ca="1" si="286"/>
        <v>5</v>
      </c>
      <c r="AE992" s="31">
        <f t="shared" ca="1" si="287"/>
        <v>37</v>
      </c>
      <c r="AF992" s="31">
        <f t="shared" ca="1" si="288"/>
        <v>1</v>
      </c>
      <c r="AG992" s="31">
        <f t="shared" ca="1" si="289"/>
        <v>12</v>
      </c>
      <c r="AH992" s="31">
        <f t="shared" ca="1" si="290"/>
        <v>97</v>
      </c>
      <c r="AI992" s="31">
        <f t="shared" ca="1" si="291"/>
        <v>9</v>
      </c>
      <c r="AJ992" s="31">
        <f t="shared" ca="1" si="292"/>
        <v>35</v>
      </c>
      <c r="AK992" s="31">
        <f t="shared" ca="1" si="293"/>
        <v>46</v>
      </c>
      <c r="AL992" s="31">
        <f t="shared" ca="1" si="294"/>
        <v>42</v>
      </c>
      <c r="AM992" s="31">
        <f t="shared" ca="1" si="295"/>
        <v>12</v>
      </c>
    </row>
    <row r="993" spans="14:39">
      <c r="N993" s="26">
        <v>985</v>
      </c>
      <c r="O993" s="30">
        <f t="shared" ca="1" si="298"/>
        <v>4.8067230839401196</v>
      </c>
      <c r="P993" s="30">
        <f t="shared" ca="1" si="298"/>
        <v>20.482135031318357</v>
      </c>
      <c r="Q993" s="30">
        <f t="shared" ca="1" si="298"/>
        <v>0.62509138660309482</v>
      </c>
      <c r="R993" s="30">
        <f t="shared" ca="1" si="298"/>
        <v>29.286718249755932</v>
      </c>
      <c r="S993" s="30">
        <f t="shared" ca="1" si="298"/>
        <v>0.97529612654122688</v>
      </c>
      <c r="T993" s="30">
        <f t="shared" ca="1" si="298"/>
        <v>11.34875597271547</v>
      </c>
      <c r="U993" s="30">
        <f t="shared" ca="1" si="298"/>
        <v>16.6423351096552</v>
      </c>
      <c r="V993" s="30">
        <f t="shared" ca="1" si="298"/>
        <v>13.203857862156747</v>
      </c>
      <c r="W993" s="30">
        <f t="shared" ca="1" si="298"/>
        <v>15.541173956169297</v>
      </c>
      <c r="X993" s="30">
        <f t="shared" ca="1" si="298"/>
        <v>13.185435803721965</v>
      </c>
      <c r="Y993" s="30">
        <f t="shared" ca="1" si="298"/>
        <v>13.771281605798876</v>
      </c>
      <c r="Z993" s="30">
        <f t="shared" ca="1" si="298"/>
        <v>10.825493455896989</v>
      </c>
      <c r="AA993" s="26">
        <v>985</v>
      </c>
      <c r="AB993" s="31">
        <f t="shared" ca="1" si="296"/>
        <v>6</v>
      </c>
      <c r="AC993" s="31">
        <f t="shared" ca="1" si="285"/>
        <v>32</v>
      </c>
      <c r="AD993" s="31">
        <f t="shared" ca="1" si="286"/>
        <v>1</v>
      </c>
      <c r="AE993" s="31">
        <f t="shared" ca="1" si="287"/>
        <v>70</v>
      </c>
      <c r="AF993" s="31">
        <f t="shared" ca="1" si="288"/>
        <v>1</v>
      </c>
      <c r="AG993" s="31">
        <f t="shared" ca="1" si="289"/>
        <v>14</v>
      </c>
      <c r="AH993" s="31">
        <f t="shared" ca="1" si="290"/>
        <v>23</v>
      </c>
      <c r="AI993" s="31">
        <f t="shared" ca="1" si="291"/>
        <v>17</v>
      </c>
      <c r="AJ993" s="31">
        <f t="shared" ca="1" si="292"/>
        <v>21</v>
      </c>
      <c r="AK993" s="31">
        <f t="shared" ca="1" si="293"/>
        <v>17</v>
      </c>
      <c r="AL993" s="31">
        <f t="shared" ca="1" si="294"/>
        <v>18</v>
      </c>
      <c r="AM993" s="31">
        <f t="shared" ca="1" si="295"/>
        <v>13</v>
      </c>
    </row>
    <row r="994" spans="14:39">
      <c r="N994" s="26">
        <v>986</v>
      </c>
      <c r="O994" s="30">
        <f t="shared" ca="1" si="298"/>
        <v>4.1922445599371665</v>
      </c>
      <c r="P994" s="30">
        <f t="shared" ca="1" si="298"/>
        <v>21.12055186949879</v>
      </c>
      <c r="Q994" s="30">
        <f t="shared" ca="1" si="298"/>
        <v>18.215685828185915</v>
      </c>
      <c r="R994" s="30">
        <f t="shared" ca="1" si="298"/>
        <v>27.573107702630661</v>
      </c>
      <c r="S994" s="30">
        <f t="shared" ca="1" si="298"/>
        <v>22.738176768111</v>
      </c>
      <c r="T994" s="30">
        <f t="shared" ca="1" si="298"/>
        <v>26.503132131475937</v>
      </c>
      <c r="U994" s="30">
        <f t="shared" ca="1" si="298"/>
        <v>2.9509173587392161</v>
      </c>
      <c r="V994" s="30">
        <f t="shared" ca="1" si="298"/>
        <v>6.0691723991352706</v>
      </c>
      <c r="W994" s="30">
        <f t="shared" ca="1" si="298"/>
        <v>1.9057321453635154</v>
      </c>
      <c r="X994" s="30">
        <f t="shared" ca="1" si="298"/>
        <v>10.327491922816595</v>
      </c>
      <c r="Y994" s="30">
        <f t="shared" ca="1" si="298"/>
        <v>30.454883081789614</v>
      </c>
      <c r="Z994" s="30">
        <f t="shared" ca="1" si="298"/>
        <v>18.479681993207667</v>
      </c>
      <c r="AA994" s="26">
        <v>986</v>
      </c>
      <c r="AB994" s="31">
        <f t="shared" ca="1" si="296"/>
        <v>5</v>
      </c>
      <c r="AC994" s="31">
        <f t="shared" ca="1" si="285"/>
        <v>33</v>
      </c>
      <c r="AD994" s="31">
        <f t="shared" ca="1" si="286"/>
        <v>26</v>
      </c>
      <c r="AE994" s="31">
        <f t="shared" ca="1" si="287"/>
        <v>58</v>
      </c>
      <c r="AF994" s="31">
        <f t="shared" ca="1" si="288"/>
        <v>38</v>
      </c>
      <c r="AG994" s="31">
        <f t="shared" ca="1" si="289"/>
        <v>53</v>
      </c>
      <c r="AH994" s="31">
        <f t="shared" ca="1" si="290"/>
        <v>4</v>
      </c>
      <c r="AI994" s="31">
        <f t="shared" ca="1" si="291"/>
        <v>7</v>
      </c>
      <c r="AJ994" s="31">
        <f t="shared" ca="1" si="292"/>
        <v>2</v>
      </c>
      <c r="AK994" s="31">
        <f t="shared" ca="1" si="293"/>
        <v>13</v>
      </c>
      <c r="AL994" s="31">
        <f t="shared" ca="1" si="294"/>
        <v>81</v>
      </c>
      <c r="AM994" s="31">
        <f t="shared" ca="1" si="295"/>
        <v>27</v>
      </c>
    </row>
    <row r="995" spans="14:39">
      <c r="N995" s="26">
        <v>987</v>
      </c>
      <c r="O995" s="30">
        <f t="shared" ca="1" si="298"/>
        <v>22.339705189887891</v>
      </c>
      <c r="P995" s="30">
        <f t="shared" ca="1" si="298"/>
        <v>6.5298290423853267</v>
      </c>
      <c r="Q995" s="30">
        <f t="shared" ca="1" si="298"/>
        <v>29.467160716349436</v>
      </c>
      <c r="R995" s="30">
        <f t="shared" ca="1" si="298"/>
        <v>22.239642497633255</v>
      </c>
      <c r="S995" s="30">
        <f t="shared" ca="1" si="298"/>
        <v>32.593080578283306</v>
      </c>
      <c r="T995" s="30">
        <f t="shared" ca="1" si="298"/>
        <v>12.406001632156611</v>
      </c>
      <c r="U995" s="30">
        <f t="shared" ca="1" si="298"/>
        <v>9.2900391209051971</v>
      </c>
      <c r="V995" s="30">
        <f t="shared" ca="1" si="298"/>
        <v>5.6203271730949593</v>
      </c>
      <c r="W995" s="30">
        <f t="shared" ca="1" si="298"/>
        <v>3.9459439552130222</v>
      </c>
      <c r="X995" s="30">
        <f t="shared" ca="1" si="298"/>
        <v>26.359765416324755</v>
      </c>
      <c r="Y995" s="30">
        <f t="shared" ca="1" si="298"/>
        <v>2.0998909046968768</v>
      </c>
      <c r="Z995" s="30">
        <f t="shared" ca="1" si="298"/>
        <v>20.870266669249979</v>
      </c>
      <c r="AA995" s="26">
        <v>987</v>
      </c>
      <c r="AB995" s="31">
        <f t="shared" ca="1" si="296"/>
        <v>37</v>
      </c>
      <c r="AC995" s="31">
        <f t="shared" ca="1" si="285"/>
        <v>8</v>
      </c>
      <c r="AD995" s="31">
        <f t="shared" ca="1" si="286"/>
        <v>71</v>
      </c>
      <c r="AE995" s="31">
        <f t="shared" ca="1" si="287"/>
        <v>37</v>
      </c>
      <c r="AF995" s="31">
        <f t="shared" ca="1" si="288"/>
        <v>125</v>
      </c>
      <c r="AG995" s="31">
        <f t="shared" ca="1" si="289"/>
        <v>16</v>
      </c>
      <c r="AH995" s="31">
        <f t="shared" ca="1" si="290"/>
        <v>11</v>
      </c>
      <c r="AI995" s="31">
        <f t="shared" ca="1" si="291"/>
        <v>7</v>
      </c>
      <c r="AJ995" s="31">
        <f t="shared" ca="1" si="292"/>
        <v>5</v>
      </c>
      <c r="AK995" s="31">
        <f t="shared" ca="1" si="293"/>
        <v>52</v>
      </c>
      <c r="AL995" s="31">
        <f t="shared" ca="1" si="294"/>
        <v>3</v>
      </c>
      <c r="AM995" s="31">
        <f t="shared" ca="1" si="295"/>
        <v>33</v>
      </c>
    </row>
    <row r="996" spans="14:39">
      <c r="N996" s="26">
        <v>988</v>
      </c>
      <c r="O996" s="30">
        <f t="shared" ca="1" si="298"/>
        <v>16.014010669317717</v>
      </c>
      <c r="P996" s="30">
        <f t="shared" ca="1" si="298"/>
        <v>6.9222086568612839</v>
      </c>
      <c r="Q996" s="30">
        <f t="shared" ca="1" si="298"/>
        <v>6.7137672025199224</v>
      </c>
      <c r="R996" s="30">
        <f t="shared" ca="1" si="298"/>
        <v>25.524910578657057</v>
      </c>
      <c r="S996" s="30">
        <f t="shared" ca="1" si="298"/>
        <v>1.5891205456864188</v>
      </c>
      <c r="T996" s="30">
        <f t="shared" ca="1" si="298"/>
        <v>10.608818899217068</v>
      </c>
      <c r="U996" s="30">
        <f t="shared" ca="1" si="298"/>
        <v>19.272118891425276</v>
      </c>
      <c r="V996" s="30">
        <f t="shared" ca="1" si="298"/>
        <v>12.227218944891284</v>
      </c>
      <c r="W996" s="30">
        <f t="shared" ca="1" si="298"/>
        <v>10.946817774502415</v>
      </c>
      <c r="X996" s="30">
        <f t="shared" ca="1" si="298"/>
        <v>27.791532188570024</v>
      </c>
      <c r="Y996" s="30">
        <f t="shared" ca="1" si="298"/>
        <v>2.6973315063359609</v>
      </c>
      <c r="Z996" s="30">
        <f t="shared" ca="1" si="298"/>
        <v>17.664401012001814</v>
      </c>
      <c r="AA996" s="26">
        <v>988</v>
      </c>
      <c r="AB996" s="31">
        <f t="shared" ca="1" si="296"/>
        <v>22</v>
      </c>
      <c r="AC996" s="31">
        <f t="shared" ca="1" si="285"/>
        <v>8</v>
      </c>
      <c r="AD996" s="31">
        <f t="shared" ca="1" si="286"/>
        <v>8</v>
      </c>
      <c r="AE996" s="31">
        <f t="shared" ca="1" si="287"/>
        <v>48</v>
      </c>
      <c r="AF996" s="31">
        <f t="shared" ca="1" si="288"/>
        <v>2</v>
      </c>
      <c r="AG996" s="31">
        <f t="shared" ca="1" si="289"/>
        <v>13</v>
      </c>
      <c r="AH996" s="31">
        <f t="shared" ca="1" si="290"/>
        <v>29</v>
      </c>
      <c r="AI996" s="31">
        <f t="shared" ca="1" si="291"/>
        <v>16</v>
      </c>
      <c r="AJ996" s="31">
        <f t="shared" ca="1" si="292"/>
        <v>14</v>
      </c>
      <c r="AK996" s="31">
        <f t="shared" ca="1" si="293"/>
        <v>59</v>
      </c>
      <c r="AL996" s="31">
        <f t="shared" ca="1" si="294"/>
        <v>3</v>
      </c>
      <c r="AM996" s="31">
        <f t="shared" ca="1" si="295"/>
        <v>25</v>
      </c>
    </row>
    <row r="997" spans="14:39">
      <c r="N997" s="26">
        <v>989</v>
      </c>
      <c r="O997" s="30">
        <f t="shared" ca="1" si="298"/>
        <v>9.9046150170205749</v>
      </c>
      <c r="P997" s="30">
        <f t="shared" ca="1" si="298"/>
        <v>5.3809164098712747</v>
      </c>
      <c r="Q997" s="30">
        <f t="shared" ca="1" si="298"/>
        <v>18.723847955409425</v>
      </c>
      <c r="R997" s="30">
        <f t="shared" ca="1" si="298"/>
        <v>16.974478867678577</v>
      </c>
      <c r="S997" s="30">
        <f t="shared" ca="1" si="298"/>
        <v>22.352280401675181</v>
      </c>
      <c r="T997" s="30">
        <f t="shared" ca="1" si="298"/>
        <v>27.409831106936927</v>
      </c>
      <c r="U997" s="30">
        <f t="shared" ca="1" si="298"/>
        <v>0.20812162948370047</v>
      </c>
      <c r="V997" s="30">
        <f t="shared" ca="1" si="298"/>
        <v>18.401888052922015</v>
      </c>
      <c r="W997" s="30">
        <f t="shared" ca="1" si="298"/>
        <v>3.4485293174937941</v>
      </c>
      <c r="X997" s="30">
        <f t="shared" ca="1" si="298"/>
        <v>6.5179890424186473</v>
      </c>
      <c r="Y997" s="30">
        <f t="shared" ca="1" si="298"/>
        <v>18.171359194343182</v>
      </c>
      <c r="Z997" s="30">
        <f t="shared" ca="1" si="298"/>
        <v>25.035934390208865</v>
      </c>
      <c r="AA997" s="26">
        <v>989</v>
      </c>
      <c r="AB997" s="31">
        <f t="shared" ca="1" si="296"/>
        <v>12</v>
      </c>
      <c r="AC997" s="31">
        <f t="shared" ca="1" si="285"/>
        <v>6</v>
      </c>
      <c r="AD997" s="31">
        <f t="shared" ca="1" si="286"/>
        <v>28</v>
      </c>
      <c r="AE997" s="31">
        <f t="shared" ca="1" si="287"/>
        <v>24</v>
      </c>
      <c r="AF997" s="31">
        <f t="shared" ca="1" si="288"/>
        <v>37</v>
      </c>
      <c r="AG997" s="31">
        <f t="shared" ca="1" si="289"/>
        <v>57</v>
      </c>
      <c r="AH997" s="31">
        <f t="shared" ca="1" si="290"/>
        <v>1</v>
      </c>
      <c r="AI997" s="31">
        <f t="shared" ca="1" si="291"/>
        <v>27</v>
      </c>
      <c r="AJ997" s="31">
        <f t="shared" ca="1" si="292"/>
        <v>4</v>
      </c>
      <c r="AK997" s="31">
        <f t="shared" ca="1" si="293"/>
        <v>8</v>
      </c>
      <c r="AL997" s="31">
        <f t="shared" ca="1" si="294"/>
        <v>26</v>
      </c>
      <c r="AM997" s="31">
        <f t="shared" ca="1" si="295"/>
        <v>46</v>
      </c>
    </row>
    <row r="998" spans="14:39">
      <c r="N998" s="26">
        <v>990</v>
      </c>
      <c r="O998" s="30">
        <f t="shared" ca="1" si="298"/>
        <v>6.5842782031397569</v>
      </c>
      <c r="P998" s="30">
        <f t="shared" ca="1" si="298"/>
        <v>16.982451105533972</v>
      </c>
      <c r="Q998" s="30">
        <f t="shared" ca="1" si="298"/>
        <v>16.916717466168599</v>
      </c>
      <c r="R998" s="30">
        <f t="shared" ca="1" si="298"/>
        <v>18.342184331341031</v>
      </c>
      <c r="S998" s="30">
        <f t="shared" ca="1" si="298"/>
        <v>15.798648775369292</v>
      </c>
      <c r="T998" s="30">
        <f t="shared" ca="1" si="298"/>
        <v>11.374318309497452</v>
      </c>
      <c r="U998" s="30">
        <f t="shared" ca="1" si="298"/>
        <v>30.969832894588404</v>
      </c>
      <c r="V998" s="30">
        <f t="shared" ca="1" si="298"/>
        <v>1.9049865783466085</v>
      </c>
      <c r="W998" s="30">
        <f t="shared" ca="1" si="298"/>
        <v>0.52607841396422772</v>
      </c>
      <c r="X998" s="30">
        <f t="shared" ca="1" si="298"/>
        <v>21.752609504844784</v>
      </c>
      <c r="Y998" s="30">
        <f t="shared" ca="1" si="298"/>
        <v>5.6960287615078888</v>
      </c>
      <c r="Z998" s="30">
        <f t="shared" ca="1" si="298"/>
        <v>17.713056315581877</v>
      </c>
      <c r="AA998" s="26">
        <v>990</v>
      </c>
      <c r="AB998" s="31">
        <f t="shared" ca="1" si="296"/>
        <v>8</v>
      </c>
      <c r="AC998" s="31">
        <f t="shared" ca="1" si="285"/>
        <v>24</v>
      </c>
      <c r="AD998" s="31">
        <f t="shared" ca="1" si="286"/>
        <v>24</v>
      </c>
      <c r="AE998" s="31">
        <f t="shared" ca="1" si="287"/>
        <v>27</v>
      </c>
      <c r="AF998" s="31">
        <f t="shared" ca="1" si="288"/>
        <v>22</v>
      </c>
      <c r="AG998" s="31">
        <f t="shared" ca="1" si="289"/>
        <v>14</v>
      </c>
      <c r="AH998" s="31">
        <f t="shared" ca="1" si="290"/>
        <v>87</v>
      </c>
      <c r="AI998" s="31">
        <f t="shared" ca="1" si="291"/>
        <v>2</v>
      </c>
      <c r="AJ998" s="31">
        <f t="shared" ca="1" si="292"/>
        <v>1</v>
      </c>
      <c r="AK998" s="31">
        <f t="shared" ca="1" si="293"/>
        <v>35</v>
      </c>
      <c r="AL998" s="31">
        <f t="shared" ca="1" si="294"/>
        <v>7</v>
      </c>
      <c r="AM998" s="31">
        <f t="shared" ca="1" si="295"/>
        <v>25</v>
      </c>
    </row>
    <row r="999" spans="14:39">
      <c r="N999" s="26">
        <v>991</v>
      </c>
      <c r="O999" s="30">
        <f t="shared" ref="O999:Z1008" ca="1" si="299">RAND()*sumweights</f>
        <v>9.5197120956364518</v>
      </c>
      <c r="P999" s="30">
        <f t="shared" ca="1" si="299"/>
        <v>21.63791537902199</v>
      </c>
      <c r="Q999" s="30">
        <f t="shared" ca="1" si="299"/>
        <v>4.1048903837568096</v>
      </c>
      <c r="R999" s="30">
        <f t="shared" ca="1" si="299"/>
        <v>25.072517604833216</v>
      </c>
      <c r="S999" s="30">
        <f t="shared" ca="1" si="299"/>
        <v>0.84230760308334418</v>
      </c>
      <c r="T999" s="30">
        <f t="shared" ca="1" si="299"/>
        <v>23.952468366538366</v>
      </c>
      <c r="U999" s="30">
        <f t="shared" ca="1" si="299"/>
        <v>2.9107546325551006</v>
      </c>
      <c r="V999" s="30">
        <f t="shared" ca="1" si="299"/>
        <v>1.3300542197147076</v>
      </c>
      <c r="W999" s="30">
        <f t="shared" ca="1" si="299"/>
        <v>15.550362766776807</v>
      </c>
      <c r="X999" s="30">
        <f t="shared" ca="1" si="299"/>
        <v>30.623152521585403</v>
      </c>
      <c r="Y999" s="30">
        <f t="shared" ca="1" si="299"/>
        <v>24.106046880698852</v>
      </c>
      <c r="Z999" s="30">
        <f t="shared" ca="1" si="299"/>
        <v>24.288415473281976</v>
      </c>
      <c r="AA999" s="26">
        <v>991</v>
      </c>
      <c r="AB999" s="31">
        <f t="shared" ca="1" si="296"/>
        <v>12</v>
      </c>
      <c r="AC999" s="31">
        <f t="shared" ca="1" si="285"/>
        <v>35</v>
      </c>
      <c r="AD999" s="31">
        <f t="shared" ca="1" si="286"/>
        <v>5</v>
      </c>
      <c r="AE999" s="31">
        <f t="shared" ca="1" si="287"/>
        <v>46</v>
      </c>
      <c r="AF999" s="31">
        <f t="shared" ca="1" si="288"/>
        <v>1</v>
      </c>
      <c r="AG999" s="31">
        <f t="shared" ca="1" si="289"/>
        <v>42</v>
      </c>
      <c r="AH999" s="31">
        <f t="shared" ca="1" si="290"/>
        <v>3</v>
      </c>
      <c r="AI999" s="31">
        <f t="shared" ca="1" si="291"/>
        <v>2</v>
      </c>
      <c r="AJ999" s="31">
        <f t="shared" ca="1" si="292"/>
        <v>21</v>
      </c>
      <c r="AK999" s="31">
        <f t="shared" ca="1" si="293"/>
        <v>83</v>
      </c>
      <c r="AL999" s="31">
        <f t="shared" ca="1" si="294"/>
        <v>43</v>
      </c>
      <c r="AM999" s="31">
        <f t="shared" ca="1" si="295"/>
        <v>43</v>
      </c>
    </row>
    <row r="1000" spans="14:39">
      <c r="N1000" s="26">
        <v>992</v>
      </c>
      <c r="O1000" s="30">
        <f t="shared" ca="1" si="299"/>
        <v>23.232138274457423</v>
      </c>
      <c r="P1000" s="30">
        <f t="shared" ca="1" si="299"/>
        <v>8.616168817249191</v>
      </c>
      <c r="Q1000" s="30">
        <f t="shared" ca="1" si="299"/>
        <v>7.770007376000482</v>
      </c>
      <c r="R1000" s="30">
        <f t="shared" ca="1" si="299"/>
        <v>26.226144543460858</v>
      </c>
      <c r="S1000" s="30">
        <f t="shared" ca="1" si="299"/>
        <v>11.469486999851327</v>
      </c>
      <c r="T1000" s="30">
        <f t="shared" ca="1" si="299"/>
        <v>27.785371546557666</v>
      </c>
      <c r="U1000" s="30">
        <f t="shared" ca="1" si="299"/>
        <v>19.47402421340356</v>
      </c>
      <c r="V1000" s="30">
        <f t="shared" ca="1" si="299"/>
        <v>18.204326313863817</v>
      </c>
      <c r="W1000" s="30">
        <f t="shared" ca="1" si="299"/>
        <v>29.604344299022454</v>
      </c>
      <c r="X1000" s="30">
        <f t="shared" ca="1" si="299"/>
        <v>13.570533762140819</v>
      </c>
      <c r="Y1000" s="30">
        <f t="shared" ca="1" si="299"/>
        <v>8.0011328216664506</v>
      </c>
      <c r="Z1000" s="30">
        <f t="shared" ca="1" si="299"/>
        <v>22.165608460395049</v>
      </c>
      <c r="AA1000" s="26">
        <v>992</v>
      </c>
      <c r="AB1000" s="31">
        <f t="shared" ca="1" si="296"/>
        <v>40</v>
      </c>
      <c r="AC1000" s="31">
        <f t="shared" ca="1" si="285"/>
        <v>10</v>
      </c>
      <c r="AD1000" s="31">
        <f t="shared" ca="1" si="286"/>
        <v>9</v>
      </c>
      <c r="AE1000" s="31">
        <f t="shared" ca="1" si="287"/>
        <v>51</v>
      </c>
      <c r="AF1000" s="31">
        <f t="shared" ca="1" si="288"/>
        <v>14</v>
      </c>
      <c r="AG1000" s="31">
        <f t="shared" ca="1" si="289"/>
        <v>59</v>
      </c>
      <c r="AH1000" s="31">
        <f t="shared" ca="1" si="290"/>
        <v>29</v>
      </c>
      <c r="AI1000" s="31">
        <f t="shared" ca="1" si="291"/>
        <v>26</v>
      </c>
      <c r="AJ1000" s="31">
        <f t="shared" ca="1" si="292"/>
        <v>72</v>
      </c>
      <c r="AK1000" s="31">
        <f t="shared" ca="1" si="293"/>
        <v>18</v>
      </c>
      <c r="AL1000" s="31">
        <f t="shared" ca="1" si="294"/>
        <v>10</v>
      </c>
      <c r="AM1000" s="31">
        <f t="shared" ca="1" si="295"/>
        <v>36</v>
      </c>
    </row>
    <row r="1001" spans="14:39">
      <c r="N1001" s="26">
        <v>993</v>
      </c>
      <c r="O1001" s="30">
        <f t="shared" ca="1" si="299"/>
        <v>8.4018298541651628</v>
      </c>
      <c r="P1001" s="30">
        <f t="shared" ca="1" si="299"/>
        <v>28.403861110632466</v>
      </c>
      <c r="Q1001" s="30">
        <f t="shared" ca="1" si="299"/>
        <v>14.306622944111632</v>
      </c>
      <c r="R1001" s="30">
        <f t="shared" ca="1" si="299"/>
        <v>31.393463007237667</v>
      </c>
      <c r="S1001" s="30">
        <f t="shared" ca="1" si="299"/>
        <v>21.693770322960212</v>
      </c>
      <c r="T1001" s="30">
        <f t="shared" ca="1" si="299"/>
        <v>17.448238909050342</v>
      </c>
      <c r="U1001" s="30">
        <f t="shared" ca="1" si="299"/>
        <v>5.1254795167258527</v>
      </c>
      <c r="V1001" s="30">
        <f t="shared" ca="1" si="299"/>
        <v>7.2956535534399558</v>
      </c>
      <c r="W1001" s="30">
        <f t="shared" ca="1" si="299"/>
        <v>31.415446324287434</v>
      </c>
      <c r="X1001" s="30">
        <f t="shared" ca="1" si="299"/>
        <v>32.584354683281639</v>
      </c>
      <c r="Y1001" s="30">
        <f t="shared" ca="1" si="299"/>
        <v>25.328346254453621</v>
      </c>
      <c r="Z1001" s="30">
        <f t="shared" ca="1" si="299"/>
        <v>15.725304024807713</v>
      </c>
      <c r="AA1001" s="26">
        <v>993</v>
      </c>
      <c r="AB1001" s="31">
        <f t="shared" ca="1" si="296"/>
        <v>10</v>
      </c>
      <c r="AC1001" s="31">
        <f t="shared" ca="1" si="285"/>
        <v>63</v>
      </c>
      <c r="AD1001" s="31">
        <f t="shared" ca="1" si="286"/>
        <v>19</v>
      </c>
      <c r="AE1001" s="31">
        <f t="shared" ca="1" si="287"/>
        <v>94</v>
      </c>
      <c r="AF1001" s="31">
        <f t="shared" ca="1" si="288"/>
        <v>35</v>
      </c>
      <c r="AG1001" s="31">
        <f t="shared" ca="1" si="289"/>
        <v>25</v>
      </c>
      <c r="AH1001" s="31">
        <f t="shared" ca="1" si="290"/>
        <v>6</v>
      </c>
      <c r="AI1001" s="31">
        <f t="shared" ca="1" si="291"/>
        <v>9</v>
      </c>
      <c r="AJ1001" s="31">
        <f t="shared" ca="1" si="292"/>
        <v>94</v>
      </c>
      <c r="AK1001" s="31">
        <f t="shared" ca="1" si="293"/>
        <v>125</v>
      </c>
      <c r="AL1001" s="31">
        <f t="shared" ca="1" si="294"/>
        <v>47</v>
      </c>
      <c r="AM1001" s="31">
        <f t="shared" ca="1" si="295"/>
        <v>21</v>
      </c>
    </row>
    <row r="1002" spans="14:39">
      <c r="N1002" s="26">
        <v>994</v>
      </c>
      <c r="O1002" s="30">
        <f t="shared" ca="1" si="299"/>
        <v>11.495590474130278</v>
      </c>
      <c r="P1002" s="30">
        <f t="shared" ca="1" si="299"/>
        <v>23.074094720866157</v>
      </c>
      <c r="Q1002" s="30">
        <f t="shared" ca="1" si="299"/>
        <v>26.818489858204678</v>
      </c>
      <c r="R1002" s="30">
        <f t="shared" ca="1" si="299"/>
        <v>25.119701036787575</v>
      </c>
      <c r="S1002" s="30">
        <f t="shared" ca="1" si="299"/>
        <v>23.968192382292134</v>
      </c>
      <c r="T1002" s="30">
        <f t="shared" ca="1" si="299"/>
        <v>11.26845200704</v>
      </c>
      <c r="U1002" s="30">
        <f t="shared" ca="1" si="299"/>
        <v>28.312844712858677</v>
      </c>
      <c r="V1002" s="30">
        <f t="shared" ca="1" si="299"/>
        <v>3.1081064306886139</v>
      </c>
      <c r="W1002" s="30">
        <f t="shared" ca="1" si="299"/>
        <v>1.3652325751017846</v>
      </c>
      <c r="X1002" s="30">
        <f t="shared" ca="1" si="299"/>
        <v>31.296298942636078</v>
      </c>
      <c r="Y1002" s="30">
        <f t="shared" ca="1" si="299"/>
        <v>13.712466005590539</v>
      </c>
      <c r="Z1002" s="30">
        <f t="shared" ca="1" si="299"/>
        <v>29.152017837316638</v>
      </c>
      <c r="AA1002" s="26">
        <v>994</v>
      </c>
      <c r="AB1002" s="31">
        <f t="shared" ca="1" si="296"/>
        <v>14</v>
      </c>
      <c r="AC1002" s="31">
        <f t="shared" ca="1" si="285"/>
        <v>39</v>
      </c>
      <c r="AD1002" s="31">
        <f t="shared" ca="1" si="286"/>
        <v>54</v>
      </c>
      <c r="AE1002" s="31">
        <f t="shared" ca="1" si="287"/>
        <v>46</v>
      </c>
      <c r="AF1002" s="31">
        <f t="shared" ca="1" si="288"/>
        <v>42</v>
      </c>
      <c r="AG1002" s="31">
        <f t="shared" ca="1" si="289"/>
        <v>14</v>
      </c>
      <c r="AH1002" s="31">
        <f t="shared" ca="1" si="290"/>
        <v>63</v>
      </c>
      <c r="AI1002" s="31">
        <f t="shared" ca="1" si="291"/>
        <v>4</v>
      </c>
      <c r="AJ1002" s="31">
        <f t="shared" ca="1" si="292"/>
        <v>2</v>
      </c>
      <c r="AK1002" s="31">
        <f t="shared" ca="1" si="293"/>
        <v>92</v>
      </c>
      <c r="AL1002" s="31">
        <f t="shared" ca="1" si="294"/>
        <v>18</v>
      </c>
      <c r="AM1002" s="31">
        <f t="shared" ca="1" si="295"/>
        <v>69</v>
      </c>
    </row>
    <row r="1003" spans="14:39">
      <c r="N1003" s="26">
        <v>995</v>
      </c>
      <c r="O1003" s="30">
        <f t="shared" ca="1" si="299"/>
        <v>7.3144795047533657</v>
      </c>
      <c r="P1003" s="30">
        <f t="shared" ca="1" si="299"/>
        <v>24.665271289973155</v>
      </c>
      <c r="Q1003" s="30">
        <f t="shared" ca="1" si="299"/>
        <v>26.853628199077146</v>
      </c>
      <c r="R1003" s="30">
        <f t="shared" ca="1" si="299"/>
        <v>0.19758789385477349</v>
      </c>
      <c r="S1003" s="30">
        <f t="shared" ca="1" si="299"/>
        <v>3.0990393406311338</v>
      </c>
      <c r="T1003" s="30">
        <f t="shared" ca="1" si="299"/>
        <v>21.771414147959156</v>
      </c>
      <c r="U1003" s="30">
        <f t="shared" ca="1" si="299"/>
        <v>31.220267174595197</v>
      </c>
      <c r="V1003" s="30">
        <f t="shared" ca="1" si="299"/>
        <v>1.1650354451800322</v>
      </c>
      <c r="W1003" s="30">
        <f t="shared" ca="1" si="299"/>
        <v>3.984483277356452</v>
      </c>
      <c r="X1003" s="30">
        <f t="shared" ca="1" si="299"/>
        <v>27.657900079476686</v>
      </c>
      <c r="Y1003" s="30">
        <f t="shared" ca="1" si="299"/>
        <v>2.4159936815313574</v>
      </c>
      <c r="Z1003" s="30">
        <f t="shared" ca="1" si="299"/>
        <v>31.692652543277006</v>
      </c>
      <c r="AA1003" s="26">
        <v>995</v>
      </c>
      <c r="AB1003" s="31">
        <f t="shared" ca="1" si="296"/>
        <v>9</v>
      </c>
      <c r="AC1003" s="31">
        <f t="shared" ca="1" si="285"/>
        <v>45</v>
      </c>
      <c r="AD1003" s="31">
        <f t="shared" ca="1" si="286"/>
        <v>54</v>
      </c>
      <c r="AE1003" s="31">
        <f t="shared" ca="1" si="287"/>
        <v>1</v>
      </c>
      <c r="AF1003" s="31">
        <f t="shared" ca="1" si="288"/>
        <v>4</v>
      </c>
      <c r="AG1003" s="31">
        <f t="shared" ca="1" si="289"/>
        <v>35</v>
      </c>
      <c r="AH1003" s="31">
        <f t="shared" ca="1" si="290"/>
        <v>91</v>
      </c>
      <c r="AI1003" s="31">
        <f t="shared" ca="1" si="291"/>
        <v>2</v>
      </c>
      <c r="AJ1003" s="31">
        <f t="shared" ca="1" si="292"/>
        <v>5</v>
      </c>
      <c r="AK1003" s="31">
        <f t="shared" ca="1" si="293"/>
        <v>59</v>
      </c>
      <c r="AL1003" s="31">
        <f t="shared" ca="1" si="294"/>
        <v>3</v>
      </c>
      <c r="AM1003" s="31">
        <f t="shared" ca="1" si="295"/>
        <v>99</v>
      </c>
    </row>
    <row r="1004" spans="14:39">
      <c r="N1004" s="26">
        <v>996</v>
      </c>
      <c r="O1004" s="30">
        <f t="shared" ca="1" si="299"/>
        <v>31.619751394967675</v>
      </c>
      <c r="P1004" s="30">
        <f t="shared" ca="1" si="299"/>
        <v>32.79123485102162</v>
      </c>
      <c r="Q1004" s="30">
        <f t="shared" ca="1" si="299"/>
        <v>18.507701356162936</v>
      </c>
      <c r="R1004" s="30">
        <f t="shared" ca="1" si="299"/>
        <v>9.8930242300509015</v>
      </c>
      <c r="S1004" s="30">
        <f t="shared" ca="1" si="299"/>
        <v>3.3924698123693973</v>
      </c>
      <c r="T1004" s="30">
        <f t="shared" ca="1" si="299"/>
        <v>22.605136807420344</v>
      </c>
      <c r="U1004" s="30">
        <f t="shared" ca="1" si="299"/>
        <v>28.373564188662797</v>
      </c>
      <c r="V1004" s="30">
        <f t="shared" ca="1" si="299"/>
        <v>11.796652129031314</v>
      </c>
      <c r="W1004" s="30">
        <f t="shared" ca="1" si="299"/>
        <v>32.198897393053564</v>
      </c>
      <c r="X1004" s="30">
        <f t="shared" ca="1" si="299"/>
        <v>29.564961950498716</v>
      </c>
      <c r="Y1004" s="30">
        <f t="shared" ca="1" si="299"/>
        <v>27.590906333865863</v>
      </c>
      <c r="Z1004" s="30">
        <f t="shared" ca="1" si="299"/>
        <v>30.303174582262663</v>
      </c>
      <c r="AA1004" s="26">
        <v>996</v>
      </c>
      <c r="AB1004" s="31">
        <f t="shared" ca="1" si="296"/>
        <v>98</v>
      </c>
      <c r="AC1004" s="31">
        <f t="shared" ca="1" si="285"/>
        <v>136</v>
      </c>
      <c r="AD1004" s="31">
        <f t="shared" ca="1" si="286"/>
        <v>27</v>
      </c>
      <c r="AE1004" s="31">
        <f t="shared" ca="1" si="287"/>
        <v>12</v>
      </c>
      <c r="AF1004" s="31">
        <f t="shared" ca="1" si="288"/>
        <v>4</v>
      </c>
      <c r="AG1004" s="31">
        <f t="shared" ca="1" si="289"/>
        <v>38</v>
      </c>
      <c r="AH1004" s="31">
        <f t="shared" ca="1" si="290"/>
        <v>63</v>
      </c>
      <c r="AI1004" s="31">
        <f t="shared" ca="1" si="291"/>
        <v>15</v>
      </c>
      <c r="AJ1004" s="31">
        <f t="shared" ca="1" si="292"/>
        <v>111</v>
      </c>
      <c r="AK1004" s="31">
        <f t="shared" ca="1" si="293"/>
        <v>72</v>
      </c>
      <c r="AL1004" s="31">
        <f t="shared" ca="1" si="294"/>
        <v>58</v>
      </c>
      <c r="AM1004" s="31">
        <f t="shared" ca="1" si="295"/>
        <v>79</v>
      </c>
    </row>
    <row r="1005" spans="14:39">
      <c r="N1005" s="26">
        <v>997</v>
      </c>
      <c r="O1005" s="30">
        <f t="shared" ca="1" si="299"/>
        <v>26.695168508206486</v>
      </c>
      <c r="P1005" s="30">
        <f t="shared" ca="1" si="299"/>
        <v>27.410670599147753</v>
      </c>
      <c r="Q1005" s="30">
        <f t="shared" ca="1" si="299"/>
        <v>24.588958086131623</v>
      </c>
      <c r="R1005" s="30">
        <f t="shared" ca="1" si="299"/>
        <v>28.463336126362126</v>
      </c>
      <c r="S1005" s="30">
        <f t="shared" ca="1" si="299"/>
        <v>14.703852740144251</v>
      </c>
      <c r="T1005" s="30">
        <f t="shared" ca="1" si="299"/>
        <v>5.1983539406817227</v>
      </c>
      <c r="U1005" s="30">
        <f t="shared" ca="1" si="299"/>
        <v>2.0204063013431148</v>
      </c>
      <c r="V1005" s="30">
        <f t="shared" ca="1" si="299"/>
        <v>1.6686553529702615</v>
      </c>
      <c r="W1005" s="30">
        <f t="shared" ca="1" si="299"/>
        <v>28.960103848259752</v>
      </c>
      <c r="X1005" s="30">
        <f t="shared" ca="1" si="299"/>
        <v>17.351181182848002</v>
      </c>
      <c r="Y1005" s="30">
        <f t="shared" ca="1" si="299"/>
        <v>9.0203245538758168</v>
      </c>
      <c r="Z1005" s="30">
        <f t="shared" ca="1" si="299"/>
        <v>11.792080719927661</v>
      </c>
      <c r="AA1005" s="26">
        <v>997</v>
      </c>
      <c r="AB1005" s="31">
        <f t="shared" ca="1" si="296"/>
        <v>53</v>
      </c>
      <c r="AC1005" s="31">
        <f t="shared" ca="1" si="285"/>
        <v>57</v>
      </c>
      <c r="AD1005" s="31">
        <f t="shared" ca="1" si="286"/>
        <v>44</v>
      </c>
      <c r="AE1005" s="31">
        <f t="shared" ca="1" si="287"/>
        <v>64</v>
      </c>
      <c r="AF1005" s="31">
        <f t="shared" ca="1" si="288"/>
        <v>20</v>
      </c>
      <c r="AG1005" s="31">
        <f t="shared" ca="1" si="289"/>
        <v>6</v>
      </c>
      <c r="AH1005" s="31">
        <f t="shared" ca="1" si="290"/>
        <v>3</v>
      </c>
      <c r="AI1005" s="31">
        <f t="shared" ca="1" si="291"/>
        <v>2</v>
      </c>
      <c r="AJ1005" s="31">
        <f t="shared" ca="1" si="292"/>
        <v>67</v>
      </c>
      <c r="AK1005" s="31">
        <f t="shared" ca="1" si="293"/>
        <v>25</v>
      </c>
      <c r="AL1005" s="31">
        <f t="shared" ca="1" si="294"/>
        <v>11</v>
      </c>
      <c r="AM1005" s="31">
        <f t="shared" ca="1" si="295"/>
        <v>15</v>
      </c>
    </row>
    <row r="1006" spans="14:39">
      <c r="N1006" s="26">
        <v>998</v>
      </c>
      <c r="O1006" s="30">
        <f t="shared" ca="1" si="299"/>
        <v>31.23170064955751</v>
      </c>
      <c r="P1006" s="30">
        <f t="shared" ca="1" si="299"/>
        <v>26.40545733390891</v>
      </c>
      <c r="Q1006" s="30">
        <f t="shared" ca="1" si="299"/>
        <v>21.802122456855873</v>
      </c>
      <c r="R1006" s="30">
        <f t="shared" ca="1" si="299"/>
        <v>32.261896574053182</v>
      </c>
      <c r="S1006" s="30">
        <f t="shared" ca="1" si="299"/>
        <v>4.5236780499313483</v>
      </c>
      <c r="T1006" s="30">
        <f t="shared" ca="1" si="299"/>
        <v>25.367950368032069</v>
      </c>
      <c r="U1006" s="30">
        <f t="shared" ca="1" si="299"/>
        <v>23.801038042388395</v>
      </c>
      <c r="V1006" s="30">
        <f t="shared" ca="1" si="299"/>
        <v>13.554730957890547</v>
      </c>
      <c r="W1006" s="30">
        <f t="shared" ca="1" si="299"/>
        <v>19.940659594319847</v>
      </c>
      <c r="X1006" s="30">
        <f t="shared" ca="1" si="299"/>
        <v>1.0192692765118463</v>
      </c>
      <c r="Y1006" s="30">
        <f t="shared" ca="1" si="299"/>
        <v>31.091622116803631</v>
      </c>
      <c r="Z1006" s="30">
        <f t="shared" ca="1" si="299"/>
        <v>3.3564228259981777</v>
      </c>
      <c r="AA1006" s="26">
        <v>998</v>
      </c>
      <c r="AB1006" s="31">
        <f t="shared" ca="1" si="296"/>
        <v>91</v>
      </c>
      <c r="AC1006" s="31">
        <f t="shared" ca="1" si="285"/>
        <v>52</v>
      </c>
      <c r="AD1006" s="31">
        <f t="shared" ca="1" si="286"/>
        <v>35</v>
      </c>
      <c r="AE1006" s="31">
        <f t="shared" ca="1" si="287"/>
        <v>113</v>
      </c>
      <c r="AF1006" s="31">
        <f t="shared" ca="1" si="288"/>
        <v>5</v>
      </c>
      <c r="AG1006" s="31">
        <f t="shared" ca="1" si="289"/>
        <v>47</v>
      </c>
      <c r="AH1006" s="31">
        <f t="shared" ca="1" si="290"/>
        <v>42</v>
      </c>
      <c r="AI1006" s="31">
        <f t="shared" ca="1" si="291"/>
        <v>18</v>
      </c>
      <c r="AJ1006" s="31">
        <f t="shared" ca="1" si="292"/>
        <v>30</v>
      </c>
      <c r="AK1006" s="31">
        <f t="shared" ca="1" si="293"/>
        <v>2</v>
      </c>
      <c r="AL1006" s="31">
        <f t="shared" ca="1" si="294"/>
        <v>89</v>
      </c>
      <c r="AM1006" s="31">
        <f t="shared" ca="1" si="295"/>
        <v>4</v>
      </c>
    </row>
    <row r="1007" spans="14:39">
      <c r="N1007" s="26">
        <v>999</v>
      </c>
      <c r="O1007" s="30">
        <f t="shared" ca="1" si="299"/>
        <v>33.03961764153226</v>
      </c>
      <c r="P1007" s="30">
        <f t="shared" ca="1" si="299"/>
        <v>3.218914647058122</v>
      </c>
      <c r="Q1007" s="30">
        <f t="shared" ca="1" si="299"/>
        <v>25.314331419192349</v>
      </c>
      <c r="R1007" s="30">
        <f t="shared" ca="1" si="299"/>
        <v>26.742443730782739</v>
      </c>
      <c r="S1007" s="30">
        <f t="shared" ca="1" si="299"/>
        <v>28.402193593215653</v>
      </c>
      <c r="T1007" s="30">
        <f t="shared" ca="1" si="299"/>
        <v>1.542822510076401</v>
      </c>
      <c r="U1007" s="30">
        <f t="shared" ca="1" si="299"/>
        <v>23.356869792835042</v>
      </c>
      <c r="V1007" s="30">
        <f t="shared" ca="1" si="299"/>
        <v>0.19817491258948081</v>
      </c>
      <c r="W1007" s="30">
        <f t="shared" ca="1" si="299"/>
        <v>13.421525250801757</v>
      </c>
      <c r="X1007" s="30">
        <f t="shared" ca="1" si="299"/>
        <v>8.5310617500068666</v>
      </c>
      <c r="Y1007" s="30">
        <f t="shared" ca="1" si="299"/>
        <v>31.485844761148964</v>
      </c>
      <c r="Z1007" s="30">
        <f t="shared" ca="1" si="299"/>
        <v>30.180619987551857</v>
      </c>
      <c r="AA1007" s="26">
        <v>999</v>
      </c>
      <c r="AB1007" s="31">
        <f t="shared" ca="1" si="296"/>
        <v>156</v>
      </c>
      <c r="AC1007" s="31">
        <f t="shared" ca="1" si="285"/>
        <v>4</v>
      </c>
      <c r="AD1007" s="31">
        <f t="shared" ca="1" si="286"/>
        <v>47</v>
      </c>
      <c r="AE1007" s="31">
        <f t="shared" ca="1" si="287"/>
        <v>54</v>
      </c>
      <c r="AF1007" s="31">
        <f t="shared" ca="1" si="288"/>
        <v>63</v>
      </c>
      <c r="AG1007" s="31">
        <f t="shared" ca="1" si="289"/>
        <v>2</v>
      </c>
      <c r="AH1007" s="31">
        <f t="shared" ca="1" si="290"/>
        <v>40</v>
      </c>
      <c r="AI1007" s="31">
        <f t="shared" ca="1" si="291"/>
        <v>1</v>
      </c>
      <c r="AJ1007" s="31">
        <f t="shared" ca="1" si="292"/>
        <v>17</v>
      </c>
      <c r="AK1007" s="31">
        <f t="shared" ca="1" si="293"/>
        <v>10</v>
      </c>
      <c r="AL1007" s="31">
        <f t="shared" ca="1" si="294"/>
        <v>95</v>
      </c>
      <c r="AM1007" s="31">
        <f t="shared" ca="1" si="295"/>
        <v>78</v>
      </c>
    </row>
    <row r="1008" spans="14:39">
      <c r="N1008" s="26">
        <v>1000</v>
      </c>
      <c r="O1008" s="30">
        <f t="shared" ca="1" si="299"/>
        <v>12.170770030612525</v>
      </c>
      <c r="P1008" s="30">
        <f t="shared" ca="1" si="299"/>
        <v>21.170922862739509</v>
      </c>
      <c r="Q1008" s="30">
        <f t="shared" ca="1" si="299"/>
        <v>18.729396360269995</v>
      </c>
      <c r="R1008" s="30">
        <f t="shared" ca="1" si="299"/>
        <v>21.899133588462238</v>
      </c>
      <c r="S1008" s="30">
        <f t="shared" ca="1" si="299"/>
        <v>9.0317173156164046</v>
      </c>
      <c r="T1008" s="30">
        <f t="shared" ca="1" si="299"/>
        <v>7.6150005101835578</v>
      </c>
      <c r="U1008" s="30">
        <f t="shared" ca="1" si="299"/>
        <v>32.344861150759677</v>
      </c>
      <c r="V1008" s="30">
        <f t="shared" ca="1" si="299"/>
        <v>15.998344099814476</v>
      </c>
      <c r="W1008" s="30">
        <f t="shared" ca="1" si="299"/>
        <v>16.962875196296178</v>
      </c>
      <c r="X1008" s="30">
        <f t="shared" ca="1" si="299"/>
        <v>31.92994334373558</v>
      </c>
      <c r="Y1008" s="30">
        <f t="shared" ca="1" si="299"/>
        <v>22.975948284761746</v>
      </c>
      <c r="Z1008" s="30">
        <f t="shared" ca="1" si="299"/>
        <v>19.678942741918902</v>
      </c>
      <c r="AA1008" s="26">
        <v>1000</v>
      </c>
      <c r="AB1008" s="31">
        <f t="shared" ca="1" si="296"/>
        <v>15</v>
      </c>
      <c r="AC1008" s="31">
        <f t="shared" ca="1" si="285"/>
        <v>34</v>
      </c>
      <c r="AD1008" s="31">
        <f t="shared" ca="1" si="286"/>
        <v>28</v>
      </c>
      <c r="AE1008" s="31">
        <f t="shared" ca="1" si="287"/>
        <v>36</v>
      </c>
      <c r="AF1008" s="31">
        <f t="shared" ca="1" si="288"/>
        <v>11</v>
      </c>
      <c r="AG1008" s="31">
        <f t="shared" ca="1" si="289"/>
        <v>9</v>
      </c>
      <c r="AH1008" s="31">
        <f t="shared" ca="1" si="290"/>
        <v>116</v>
      </c>
      <c r="AI1008" s="31">
        <f t="shared" ca="1" si="291"/>
        <v>22</v>
      </c>
      <c r="AJ1008" s="31">
        <f t="shared" ca="1" si="292"/>
        <v>24</v>
      </c>
      <c r="AK1008" s="31">
        <f t="shared" ca="1" si="293"/>
        <v>104</v>
      </c>
      <c r="AL1008" s="31">
        <f t="shared" ca="1" si="294"/>
        <v>39</v>
      </c>
      <c r="AM1008" s="31">
        <f t="shared" ca="1" si="295"/>
        <v>30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D25"/>
  <sheetViews>
    <sheetView workbookViewId="0">
      <selection activeCell="Q22" sqref="Q22"/>
    </sheetView>
  </sheetViews>
  <sheetFormatPr defaultColWidth="8.765625" defaultRowHeight="12.45"/>
  <cols>
    <col min="1" max="1" width="8.765625" style="2"/>
    <col min="2" max="4" width="8.765625" style="5"/>
    <col min="5" max="16384" width="8.765625" style="2"/>
  </cols>
  <sheetData>
    <row r="3" spans="2:4">
      <c r="B3" s="1" t="s">
        <v>16</v>
      </c>
      <c r="C3" s="1" t="s">
        <v>17</v>
      </c>
      <c r="D3" s="1" t="s">
        <v>18</v>
      </c>
    </row>
    <row r="4" spans="2:4">
      <c r="B4" s="3">
        <v>1</v>
      </c>
      <c r="C4" s="3">
        <v>10</v>
      </c>
      <c r="D4" s="6">
        <f t="array" aca="1" ref="D4" ca="1">SUMPRODUCT(IF(Bootstrap!$AB$9:$AM$1008&gt;='freq chart'!B4,1,0),IF(Bootstrap!$AB$9:$AM$1008&lt;='freq chart'!C4,1,0))</f>
        <v>3177</v>
      </c>
    </row>
    <row r="5" spans="2:4">
      <c r="B5" s="3">
        <f>C4+1</f>
        <v>11</v>
      </c>
      <c r="C5" s="3">
        <f>C4+10</f>
        <v>20</v>
      </c>
      <c r="D5" s="6">
        <f t="array" aca="1" ref="D5" ca="1">SUMPRODUCT(IF(Bootstrap!$AB$9:$AM$1008&gt;='freq chart'!B5,1,0),IF(Bootstrap!$AB$9:$AM$1008&lt;='freq chart'!C5,1,0))</f>
        <v>2393</v>
      </c>
    </row>
    <row r="6" spans="2:4">
      <c r="B6" s="3">
        <f t="shared" ref="B6:B24" si="0">C5+1</f>
        <v>21</v>
      </c>
      <c r="C6" s="3">
        <f t="shared" ref="C6:C24" si="1">C5+10</f>
        <v>30</v>
      </c>
      <c r="D6" s="6">
        <f t="array" aca="1" ref="D6" ca="1">SUMPRODUCT(IF(Bootstrap!$AB$9:$AM$1008&gt;='freq chart'!B6,1,0),IF(Bootstrap!$AB$9:$AM$1008&lt;='freq chart'!C6,1,0))</f>
        <v>1710</v>
      </c>
    </row>
    <row r="7" spans="2:4">
      <c r="B7" s="3">
        <f t="shared" si="0"/>
        <v>31</v>
      </c>
      <c r="C7" s="3">
        <f t="shared" si="1"/>
        <v>40</v>
      </c>
      <c r="D7" s="6">
        <f t="array" aca="1" ref="D7" ca="1">SUMPRODUCT(IF(Bootstrap!$AB$9:$AM$1008&gt;='freq chart'!B7,1,0),IF(Bootstrap!$AB$9:$AM$1008&lt;='freq chart'!C7,1,0))</f>
        <v>1228</v>
      </c>
    </row>
    <row r="8" spans="2:4">
      <c r="B8" s="3">
        <f t="shared" si="0"/>
        <v>41</v>
      </c>
      <c r="C8" s="3">
        <f t="shared" si="1"/>
        <v>50</v>
      </c>
      <c r="D8" s="6">
        <f t="array" aca="1" ref="D8" ca="1">SUMPRODUCT(IF(Bootstrap!$AB$9:$AM$1008&gt;='freq chart'!B8,1,0),IF(Bootstrap!$AB$9:$AM$1008&lt;='freq chart'!C8,1,0))</f>
        <v>884</v>
      </c>
    </row>
    <row r="9" spans="2:4">
      <c r="B9" s="3">
        <f t="shared" si="0"/>
        <v>51</v>
      </c>
      <c r="C9" s="3">
        <f t="shared" si="1"/>
        <v>60</v>
      </c>
      <c r="D9" s="6">
        <f t="array" aca="1" ref="D9" ca="1">SUMPRODUCT(IF(Bootstrap!$AB$9:$AM$1008&gt;='freq chart'!B9,1,0),IF(Bootstrap!$AB$9:$AM$1008&lt;='freq chart'!C9,1,0))</f>
        <v>700</v>
      </c>
    </row>
    <row r="10" spans="2:4">
      <c r="B10" s="3">
        <f t="shared" si="0"/>
        <v>61</v>
      </c>
      <c r="C10" s="3">
        <f t="shared" si="1"/>
        <v>70</v>
      </c>
      <c r="D10" s="6">
        <f t="array" aca="1" ref="D10" ca="1">SUMPRODUCT(IF(Bootstrap!$AB$9:$AM$1008&gt;='freq chart'!B10,1,0),IF(Bootstrap!$AB$9:$AM$1008&lt;='freq chart'!C10,1,0))</f>
        <v>516</v>
      </c>
    </row>
    <row r="11" spans="2:4">
      <c r="B11" s="3">
        <f t="shared" si="0"/>
        <v>71</v>
      </c>
      <c r="C11" s="3">
        <f t="shared" si="1"/>
        <v>80</v>
      </c>
      <c r="D11" s="6">
        <f t="array" aca="1" ref="D11" ca="1">SUMPRODUCT(IF(Bootstrap!$AB$9:$AM$1008&gt;='freq chart'!B11,1,0),IF(Bootstrap!$AB$9:$AM$1008&lt;='freq chart'!C11,1,0))</f>
        <v>338</v>
      </c>
    </row>
    <row r="12" spans="2:4">
      <c r="B12" s="3">
        <f t="shared" si="0"/>
        <v>81</v>
      </c>
      <c r="C12" s="3">
        <f t="shared" si="1"/>
        <v>90</v>
      </c>
      <c r="D12" s="6">
        <f t="array" aca="1" ref="D12" ca="1">SUMPRODUCT(IF(Bootstrap!$AB$9:$AM$1008&gt;='freq chart'!B12,1,0),IF(Bootstrap!$AB$9:$AM$1008&lt;='freq chart'!C12,1,0))</f>
        <v>258</v>
      </c>
    </row>
    <row r="13" spans="2:4">
      <c r="B13" s="3">
        <f t="shared" si="0"/>
        <v>91</v>
      </c>
      <c r="C13" s="3">
        <f t="shared" si="1"/>
        <v>100</v>
      </c>
      <c r="D13" s="6">
        <f t="array" aca="1" ref="D13" ca="1">SUMPRODUCT(IF(Bootstrap!$AB$9:$AM$1008&gt;='freq chart'!B13,1,0),IF(Bootstrap!$AB$9:$AM$1008&lt;='freq chart'!C13,1,0))</f>
        <v>213</v>
      </c>
    </row>
    <row r="14" spans="2:4">
      <c r="B14" s="3">
        <f t="shared" si="0"/>
        <v>101</v>
      </c>
      <c r="C14" s="3">
        <f t="shared" si="1"/>
        <v>110</v>
      </c>
      <c r="D14" s="6">
        <f t="array" aca="1" ref="D14" ca="1">SUMPRODUCT(IF(Bootstrap!$AB$9:$AM$1008&gt;='freq chart'!B14,1,0),IF(Bootstrap!$AB$9:$AM$1008&lt;='freq chart'!C14,1,0))</f>
        <v>176</v>
      </c>
    </row>
    <row r="15" spans="2:4">
      <c r="B15" s="3">
        <f t="shared" si="0"/>
        <v>111</v>
      </c>
      <c r="C15" s="3">
        <f t="shared" si="1"/>
        <v>120</v>
      </c>
      <c r="D15" s="6">
        <f t="array" aca="1" ref="D15" ca="1">SUMPRODUCT(IF(Bootstrap!$AB$9:$AM$1008&gt;='freq chart'!B15,1,0),IF(Bootstrap!$AB$9:$AM$1008&lt;='freq chart'!C15,1,0))</f>
        <v>110</v>
      </c>
    </row>
    <row r="16" spans="2:4">
      <c r="B16" s="3">
        <f t="shared" si="0"/>
        <v>121</v>
      </c>
      <c r="C16" s="3">
        <f t="shared" si="1"/>
        <v>130</v>
      </c>
      <c r="D16" s="6">
        <f t="array" aca="1" ref="D16" ca="1">SUMPRODUCT(IF(Bootstrap!$AB$9:$AM$1008&gt;='freq chart'!B16,1,0),IF(Bootstrap!$AB$9:$AM$1008&lt;='freq chart'!C16,1,0))</f>
        <v>84</v>
      </c>
    </row>
    <row r="17" spans="2:4">
      <c r="B17" s="3">
        <f t="shared" si="0"/>
        <v>131</v>
      </c>
      <c r="C17" s="3">
        <f t="shared" si="1"/>
        <v>140</v>
      </c>
      <c r="D17" s="6">
        <f t="array" aca="1" ref="D17" ca="1">SUMPRODUCT(IF(Bootstrap!$AB$9:$AM$1008&gt;='freq chart'!B17,1,0),IF(Bootstrap!$AB$9:$AM$1008&lt;='freq chart'!C17,1,0))</f>
        <v>57</v>
      </c>
    </row>
    <row r="18" spans="2:4">
      <c r="B18" s="3">
        <f t="shared" si="0"/>
        <v>141</v>
      </c>
      <c r="C18" s="3">
        <f t="shared" si="1"/>
        <v>150</v>
      </c>
      <c r="D18" s="6">
        <f t="array" aca="1" ref="D18" ca="1">SUMPRODUCT(IF(Bootstrap!$AB$9:$AM$1008&gt;='freq chart'!B18,1,0),IF(Bootstrap!$AB$9:$AM$1008&lt;='freq chart'!C18,1,0))</f>
        <v>45</v>
      </c>
    </row>
    <row r="19" spans="2:4">
      <c r="B19" s="3">
        <f t="shared" si="0"/>
        <v>151</v>
      </c>
      <c r="C19" s="3">
        <f t="shared" si="1"/>
        <v>160</v>
      </c>
      <c r="D19" s="6">
        <f t="array" aca="1" ref="D19" ca="1">SUMPRODUCT(IF(Bootstrap!$AB$9:$AM$1008&gt;='freq chart'!B19,1,0),IF(Bootstrap!$AB$9:$AM$1008&lt;='freq chart'!C19,1,0))</f>
        <v>30</v>
      </c>
    </row>
    <row r="20" spans="2:4">
      <c r="B20" s="3">
        <f t="shared" si="0"/>
        <v>161</v>
      </c>
      <c r="C20" s="3">
        <f t="shared" si="1"/>
        <v>170</v>
      </c>
      <c r="D20" s="6">
        <f t="array" aca="1" ref="D20" ca="1">SUMPRODUCT(IF(Bootstrap!$AB$9:$AM$1008&gt;='freq chart'!B20,1,0),IF(Bootstrap!$AB$9:$AM$1008&lt;='freq chart'!C20,1,0))</f>
        <v>30</v>
      </c>
    </row>
    <row r="21" spans="2:4">
      <c r="B21" s="3">
        <f t="shared" si="0"/>
        <v>171</v>
      </c>
      <c r="C21" s="3">
        <f t="shared" si="1"/>
        <v>180</v>
      </c>
      <c r="D21" s="6">
        <f t="array" aca="1" ref="D21" ca="1">SUMPRODUCT(IF(Bootstrap!$AB$9:$AM$1008&gt;='freq chart'!B21,1,0),IF(Bootstrap!$AB$9:$AM$1008&lt;='freq chart'!C21,1,0))</f>
        <v>24</v>
      </c>
    </row>
    <row r="22" spans="2:4">
      <c r="B22" s="3">
        <f t="shared" si="0"/>
        <v>181</v>
      </c>
      <c r="C22" s="3">
        <f t="shared" si="1"/>
        <v>190</v>
      </c>
      <c r="D22" s="6">
        <f t="array" aca="1" ref="D22" ca="1">SUMPRODUCT(IF(Bootstrap!$AB$9:$AM$1008&gt;='freq chart'!B22,1,0),IF(Bootstrap!$AB$9:$AM$1008&lt;='freq chart'!C22,1,0))</f>
        <v>8</v>
      </c>
    </row>
    <row r="23" spans="2:4">
      <c r="B23" s="3">
        <f t="shared" si="0"/>
        <v>191</v>
      </c>
      <c r="C23" s="3">
        <f t="shared" si="1"/>
        <v>200</v>
      </c>
      <c r="D23" s="6">
        <f t="array" aca="1" ref="D23" ca="1">SUMPRODUCT(IF(Bootstrap!$AB$9:$AM$1008&gt;='freq chart'!B23,1,0),IF(Bootstrap!$AB$9:$AM$1008&lt;='freq chart'!C23,1,0))</f>
        <v>13</v>
      </c>
    </row>
    <row r="24" spans="2:4">
      <c r="B24" s="3">
        <f t="shared" si="0"/>
        <v>201</v>
      </c>
      <c r="C24" s="3">
        <f t="shared" si="1"/>
        <v>210</v>
      </c>
      <c r="D24" s="6">
        <f t="array" aca="1" ref="D24" ca="1">SUMPRODUCT(IF(Bootstrap!$AB$9:$AM$1008&gt;='freq chart'!B24,1,0),IF(Bootstrap!$AB$9:$AM$1008&lt;='freq chart'!C24,1,0))</f>
        <v>6</v>
      </c>
    </row>
    <row r="25" spans="2:4">
      <c r="B25" s="3"/>
      <c r="C25" s="3"/>
      <c r="D25" s="4">
        <f ca="1">SUM(D4:D24)</f>
        <v>12000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HeadingPairs>
  <TitlesOfParts>
    <vt:vector size="8" baseType="lpstr">
      <vt:lpstr>Bootstrap</vt:lpstr>
      <vt:lpstr>freq chart</vt:lpstr>
      <vt:lpstr>cum_wt</vt:lpstr>
      <vt:lpstr>histrets</vt:lpstr>
      <vt:lpstr>lambda</vt:lpstr>
      <vt:lpstr>numobs</vt:lpstr>
      <vt:lpstr>obs_nums</vt:lpstr>
      <vt:lpstr>sumweights</vt:lpstr>
    </vt:vector>
  </TitlesOfParts>
  <Company>JPMorgan Chase &amp; Co.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Dino</dc:creator>
  <cp:lastModifiedBy>Alan Cubbon</cp:lastModifiedBy>
  <dcterms:created xsi:type="dcterms:W3CDTF">2010-09-30T11:18:24Z</dcterms:created>
  <dcterms:modified xsi:type="dcterms:W3CDTF">2026-10-16T08:16:41Z</dcterms:modified>
</cp:coreProperties>
</file>