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20" codeName="{52B413DB-416B-A148-0A32-6202AF4EA34E}"/>
  <workbookPr codeName="ThisWorkbook"/>
  <mc:AlternateContent xmlns:mc="http://schemas.openxmlformats.org/markup-compatibility/2006">
    <mc:Choice Requires="x15">
      <x15ac:absPath xmlns:x15ac="http://schemas.microsoft.com/office/spreadsheetml/2010/11/ac" url="https://mmiholdingsltd-my.sharepoint.com/personal/roberts_grava_caiml_com/Documents/CAIM/2026/2610 Quant Workshop/"/>
    </mc:Choice>
  </mc:AlternateContent>
  <xr:revisionPtr revIDLastSave="10" documentId="8_{3A53F8B6-E12A-F244-8D80-81E51D0B5693}" xr6:coauthVersionLast="47" xr6:coauthVersionMax="47" xr10:uidLastSave="{FBE152B8-94CC-6240-BCDD-84750958A652}"/>
  <bookViews>
    <workbookView xWindow="620" yWindow="1120" windowWidth="26680" windowHeight="15320" activeTab="3" xr2:uid="{00000000-000D-0000-FFFF-FFFF00000000}"/>
  </bookViews>
  <sheets>
    <sheet name="DISCLAIMER" sheetId="5" r:id="rId1"/>
    <sheet name="Bond 101" sheetId="6" r:id="rId2"/>
    <sheet name="NS" sheetId="3" r:id="rId3"/>
    <sheet name="Scenarios" sheetId="4" r:id="rId4"/>
    <sheet name="scenarios 2610" sheetId="8" r:id="rId5"/>
    <sheet name="Boiler Room" sheetId="2" r:id="rId6"/>
  </sheets>
  <definedNames>
    <definedName name="beta_0">NS!$I$3</definedName>
    <definedName name="beta_0_scen">Scenarios!$L$4</definedName>
    <definedName name="beta_1">NS!$I$4</definedName>
    <definedName name="beta_1_scen">Scenarios!$L$5</definedName>
    <definedName name="beta_2">NS!$I$5</definedName>
    <definedName name="beta_2_scen">Scenarios!$L$6</definedName>
    <definedName name="coefs">NS!$I$3:$I$5</definedName>
    <definedName name="coefs_scen">Scenarios!$L$4:$L$6</definedName>
    <definedName name="countries">'Boiler Room'!$C$3:$G$3</definedName>
    <definedName name="country_ix">'Boiler Room'!$B$15</definedName>
    <definedName name="country_list">'Boiler Room'!$B$17:$B$21</definedName>
    <definedName name="coupon">'Bond 101'!$C$4</definedName>
    <definedName name="current_maturities">'Boiler Room'!$B$4:$B$12</definedName>
    <definedName name="current_rates">'Boiler Room'!$C$4:$G$12</definedName>
    <definedName name="hump_choices">'Boiler Room'!$C$17:$C$23</definedName>
    <definedName name="hump_ix">'Boiler Room'!$C$15</definedName>
    <definedName name="hump_mat">'Boiler Room'!$C$16</definedName>
    <definedName name="lambda">NS!$I$6</definedName>
    <definedName name="lambdas">'Boiler Room'!$D$17:$D$23</definedName>
    <definedName name="maturity">'Bond 101'!$C$5</definedName>
    <definedName name="ns_maturities">NS!$B$19:$B$139</definedName>
    <definedName name="ns_table">NS!$B$19:$C$139</definedName>
    <definedName name="ns_yields">NS!$C$19:$C$139</definedName>
    <definedName name="obs_date">'Boiler Room'!$B$2</definedName>
    <definedName name="solver_adj" localSheetId="2" hidden="1">NS!$I$3:$I$5</definedName>
    <definedName name="solver_adj" localSheetId="3" hidden="1">Scenarios!$L$4:$L$6</definedName>
    <definedName name="solver_cvg" localSheetId="2" hidden="1">0.0001</definedName>
    <definedName name="solver_cvg" localSheetId="3" hidden="1">0.0001</definedName>
    <definedName name="solver_drv" localSheetId="2" hidden="1">1</definedName>
    <definedName name="solver_drv" localSheetId="3" hidden="1">1</definedName>
    <definedName name="solver_eng" localSheetId="2" hidden="1">1</definedName>
    <definedName name="solver_eng" localSheetId="3" hidden="1">1</definedName>
    <definedName name="solver_itr" localSheetId="2" hidden="1">2147483647</definedName>
    <definedName name="solver_itr" localSheetId="3" hidden="1">2147483647</definedName>
    <definedName name="solver_lin" localSheetId="2" hidden="1">2</definedName>
    <definedName name="solver_lin" localSheetId="3" hidden="1">2</definedName>
    <definedName name="solver_mip" localSheetId="2" hidden="1">2147483647</definedName>
    <definedName name="solver_mip" localSheetId="3" hidden="1">2147483647</definedName>
    <definedName name="solver_mni" localSheetId="2" hidden="1">30</definedName>
    <definedName name="solver_mni" localSheetId="3" hidden="1">30</definedName>
    <definedName name="solver_mrt" localSheetId="2" hidden="1">0.075</definedName>
    <definedName name="solver_mrt" localSheetId="3" hidden="1">0.075</definedName>
    <definedName name="solver_msl" localSheetId="2" hidden="1">2</definedName>
    <definedName name="solver_msl" localSheetId="3" hidden="1">2</definedName>
    <definedName name="solver_neg" localSheetId="2" hidden="1">2</definedName>
    <definedName name="solver_neg" localSheetId="3" hidden="1">2</definedName>
    <definedName name="solver_nod" localSheetId="2" hidden="1">2147483647</definedName>
    <definedName name="solver_nod" localSheetId="3" hidden="1">2147483647</definedName>
    <definedName name="solver_num" localSheetId="2" hidden="1">0</definedName>
    <definedName name="solver_num" localSheetId="3" hidden="1">0</definedName>
    <definedName name="solver_opt" localSheetId="2" hidden="1">NS!$P$6</definedName>
    <definedName name="solver_opt" localSheetId="3" hidden="1">Scenarios!$S$7</definedName>
    <definedName name="solver_pre" localSheetId="2" hidden="1">0.000001</definedName>
    <definedName name="solver_pre" localSheetId="3" hidden="1">0.000001</definedName>
    <definedName name="solver_rbv" localSheetId="2" hidden="1">1</definedName>
    <definedName name="solver_rbv" localSheetId="3" hidden="1">1</definedName>
    <definedName name="solver_rlx" localSheetId="2" hidden="1">1</definedName>
    <definedName name="solver_rlx" localSheetId="3" hidden="1">2</definedName>
    <definedName name="solver_rsd" localSheetId="2" hidden="1">0</definedName>
    <definedName name="solver_rsd" localSheetId="3" hidden="1">0</definedName>
    <definedName name="solver_scl" localSheetId="2" hidden="1">2</definedName>
    <definedName name="solver_scl" localSheetId="3" hidden="1">1</definedName>
    <definedName name="solver_sho" localSheetId="2" hidden="1">2</definedName>
    <definedName name="solver_sho" localSheetId="3" hidden="1">2</definedName>
    <definedName name="solver_ssz" localSheetId="2" hidden="1">100</definedName>
    <definedName name="solver_ssz" localSheetId="3" hidden="1">100</definedName>
    <definedName name="solver_tim" localSheetId="2" hidden="1">2147483647</definedName>
    <definedName name="solver_tim" localSheetId="3" hidden="1">2147483647</definedName>
    <definedName name="solver_tol" localSheetId="2" hidden="1">0.01</definedName>
    <definedName name="solver_tol" localSheetId="3" hidden="1">0.01</definedName>
    <definedName name="solver_typ" localSheetId="2" hidden="1">2</definedName>
    <definedName name="solver_typ" localSheetId="3" hidden="1">2</definedName>
    <definedName name="solver_val" localSheetId="2" hidden="1">0</definedName>
    <definedName name="solver_val" localSheetId="3" hidden="1">0</definedName>
    <definedName name="solver_ver" localSheetId="2" hidden="1">2</definedName>
    <definedName name="solver_ver" localSheetId="3" hidden="1">2</definedName>
    <definedName name="ss_err_scen">Scenarios!$S$7</definedName>
    <definedName name="sumsq_err_ns">NS!$P$6</definedName>
    <definedName name="yield_buy">'Bond 101'!$C$3</definedName>
    <definedName name="yield_sell">'Bond 101'!$D$3</definedName>
    <definedName name="yields_used">NS!$F$7:$F$15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6" i="4" l="1"/>
  <c r="J27" i="4" s="1"/>
  <c r="J28" i="4" s="1"/>
  <c r="J29" i="4" s="1"/>
  <c r="J30" i="4" s="1"/>
  <c r="J31" i="4" s="1"/>
  <c r="J32" i="4" s="1"/>
  <c r="J33" i="4" s="1"/>
  <c r="J34" i="4" s="1"/>
  <c r="J35" i="4" s="1"/>
  <c r="J36" i="4" s="1"/>
  <c r="J37" i="4" s="1"/>
  <c r="K25" i="4"/>
  <c r="J143" i="4"/>
  <c r="J144" i="4" s="1"/>
  <c r="J145" i="4" s="1"/>
  <c r="J146" i="4" s="1"/>
  <c r="J147" i="4" s="1"/>
  <c r="J148" i="4" s="1"/>
  <c r="J149" i="4" s="1"/>
  <c r="J150" i="4" s="1"/>
  <c r="J151" i="4" s="1"/>
  <c r="J152" i="4" s="1"/>
  <c r="J153" i="4" s="1"/>
  <c r="J154" i="4" s="1"/>
  <c r="K142" i="4"/>
  <c r="J130" i="4"/>
  <c r="J131" i="4" s="1"/>
  <c r="J132" i="4" s="1"/>
  <c r="J133" i="4" s="1"/>
  <c r="J134" i="4" s="1"/>
  <c r="J135" i="4" s="1"/>
  <c r="J136" i="4" s="1"/>
  <c r="J137" i="4" s="1"/>
  <c r="J138" i="4" s="1"/>
  <c r="J139" i="4" s="1"/>
  <c r="J140" i="4" s="1"/>
  <c r="J141" i="4" s="1"/>
  <c r="K129" i="4"/>
  <c r="J117" i="4"/>
  <c r="J118" i="4" s="1"/>
  <c r="J119" i="4" s="1"/>
  <c r="J120" i="4" s="1"/>
  <c r="J121" i="4" s="1"/>
  <c r="J122" i="4" s="1"/>
  <c r="J123" i="4" s="1"/>
  <c r="J124" i="4" s="1"/>
  <c r="J125" i="4" s="1"/>
  <c r="J126" i="4" s="1"/>
  <c r="J127" i="4" s="1"/>
  <c r="J128" i="4" s="1"/>
  <c r="K116" i="4"/>
  <c r="J104" i="4"/>
  <c r="J105" i="4" s="1"/>
  <c r="J106" i="4" s="1"/>
  <c r="J107" i="4" s="1"/>
  <c r="J108" i="4" s="1"/>
  <c r="J109" i="4" s="1"/>
  <c r="J110" i="4" s="1"/>
  <c r="J111" i="4" s="1"/>
  <c r="J112" i="4" s="1"/>
  <c r="J113" i="4" s="1"/>
  <c r="J114" i="4" s="1"/>
  <c r="J115" i="4" s="1"/>
  <c r="K103" i="4"/>
  <c r="J91" i="4"/>
  <c r="J92" i="4" s="1"/>
  <c r="J93" i="4" s="1"/>
  <c r="J94" i="4" s="1"/>
  <c r="J95" i="4" s="1"/>
  <c r="J96" i="4" s="1"/>
  <c r="J97" i="4" s="1"/>
  <c r="J98" i="4" s="1"/>
  <c r="J99" i="4" s="1"/>
  <c r="J100" i="4" s="1"/>
  <c r="J101" i="4" s="1"/>
  <c r="J102" i="4" s="1"/>
  <c r="K90" i="4"/>
  <c r="J78" i="4"/>
  <c r="J79" i="4" s="1"/>
  <c r="J80" i="4" s="1"/>
  <c r="J81" i="4" s="1"/>
  <c r="J82" i="4" s="1"/>
  <c r="J83" i="4" s="1"/>
  <c r="J84" i="4" s="1"/>
  <c r="J85" i="4" s="1"/>
  <c r="J86" i="4" s="1"/>
  <c r="J87" i="4" s="1"/>
  <c r="J88" i="4" s="1"/>
  <c r="J89" i="4" s="1"/>
  <c r="K77" i="4"/>
  <c r="J65" i="4"/>
  <c r="J66" i="4" s="1"/>
  <c r="J67" i="4" s="1"/>
  <c r="J68" i="4" s="1"/>
  <c r="J69" i="4" s="1"/>
  <c r="J70" i="4" s="1"/>
  <c r="J71" i="4" s="1"/>
  <c r="J72" i="4" s="1"/>
  <c r="J73" i="4" s="1"/>
  <c r="J74" i="4" s="1"/>
  <c r="J75" i="4" s="1"/>
  <c r="J76" i="4" s="1"/>
  <c r="K64" i="4"/>
  <c r="J52" i="4"/>
  <c r="J53" i="4" s="1"/>
  <c r="J54" i="4" s="1"/>
  <c r="J55" i="4" s="1"/>
  <c r="J56" i="4" s="1"/>
  <c r="J57" i="4" s="1"/>
  <c r="J58" i="4" s="1"/>
  <c r="J59" i="4" s="1"/>
  <c r="J60" i="4" s="1"/>
  <c r="J61" i="4" s="1"/>
  <c r="J62" i="4" s="1"/>
  <c r="J63" i="4" s="1"/>
  <c r="K51" i="4"/>
  <c r="J39" i="4"/>
  <c r="J40" i="4" s="1"/>
  <c r="J41" i="4" s="1"/>
  <c r="J42" i="4" s="1"/>
  <c r="J43" i="4" s="1"/>
  <c r="J44" i="4" s="1"/>
  <c r="J45" i="4" s="1"/>
  <c r="J46" i="4" s="1"/>
  <c r="J47" i="4" s="1"/>
  <c r="J48" i="4" s="1"/>
  <c r="J49" i="4" s="1"/>
  <c r="J50" i="4" s="1"/>
  <c r="K38" i="4"/>
  <c r="K12" i="4"/>
  <c r="K13" i="4" s="1"/>
  <c r="K14" i="4" s="1"/>
  <c r="K15" i="4" s="1"/>
  <c r="K16" i="4" s="1"/>
  <c r="J13" i="4"/>
  <c r="J14" i="4"/>
  <c r="B17" i="2" a="1"/>
  <c r="B17" i="2" s="1"/>
  <c r="C3" i="3"/>
  <c r="C7" i="3" a="1"/>
  <c r="C7" i="3" s="1"/>
  <c r="J4" i="2" s="1"/>
  <c r="K4" i="2" s="1"/>
  <c r="B7" i="3" a="1"/>
  <c r="B7" i="3" s="1"/>
  <c r="C6" i="6"/>
  <c r="C7" i="6" l="1"/>
  <c r="C9" i="6" s="1"/>
  <c r="K26" i="4"/>
  <c r="J15" i="4"/>
  <c r="K143" i="4"/>
  <c r="K130" i="4"/>
  <c r="K117" i="4"/>
  <c r="K104" i="4"/>
  <c r="K91" i="4"/>
  <c r="K78" i="4"/>
  <c r="K65" i="4"/>
  <c r="K52" i="4"/>
  <c r="K39" i="4"/>
  <c r="K17" i="4"/>
  <c r="B21" i="2"/>
  <c r="B19" i="2"/>
  <c r="B20" i="2"/>
  <c r="B18" i="2"/>
  <c r="C15" i="3"/>
  <c r="J12" i="2" s="1"/>
  <c r="K12" i="2" s="1"/>
  <c r="C14" i="3"/>
  <c r="J11" i="2" s="1"/>
  <c r="K11" i="2" s="1"/>
  <c r="C13" i="3"/>
  <c r="J10" i="2" s="1"/>
  <c r="K10" i="2" s="1"/>
  <c r="C12" i="3"/>
  <c r="J9" i="2" s="1"/>
  <c r="K9" i="2" s="1"/>
  <c r="C11" i="3"/>
  <c r="J8" i="2" s="1"/>
  <c r="K8" i="2" s="1"/>
  <c r="C10" i="3"/>
  <c r="J7" i="2" s="1"/>
  <c r="K7" i="2" s="1"/>
  <c r="C9" i="3"/>
  <c r="J6" i="2" s="1"/>
  <c r="K6" i="2" s="1"/>
  <c r="C8" i="3"/>
  <c r="J5" i="2" s="1"/>
  <c r="K5" i="2" s="1"/>
  <c r="B13" i="3"/>
  <c r="B12" i="3"/>
  <c r="B11" i="3"/>
  <c r="B10" i="3"/>
  <c r="B9" i="3"/>
  <c r="B8" i="3"/>
  <c r="B15" i="3"/>
  <c r="B14" i="3"/>
  <c r="M4" i="2" a="1"/>
  <c r="M123" i="2" s="1"/>
  <c r="D9" i="6" l="1"/>
  <c r="D11" i="6" s="1"/>
  <c r="C8" i="6"/>
  <c r="D12" i="6" s="1"/>
  <c r="K27" i="4"/>
  <c r="J16" i="4"/>
  <c r="K144" i="4"/>
  <c r="K131" i="4"/>
  <c r="K118" i="4"/>
  <c r="K105" i="4"/>
  <c r="K92" i="4"/>
  <c r="K79" i="4"/>
  <c r="K66" i="4"/>
  <c r="K53" i="4"/>
  <c r="K40" i="4"/>
  <c r="K18" i="4"/>
  <c r="M35" i="2"/>
  <c r="M41" i="2"/>
  <c r="M6" i="2"/>
  <c r="M91" i="2"/>
  <c r="M62" i="2"/>
  <c r="M12" i="2"/>
  <c r="M97" i="2"/>
  <c r="M27" i="2"/>
  <c r="M99" i="2"/>
  <c r="M70" i="2"/>
  <c r="M33" i="2"/>
  <c r="M105" i="2"/>
  <c r="M19" i="2"/>
  <c r="M25" i="2"/>
  <c r="M54" i="2"/>
  <c r="M83" i="2"/>
  <c r="M89" i="2"/>
  <c r="M118" i="2"/>
  <c r="M78" i="2"/>
  <c r="M107" i="2"/>
  <c r="M113" i="2"/>
  <c r="M22" i="2"/>
  <c r="M51" i="2"/>
  <c r="M57" i="2"/>
  <c r="M115" i="2"/>
  <c r="M4" i="2"/>
  <c r="M9" i="2"/>
  <c r="M30" i="2"/>
  <c r="M59" i="2"/>
  <c r="M65" i="2"/>
  <c r="M94" i="2"/>
  <c r="M122" i="2"/>
  <c r="M114" i="2"/>
  <c r="M106" i="2"/>
  <c r="M98" i="2"/>
  <c r="M90" i="2"/>
  <c r="M82" i="2"/>
  <c r="M74" i="2"/>
  <c r="M66" i="2"/>
  <c r="M58" i="2"/>
  <c r="M50" i="2"/>
  <c r="M42" i="2"/>
  <c r="M34" i="2"/>
  <c r="M26" i="2"/>
  <c r="M18" i="2"/>
  <c r="M10" i="2"/>
  <c r="M15" i="2"/>
  <c r="M124" i="2"/>
  <c r="M116" i="2"/>
  <c r="M108" i="2"/>
  <c r="M100" i="2"/>
  <c r="M92" i="2"/>
  <c r="M84" i="2"/>
  <c r="M76" i="2"/>
  <c r="M68" i="2"/>
  <c r="M44" i="2"/>
  <c r="M28" i="2"/>
  <c r="M119" i="2"/>
  <c r="M111" i="2"/>
  <c r="M103" i="2"/>
  <c r="M95" i="2"/>
  <c r="M87" i="2"/>
  <c r="M79" i="2"/>
  <c r="M71" i="2"/>
  <c r="M63" i="2"/>
  <c r="M55" i="2"/>
  <c r="M47" i="2"/>
  <c r="M39" i="2"/>
  <c r="M31" i="2"/>
  <c r="M23" i="2"/>
  <c r="M7" i="2"/>
  <c r="M60" i="2"/>
  <c r="M52" i="2"/>
  <c r="M36" i="2"/>
  <c r="M20" i="2"/>
  <c r="M120" i="2"/>
  <c r="M112" i="2"/>
  <c r="M104" i="2"/>
  <c r="M96" i="2"/>
  <c r="M88" i="2"/>
  <c r="M80" i="2"/>
  <c r="M72" i="2"/>
  <c r="M64" i="2"/>
  <c r="M56" i="2"/>
  <c r="M48" i="2"/>
  <c r="M40" i="2"/>
  <c r="M32" i="2"/>
  <c r="M24" i="2"/>
  <c r="M16" i="2"/>
  <c r="M8" i="2"/>
  <c r="M117" i="2"/>
  <c r="M109" i="2"/>
  <c r="M101" i="2"/>
  <c r="M93" i="2"/>
  <c r="M85" i="2"/>
  <c r="M77" i="2"/>
  <c r="M69" i="2"/>
  <c r="M61" i="2"/>
  <c r="M53" i="2"/>
  <c r="M45" i="2"/>
  <c r="M37" i="2"/>
  <c r="M29" i="2"/>
  <c r="M21" i="2"/>
  <c r="M13" i="2"/>
  <c r="M5" i="2"/>
  <c r="M11" i="2"/>
  <c r="M38" i="2"/>
  <c r="M67" i="2"/>
  <c r="M73" i="2"/>
  <c r="M102" i="2"/>
  <c r="M14" i="2"/>
  <c r="M43" i="2"/>
  <c r="M49" i="2"/>
  <c r="M86" i="2"/>
  <c r="M121" i="2"/>
  <c r="M17" i="2"/>
  <c r="M46" i="2"/>
  <c r="M75" i="2"/>
  <c r="M81" i="2"/>
  <c r="M110" i="2"/>
  <c r="D16" i="2" a="1"/>
  <c r="C16" i="2" a="1"/>
  <c r="K8" i="4" s="1"/>
  <c r="B16" i="2" a="1"/>
  <c r="K6" i="4"/>
  <c r="K5" i="4"/>
  <c r="K4" i="4"/>
  <c r="I6" i="3" a="1"/>
  <c r="I4" i="2"/>
  <c r="I5" i="2"/>
  <c r="I6" i="2"/>
  <c r="I7" i="2"/>
  <c r="I8" i="2"/>
  <c r="I9" i="2"/>
  <c r="I10" i="2"/>
  <c r="I11" i="2"/>
  <c r="I12" i="2"/>
  <c r="L116" i="4" l="1"/>
  <c r="M103" i="4"/>
  <c r="M104" i="4" s="1"/>
  <c r="M105" i="4" s="1"/>
  <c r="M106" i="4" s="1"/>
  <c r="M107" i="4" s="1"/>
  <c r="M108" i="4" s="1"/>
  <c r="M109" i="4" s="1"/>
  <c r="M110" i="4" s="1"/>
  <c r="M111" i="4" s="1"/>
  <c r="M112" i="4" s="1"/>
  <c r="M113" i="4" s="1"/>
  <c r="M114" i="4" s="1"/>
  <c r="M115" i="4" s="1"/>
  <c r="L103" i="4"/>
  <c r="M90" i="4"/>
  <c r="M91" i="4" s="1"/>
  <c r="M92" i="4" s="1"/>
  <c r="M93" i="4" s="1"/>
  <c r="M94" i="4" s="1"/>
  <c r="M95" i="4" s="1"/>
  <c r="M96" i="4" s="1"/>
  <c r="M97" i="4" s="1"/>
  <c r="M98" i="4" s="1"/>
  <c r="M99" i="4" s="1"/>
  <c r="M100" i="4" s="1"/>
  <c r="M101" i="4" s="1"/>
  <c r="M102" i="4" s="1"/>
  <c r="L90" i="4"/>
  <c r="M77" i="4"/>
  <c r="M78" i="4" s="1"/>
  <c r="M79" i="4" s="1"/>
  <c r="M80" i="4" s="1"/>
  <c r="M81" i="4" s="1"/>
  <c r="M82" i="4" s="1"/>
  <c r="M83" i="4" s="1"/>
  <c r="M84" i="4" s="1"/>
  <c r="M85" i="4" s="1"/>
  <c r="M86" i="4" s="1"/>
  <c r="M87" i="4" s="1"/>
  <c r="M88" i="4" s="1"/>
  <c r="M89" i="4" s="1"/>
  <c r="L77" i="4"/>
  <c r="M64" i="4"/>
  <c r="M65" i="4" s="1"/>
  <c r="M66" i="4" s="1"/>
  <c r="M67" i="4" s="1"/>
  <c r="M68" i="4" s="1"/>
  <c r="M69" i="4" s="1"/>
  <c r="M70" i="4" s="1"/>
  <c r="M71" i="4" s="1"/>
  <c r="M72" i="4" s="1"/>
  <c r="M73" i="4" s="1"/>
  <c r="M74" i="4" s="1"/>
  <c r="M75" i="4" s="1"/>
  <c r="M76" i="4" s="1"/>
  <c r="L64" i="4"/>
  <c r="M51" i="4"/>
  <c r="M52" i="4" s="1"/>
  <c r="M53" i="4" s="1"/>
  <c r="M54" i="4" s="1"/>
  <c r="M55" i="4" s="1"/>
  <c r="M56" i="4" s="1"/>
  <c r="M57" i="4" s="1"/>
  <c r="M58" i="4" s="1"/>
  <c r="M59" i="4" s="1"/>
  <c r="M60" i="4" s="1"/>
  <c r="M61" i="4" s="1"/>
  <c r="M62" i="4" s="1"/>
  <c r="M63" i="4" s="1"/>
  <c r="L51" i="4"/>
  <c r="M38" i="4"/>
  <c r="M39" i="4" s="1"/>
  <c r="M40" i="4" s="1"/>
  <c r="M41" i="4" s="1"/>
  <c r="M42" i="4" s="1"/>
  <c r="M43" i="4" s="1"/>
  <c r="M44" i="4" s="1"/>
  <c r="M45" i="4" s="1"/>
  <c r="M46" i="4" s="1"/>
  <c r="M47" i="4" s="1"/>
  <c r="M48" i="4" s="1"/>
  <c r="M49" i="4" s="1"/>
  <c r="M50" i="4" s="1"/>
  <c r="L38" i="4"/>
  <c r="M25" i="4"/>
  <c r="M26" i="4" s="1"/>
  <c r="M27" i="4" s="1"/>
  <c r="M28" i="4" s="1"/>
  <c r="M29" i="4" s="1"/>
  <c r="M30" i="4" s="1"/>
  <c r="M31" i="4" s="1"/>
  <c r="M32" i="4" s="1"/>
  <c r="M33" i="4" s="1"/>
  <c r="M34" i="4" s="1"/>
  <c r="M35" i="4" s="1"/>
  <c r="M36" i="4" s="1"/>
  <c r="M37" i="4" s="1"/>
  <c r="L25" i="4"/>
  <c r="O12" i="4"/>
  <c r="O13" i="4" s="1"/>
  <c r="O14" i="4" s="1"/>
  <c r="O15" i="4" s="1"/>
  <c r="N12" i="4"/>
  <c r="M12" i="4"/>
  <c r="M13" i="4" s="1"/>
  <c r="M14" i="4" s="1"/>
  <c r="M15" i="4" s="1"/>
  <c r="M16" i="4" s="1"/>
  <c r="M17" i="4" s="1"/>
  <c r="M18" i="4" s="1"/>
  <c r="M19" i="4" s="1"/>
  <c r="M20" i="4" s="1"/>
  <c r="M21" i="4" s="1"/>
  <c r="M22" i="4" s="1"/>
  <c r="M23" i="4" s="1"/>
  <c r="M24" i="4" s="1"/>
  <c r="L142" i="4"/>
  <c r="M129" i="4"/>
  <c r="M130" i="4" s="1"/>
  <c r="M131" i="4" s="1"/>
  <c r="M132" i="4" s="1"/>
  <c r="M133" i="4" s="1"/>
  <c r="M134" i="4" s="1"/>
  <c r="M135" i="4" s="1"/>
  <c r="M136" i="4" s="1"/>
  <c r="M137" i="4" s="1"/>
  <c r="M138" i="4" s="1"/>
  <c r="M139" i="4" s="1"/>
  <c r="M140" i="4" s="1"/>
  <c r="M141" i="4" s="1"/>
  <c r="L129" i="4"/>
  <c r="M116" i="4"/>
  <c r="M117" i="4" s="1"/>
  <c r="M118" i="4" s="1"/>
  <c r="M119" i="4" s="1"/>
  <c r="M120" i="4" s="1"/>
  <c r="M121" i="4" s="1"/>
  <c r="M122" i="4" s="1"/>
  <c r="M123" i="4" s="1"/>
  <c r="M124" i="4" s="1"/>
  <c r="M125" i="4" s="1"/>
  <c r="M126" i="4" s="1"/>
  <c r="M127" i="4" s="1"/>
  <c r="M128" i="4" s="1"/>
  <c r="L12" i="4"/>
  <c r="M142" i="4"/>
  <c r="M143" i="4" s="1"/>
  <c r="M144" i="4" s="1"/>
  <c r="M145" i="4" s="1"/>
  <c r="M146" i="4" s="1"/>
  <c r="M147" i="4" s="1"/>
  <c r="M148" i="4" s="1"/>
  <c r="M149" i="4" s="1"/>
  <c r="M150" i="4" s="1"/>
  <c r="M151" i="4" s="1"/>
  <c r="M152" i="4" s="1"/>
  <c r="M153" i="4" s="1"/>
  <c r="M154" i="4" s="1"/>
  <c r="N129" i="4"/>
  <c r="O116" i="4"/>
  <c r="O117" i="4" s="1"/>
  <c r="O118" i="4" s="1"/>
  <c r="O119" i="4" s="1"/>
  <c r="O120" i="4" s="1"/>
  <c r="O121" i="4" s="1"/>
  <c r="O122" i="4" s="1"/>
  <c r="O123" i="4" s="1"/>
  <c r="O124" i="4" s="1"/>
  <c r="O125" i="4" s="1"/>
  <c r="O126" i="4" s="1"/>
  <c r="O127" i="4" s="1"/>
  <c r="O128" i="4" s="1"/>
  <c r="N116" i="4"/>
  <c r="O103" i="4"/>
  <c r="O104" i="4" s="1"/>
  <c r="O105" i="4" s="1"/>
  <c r="O106" i="4" s="1"/>
  <c r="O107" i="4" s="1"/>
  <c r="O108" i="4" s="1"/>
  <c r="O109" i="4" s="1"/>
  <c r="O110" i="4" s="1"/>
  <c r="O111" i="4" s="1"/>
  <c r="O112" i="4" s="1"/>
  <c r="O113" i="4" s="1"/>
  <c r="O114" i="4" s="1"/>
  <c r="O115" i="4" s="1"/>
  <c r="N103" i="4"/>
  <c r="O90" i="4"/>
  <c r="O91" i="4" s="1"/>
  <c r="O92" i="4" s="1"/>
  <c r="O93" i="4" s="1"/>
  <c r="O94" i="4" s="1"/>
  <c r="O95" i="4" s="1"/>
  <c r="O96" i="4" s="1"/>
  <c r="O97" i="4" s="1"/>
  <c r="O98" i="4" s="1"/>
  <c r="O99" i="4" s="1"/>
  <c r="O100" i="4" s="1"/>
  <c r="O101" i="4" s="1"/>
  <c r="O102" i="4" s="1"/>
  <c r="N51" i="4"/>
  <c r="N38" i="4"/>
  <c r="N142" i="4"/>
  <c r="N90" i="4"/>
  <c r="O77" i="4"/>
  <c r="O78" i="4" s="1"/>
  <c r="O79" i="4" s="1"/>
  <c r="O80" i="4" s="1"/>
  <c r="O81" i="4" s="1"/>
  <c r="O82" i="4" s="1"/>
  <c r="O83" i="4" s="1"/>
  <c r="O84" i="4" s="1"/>
  <c r="O85" i="4" s="1"/>
  <c r="O86" i="4" s="1"/>
  <c r="O87" i="4" s="1"/>
  <c r="O88" i="4" s="1"/>
  <c r="O89" i="4" s="1"/>
  <c r="N77" i="4"/>
  <c r="O64" i="4"/>
  <c r="O65" i="4" s="1"/>
  <c r="O66" i="4" s="1"/>
  <c r="O67" i="4" s="1"/>
  <c r="O68" i="4" s="1"/>
  <c r="O69" i="4" s="1"/>
  <c r="O70" i="4" s="1"/>
  <c r="O71" i="4" s="1"/>
  <c r="O72" i="4" s="1"/>
  <c r="O73" i="4" s="1"/>
  <c r="O74" i="4" s="1"/>
  <c r="O75" i="4" s="1"/>
  <c r="O76" i="4" s="1"/>
  <c r="N64" i="4"/>
  <c r="O51" i="4"/>
  <c r="O52" i="4" s="1"/>
  <c r="O53" i="4" s="1"/>
  <c r="O54" i="4" s="1"/>
  <c r="O55" i="4" s="1"/>
  <c r="O56" i="4" s="1"/>
  <c r="O57" i="4" s="1"/>
  <c r="O58" i="4" s="1"/>
  <c r="O59" i="4" s="1"/>
  <c r="O60" i="4" s="1"/>
  <c r="O61" i="4" s="1"/>
  <c r="O62" i="4" s="1"/>
  <c r="O63" i="4" s="1"/>
  <c r="O38" i="4"/>
  <c r="O39" i="4" s="1"/>
  <c r="O40" i="4" s="1"/>
  <c r="O41" i="4" s="1"/>
  <c r="O42" i="4" s="1"/>
  <c r="O43" i="4" s="1"/>
  <c r="O44" i="4" s="1"/>
  <c r="O45" i="4" s="1"/>
  <c r="O46" i="4" s="1"/>
  <c r="O47" i="4" s="1"/>
  <c r="O48" i="4" s="1"/>
  <c r="O49" i="4" s="1"/>
  <c r="O50" i="4" s="1"/>
  <c r="O129" i="4"/>
  <c r="O130" i="4" s="1"/>
  <c r="O131" i="4" s="1"/>
  <c r="O132" i="4" s="1"/>
  <c r="O133" i="4" s="1"/>
  <c r="O134" i="4" s="1"/>
  <c r="O135" i="4" s="1"/>
  <c r="O136" i="4" s="1"/>
  <c r="O137" i="4" s="1"/>
  <c r="O138" i="4" s="1"/>
  <c r="O139" i="4" s="1"/>
  <c r="O140" i="4" s="1"/>
  <c r="O141" i="4" s="1"/>
  <c r="N25" i="4"/>
  <c r="O25" i="4"/>
  <c r="O26" i="4" s="1"/>
  <c r="O27" i="4" s="1"/>
  <c r="O28" i="4" s="1"/>
  <c r="O29" i="4" s="1"/>
  <c r="O30" i="4" s="1"/>
  <c r="O31" i="4" s="1"/>
  <c r="O32" i="4" s="1"/>
  <c r="O33" i="4" s="1"/>
  <c r="O34" i="4" s="1"/>
  <c r="O35" i="4" s="1"/>
  <c r="O36" i="4" s="1"/>
  <c r="O37" i="4" s="1"/>
  <c r="O142" i="4"/>
  <c r="O143" i="4" s="1"/>
  <c r="O144" i="4" s="1"/>
  <c r="O145" i="4" s="1"/>
  <c r="O146" i="4" s="1"/>
  <c r="O147" i="4" s="1"/>
  <c r="O148" i="4" s="1"/>
  <c r="O149" i="4" s="1"/>
  <c r="O150" i="4" s="1"/>
  <c r="O151" i="4" s="1"/>
  <c r="O152" i="4" s="1"/>
  <c r="O153" i="4" s="1"/>
  <c r="O154" i="4" s="1"/>
  <c r="K28" i="4"/>
  <c r="J17" i="4"/>
  <c r="K145" i="4"/>
  <c r="K132" i="4"/>
  <c r="K119" i="4"/>
  <c r="K106" i="4"/>
  <c r="K93" i="4"/>
  <c r="K80" i="4"/>
  <c r="K67" i="4"/>
  <c r="K54" i="4"/>
  <c r="K41" i="4"/>
  <c r="K19" i="4"/>
  <c r="O124" i="2"/>
  <c r="O116" i="2"/>
  <c r="O108" i="2"/>
  <c r="O100" i="2"/>
  <c r="O92" i="2"/>
  <c r="O84" i="2"/>
  <c r="O76" i="2"/>
  <c r="O68" i="2"/>
  <c r="O60" i="2"/>
  <c r="O52" i="2"/>
  <c r="O44" i="2"/>
  <c r="O36" i="2"/>
  <c r="O28" i="2"/>
  <c r="O20" i="2"/>
  <c r="O12" i="2"/>
  <c r="O4" i="2"/>
  <c r="O9" i="2"/>
  <c r="O118" i="2"/>
  <c r="O110" i="2"/>
  <c r="O102" i="2"/>
  <c r="O94" i="2"/>
  <c r="O86" i="2"/>
  <c r="O78" i="2"/>
  <c r="O70" i="2"/>
  <c r="O62" i="2"/>
  <c r="O54" i="2"/>
  <c r="O38" i="2"/>
  <c r="O22" i="2"/>
  <c r="O121" i="2"/>
  <c r="O113" i="2"/>
  <c r="O105" i="2"/>
  <c r="O97" i="2"/>
  <c r="O89" i="2"/>
  <c r="O81" i="2"/>
  <c r="O73" i="2"/>
  <c r="O65" i="2"/>
  <c r="O57" i="2"/>
  <c r="O49" i="2"/>
  <c r="O41" i="2"/>
  <c r="O33" i="2"/>
  <c r="O25" i="2"/>
  <c r="O17" i="2"/>
  <c r="O46" i="2"/>
  <c r="O30" i="2"/>
  <c r="O14" i="2"/>
  <c r="O6" i="2"/>
  <c r="O122" i="2"/>
  <c r="O114" i="2"/>
  <c r="O106" i="2"/>
  <c r="O98" i="2"/>
  <c r="O90" i="2"/>
  <c r="O82" i="2"/>
  <c r="O74" i="2"/>
  <c r="O66" i="2"/>
  <c r="O58" i="2"/>
  <c r="O50" i="2"/>
  <c r="O42" i="2"/>
  <c r="O34" i="2"/>
  <c r="O26" i="2"/>
  <c r="O18" i="2"/>
  <c r="O10" i="2"/>
  <c r="O119" i="2"/>
  <c r="O111" i="2"/>
  <c r="O103" i="2"/>
  <c r="O95" i="2"/>
  <c r="O87" i="2"/>
  <c r="O79" i="2"/>
  <c r="O71" i="2"/>
  <c r="O63" i="2"/>
  <c r="O55" i="2"/>
  <c r="O47" i="2"/>
  <c r="O39" i="2"/>
  <c r="O31" i="2"/>
  <c r="O23" i="2"/>
  <c r="O15" i="2"/>
  <c r="O7" i="2"/>
  <c r="O123" i="2"/>
  <c r="O117" i="2"/>
  <c r="O88" i="2"/>
  <c r="O59" i="2"/>
  <c r="O53" i="2"/>
  <c r="O24" i="2"/>
  <c r="O99" i="2"/>
  <c r="O64" i="2"/>
  <c r="O29" i="2"/>
  <c r="O120" i="2"/>
  <c r="O85" i="2"/>
  <c r="O27" i="2"/>
  <c r="O112" i="2"/>
  <c r="O48" i="2"/>
  <c r="O75" i="2"/>
  <c r="O115" i="2"/>
  <c r="O109" i="2"/>
  <c r="O80" i="2"/>
  <c r="O51" i="2"/>
  <c r="O45" i="2"/>
  <c r="O16" i="2"/>
  <c r="O77" i="2"/>
  <c r="O69" i="2"/>
  <c r="O107" i="2"/>
  <c r="O101" i="2"/>
  <c r="O72" i="2"/>
  <c r="O43" i="2"/>
  <c r="O37" i="2"/>
  <c r="O93" i="2"/>
  <c r="O35" i="2"/>
  <c r="O8" i="2"/>
  <c r="O91" i="2"/>
  <c r="O56" i="2"/>
  <c r="O21" i="2"/>
  <c r="O83" i="2"/>
  <c r="O13" i="2"/>
  <c r="O40" i="2"/>
  <c r="O96" i="2"/>
  <c r="O67" i="2"/>
  <c r="O61" i="2"/>
  <c r="O32" i="2"/>
  <c r="O11" i="2"/>
  <c r="O5" i="2"/>
  <c r="O19" i="2"/>
  <c r="O104" i="2"/>
  <c r="P5" i="4"/>
  <c r="Q5" i="4" s="1"/>
  <c r="K7" i="4"/>
  <c r="P6" i="4"/>
  <c r="Q6" i="4" s="1"/>
  <c r="P7" i="4"/>
  <c r="Q7" i="4" s="1"/>
  <c r="P4" i="4"/>
  <c r="Q4" i="4" s="1"/>
  <c r="N7" i="4"/>
  <c r="F26" i="3"/>
  <c r="N4" i="4"/>
  <c r="N5" i="4"/>
  <c r="N6" i="4"/>
  <c r="E96" i="3"/>
  <c r="E71" i="3"/>
  <c r="E50" i="3"/>
  <c r="E32" i="3"/>
  <c r="F127" i="3"/>
  <c r="F104" i="3"/>
  <c r="E135" i="3"/>
  <c r="F47" i="3"/>
  <c r="E114" i="3"/>
  <c r="F31" i="3"/>
  <c r="E98" i="3"/>
  <c r="F136" i="3"/>
  <c r="E66" i="3"/>
  <c r="F87" i="3"/>
  <c r="E55" i="3"/>
  <c r="F86" i="3"/>
  <c r="E112" i="3"/>
  <c r="E23" i="3"/>
  <c r="F24" i="3"/>
  <c r="E103" i="3"/>
  <c r="E64" i="3"/>
  <c r="F138" i="3"/>
  <c r="F90" i="3"/>
  <c r="F42" i="3"/>
  <c r="E130" i="3"/>
  <c r="E48" i="3"/>
  <c r="F72" i="3"/>
  <c r="E128" i="3"/>
  <c r="E82" i="3"/>
  <c r="E39" i="3"/>
  <c r="F120" i="3"/>
  <c r="F66" i="3"/>
  <c r="E87" i="3"/>
  <c r="F122" i="3"/>
  <c r="F23" i="3"/>
  <c r="E119" i="3"/>
  <c r="E80" i="3"/>
  <c r="E34" i="3"/>
  <c r="F111" i="3"/>
  <c r="F64" i="3"/>
  <c r="F106" i="3"/>
  <c r="F50" i="3"/>
  <c r="E134" i="3"/>
  <c r="E118" i="3"/>
  <c r="E102" i="3"/>
  <c r="E86" i="3"/>
  <c r="E70" i="3"/>
  <c r="E54" i="3"/>
  <c r="E38" i="3"/>
  <c r="E22" i="3"/>
  <c r="F126" i="3"/>
  <c r="F110" i="3"/>
  <c r="F88" i="3"/>
  <c r="F71" i="3"/>
  <c r="F48" i="3"/>
  <c r="F27" i="3"/>
  <c r="F35" i="3"/>
  <c r="F43" i="3"/>
  <c r="F51" i="3"/>
  <c r="F59" i="3"/>
  <c r="F67" i="3"/>
  <c r="F75" i="3"/>
  <c r="F83" i="3"/>
  <c r="F91" i="3"/>
  <c r="F99" i="3"/>
  <c r="F107" i="3"/>
  <c r="F115" i="3"/>
  <c r="F123" i="3"/>
  <c r="F131" i="3"/>
  <c r="F139" i="3"/>
  <c r="E27" i="3"/>
  <c r="E35" i="3"/>
  <c r="E43" i="3"/>
  <c r="E51" i="3"/>
  <c r="E59" i="3"/>
  <c r="E67" i="3"/>
  <c r="E75" i="3"/>
  <c r="E83" i="3"/>
  <c r="E91" i="3"/>
  <c r="E99" i="3"/>
  <c r="E107" i="3"/>
  <c r="E115" i="3"/>
  <c r="E123" i="3"/>
  <c r="E131" i="3"/>
  <c r="E139" i="3"/>
  <c r="F21" i="3"/>
  <c r="F37" i="3"/>
  <c r="F53" i="3"/>
  <c r="F61" i="3"/>
  <c r="F77" i="3"/>
  <c r="F93" i="3"/>
  <c r="F109" i="3"/>
  <c r="F125" i="3"/>
  <c r="E21" i="3"/>
  <c r="E29" i="3"/>
  <c r="E45" i="3"/>
  <c r="E61" i="3"/>
  <c r="E77" i="3"/>
  <c r="E101" i="3"/>
  <c r="E125" i="3"/>
  <c r="F22" i="3"/>
  <c r="F38" i="3"/>
  <c r="F54" i="3"/>
  <c r="F70" i="3"/>
  <c r="F94" i="3"/>
  <c r="F102" i="3"/>
  <c r="F20" i="3"/>
  <c r="F28" i="3"/>
  <c r="F36" i="3"/>
  <c r="F44" i="3"/>
  <c r="F52" i="3"/>
  <c r="F60" i="3"/>
  <c r="F68" i="3"/>
  <c r="F76" i="3"/>
  <c r="F84" i="3"/>
  <c r="F92" i="3"/>
  <c r="F100" i="3"/>
  <c r="F108" i="3"/>
  <c r="F116" i="3"/>
  <c r="F124" i="3"/>
  <c r="F132" i="3"/>
  <c r="F19" i="3"/>
  <c r="E28" i="3"/>
  <c r="E36" i="3"/>
  <c r="E44" i="3"/>
  <c r="E52" i="3"/>
  <c r="E60" i="3"/>
  <c r="E68" i="3"/>
  <c r="E76" i="3"/>
  <c r="E84" i="3"/>
  <c r="E92" i="3"/>
  <c r="E100" i="3"/>
  <c r="E108" i="3"/>
  <c r="E116" i="3"/>
  <c r="E124" i="3"/>
  <c r="E132" i="3"/>
  <c r="E19" i="3"/>
  <c r="F29" i="3"/>
  <c r="F45" i="3"/>
  <c r="F69" i="3"/>
  <c r="F85" i="3"/>
  <c r="F101" i="3"/>
  <c r="F117" i="3"/>
  <c r="F133" i="3"/>
  <c r="E37" i="3"/>
  <c r="E53" i="3"/>
  <c r="E69" i="3"/>
  <c r="E85" i="3"/>
  <c r="E93" i="3"/>
  <c r="E109" i="3"/>
  <c r="E117" i="3"/>
  <c r="E133" i="3"/>
  <c r="E20" i="3"/>
  <c r="F30" i="3"/>
  <c r="F46" i="3"/>
  <c r="F62" i="3"/>
  <c r="F78" i="3"/>
  <c r="F25" i="3"/>
  <c r="F33" i="3"/>
  <c r="F41" i="3"/>
  <c r="F49" i="3"/>
  <c r="F57" i="3"/>
  <c r="F65" i="3"/>
  <c r="F73" i="3"/>
  <c r="F81" i="3"/>
  <c r="F89" i="3"/>
  <c r="F97" i="3"/>
  <c r="F105" i="3"/>
  <c r="F113" i="3"/>
  <c r="F121" i="3"/>
  <c r="F129" i="3"/>
  <c r="F137" i="3"/>
  <c r="E25" i="3"/>
  <c r="E33" i="3"/>
  <c r="E41" i="3"/>
  <c r="E49" i="3"/>
  <c r="E57" i="3"/>
  <c r="E65" i="3"/>
  <c r="E73" i="3"/>
  <c r="E81" i="3"/>
  <c r="E89" i="3"/>
  <c r="E97" i="3"/>
  <c r="E105" i="3"/>
  <c r="E113" i="3"/>
  <c r="E121" i="3"/>
  <c r="E129" i="3"/>
  <c r="E137" i="3"/>
  <c r="E111" i="3"/>
  <c r="E95" i="3"/>
  <c r="E79" i="3"/>
  <c r="E63" i="3"/>
  <c r="E31" i="3"/>
  <c r="F135" i="3"/>
  <c r="F119" i="3"/>
  <c r="F103" i="3"/>
  <c r="F82" i="3"/>
  <c r="F63" i="3"/>
  <c r="F40" i="3"/>
  <c r="E126" i="3"/>
  <c r="E94" i="3"/>
  <c r="E62" i="3"/>
  <c r="E30" i="3"/>
  <c r="F118" i="3"/>
  <c r="F80" i="3"/>
  <c r="E138" i="3"/>
  <c r="E122" i="3"/>
  <c r="E106" i="3"/>
  <c r="E90" i="3"/>
  <c r="E74" i="3"/>
  <c r="E58" i="3"/>
  <c r="E42" i="3"/>
  <c r="E26" i="3"/>
  <c r="F130" i="3"/>
  <c r="F114" i="3"/>
  <c r="F96" i="3"/>
  <c r="F79" i="3"/>
  <c r="F56" i="3"/>
  <c r="F34" i="3"/>
  <c r="E127" i="3"/>
  <c r="E47" i="3"/>
  <c r="E110" i="3"/>
  <c r="E78" i="3"/>
  <c r="E46" i="3"/>
  <c r="F134" i="3"/>
  <c r="F98" i="3"/>
  <c r="F58" i="3"/>
  <c r="F39" i="3"/>
  <c r="E136" i="3"/>
  <c r="E120" i="3"/>
  <c r="E104" i="3"/>
  <c r="E88" i="3"/>
  <c r="E72" i="3"/>
  <c r="E56" i="3"/>
  <c r="E40" i="3"/>
  <c r="E24" i="3"/>
  <c r="F128" i="3"/>
  <c r="F112" i="3"/>
  <c r="F95" i="3"/>
  <c r="F74" i="3"/>
  <c r="F55" i="3"/>
  <c r="F32" i="3"/>
  <c r="P116" i="4" l="1"/>
  <c r="L117" i="4"/>
  <c r="P103" i="4"/>
  <c r="L104" i="4"/>
  <c r="P90" i="4"/>
  <c r="L91" i="4"/>
  <c r="P77" i="4"/>
  <c r="L78" i="4"/>
  <c r="P64" i="4"/>
  <c r="L65" i="4"/>
  <c r="P51" i="4"/>
  <c r="L52" i="4"/>
  <c r="P38" i="4"/>
  <c r="L39" i="4"/>
  <c r="P25" i="4"/>
  <c r="L26" i="4"/>
  <c r="Q12" i="4"/>
  <c r="N13" i="4"/>
  <c r="P142" i="4"/>
  <c r="L143" i="4"/>
  <c r="P129" i="4"/>
  <c r="L130" i="4"/>
  <c r="P12" i="4"/>
  <c r="L13" i="4"/>
  <c r="Q129" i="4"/>
  <c r="N130" i="4"/>
  <c r="Q116" i="4"/>
  <c r="N117" i="4"/>
  <c r="Q103" i="4"/>
  <c r="N104" i="4"/>
  <c r="Q51" i="4"/>
  <c r="N52" i="4"/>
  <c r="Q38" i="4"/>
  <c r="N39" i="4"/>
  <c r="Q142" i="4"/>
  <c r="N143" i="4"/>
  <c r="Q90" i="4"/>
  <c r="N91" i="4"/>
  <c r="Q77" i="4"/>
  <c r="N78" i="4"/>
  <c r="Q64" i="4"/>
  <c r="N65" i="4"/>
  <c r="N26" i="4"/>
  <c r="Q25" i="4"/>
  <c r="O16" i="4"/>
  <c r="K29" i="4"/>
  <c r="J18" i="4"/>
  <c r="K146" i="4"/>
  <c r="K133" i="4"/>
  <c r="K120" i="4"/>
  <c r="K107" i="4"/>
  <c r="K94" i="4"/>
  <c r="K81" i="4"/>
  <c r="K68" i="4"/>
  <c r="K55" i="4"/>
  <c r="K42" i="4"/>
  <c r="K20" i="4"/>
  <c r="C30" i="3"/>
  <c r="C136" i="3"/>
  <c r="C24" i="3"/>
  <c r="C104" i="3"/>
  <c r="C77" i="3"/>
  <c r="C133" i="3"/>
  <c r="C26" i="3"/>
  <c r="S7" i="4"/>
  <c r="C56" i="3"/>
  <c r="C72" i="3"/>
  <c r="C93" i="3"/>
  <c r="C21" i="3"/>
  <c r="C61" i="3"/>
  <c r="C29" i="3"/>
  <c r="C88" i="3"/>
  <c r="C46" i="3"/>
  <c r="C126" i="3"/>
  <c r="C63" i="3"/>
  <c r="C78" i="3"/>
  <c r="C122" i="3"/>
  <c r="C109" i="3"/>
  <c r="C117" i="3"/>
  <c r="C34" i="3"/>
  <c r="C39" i="3"/>
  <c r="C110" i="3"/>
  <c r="C20" i="3"/>
  <c r="C129" i="3"/>
  <c r="C65" i="3"/>
  <c r="C84" i="3"/>
  <c r="C115" i="3"/>
  <c r="C51" i="3"/>
  <c r="C60" i="3"/>
  <c r="C27" i="3"/>
  <c r="C79" i="3"/>
  <c r="C102" i="3"/>
  <c r="C80" i="3"/>
  <c r="C82" i="3"/>
  <c r="C64" i="3"/>
  <c r="C66" i="3"/>
  <c r="C105" i="3"/>
  <c r="C70" i="3"/>
  <c r="C47" i="3"/>
  <c r="C118" i="3"/>
  <c r="C103" i="3"/>
  <c r="C32" i="3"/>
  <c r="C106" i="3"/>
  <c r="C41" i="3"/>
  <c r="C124" i="3"/>
  <c r="C42" i="3"/>
  <c r="C94" i="3"/>
  <c r="C91" i="3"/>
  <c r="C55" i="3"/>
  <c r="C135" i="3"/>
  <c r="C86" i="3"/>
  <c r="C53" i="3"/>
  <c r="C23" i="3"/>
  <c r="C120" i="3"/>
  <c r="C138" i="3"/>
  <c r="C89" i="3"/>
  <c r="C108" i="3"/>
  <c r="C139" i="3"/>
  <c r="D15" i="3" s="1"/>
  <c r="C85" i="3"/>
  <c r="C67" i="3"/>
  <c r="C119" i="3"/>
  <c r="C128" i="3"/>
  <c r="C127" i="3"/>
  <c r="C137" i="3"/>
  <c r="C73" i="3"/>
  <c r="C69" i="3"/>
  <c r="C92" i="3"/>
  <c r="C28" i="3"/>
  <c r="C101" i="3"/>
  <c r="C123" i="3"/>
  <c r="C59" i="3"/>
  <c r="C134" i="3"/>
  <c r="C98" i="3"/>
  <c r="C50" i="3"/>
  <c r="C33" i="3"/>
  <c r="C97" i="3"/>
  <c r="C52" i="3"/>
  <c r="C83" i="3"/>
  <c r="C95" i="3"/>
  <c r="C75" i="3"/>
  <c r="C111" i="3"/>
  <c r="C36" i="3"/>
  <c r="C125" i="3"/>
  <c r="C40" i="3"/>
  <c r="C22" i="3"/>
  <c r="C71" i="3"/>
  <c r="C74" i="3"/>
  <c r="C62" i="3"/>
  <c r="C121" i="3"/>
  <c r="C57" i="3"/>
  <c r="C37" i="3"/>
  <c r="C19" i="3"/>
  <c r="C76" i="3"/>
  <c r="C107" i="3"/>
  <c r="C43" i="3"/>
  <c r="C38" i="3"/>
  <c r="C87" i="3"/>
  <c r="C130" i="3"/>
  <c r="C112" i="3"/>
  <c r="C114" i="3"/>
  <c r="C96" i="3"/>
  <c r="C116" i="3"/>
  <c r="C25" i="3"/>
  <c r="C44" i="3"/>
  <c r="C81" i="3"/>
  <c r="C100" i="3"/>
  <c r="C131" i="3"/>
  <c r="C58" i="3"/>
  <c r="C48" i="3"/>
  <c r="C90" i="3"/>
  <c r="C31" i="3"/>
  <c r="C113" i="3"/>
  <c r="C49" i="3"/>
  <c r="C132" i="3"/>
  <c r="C68" i="3"/>
  <c r="C45" i="3"/>
  <c r="C99" i="3"/>
  <c r="C35" i="3"/>
  <c r="C54" i="3"/>
  <c r="S90" i="4" l="1"/>
  <c r="S77" i="4"/>
  <c r="S38" i="4"/>
  <c r="S103" i="4"/>
  <c r="S51" i="4"/>
  <c r="S12" i="4"/>
  <c r="S64" i="4"/>
  <c r="S25" i="4"/>
  <c r="S116" i="4"/>
  <c r="S129" i="4"/>
  <c r="R116" i="4"/>
  <c r="R117" i="4"/>
  <c r="L118" i="4"/>
  <c r="P117" i="4"/>
  <c r="R104" i="4"/>
  <c r="R103" i="4"/>
  <c r="L105" i="4"/>
  <c r="P104" i="4"/>
  <c r="R105" i="4" s="1"/>
  <c r="R91" i="4"/>
  <c r="R90" i="4"/>
  <c r="L92" i="4"/>
  <c r="P91" i="4"/>
  <c r="R92" i="4" s="1"/>
  <c r="R78" i="4"/>
  <c r="R77" i="4"/>
  <c r="L79" i="4"/>
  <c r="P78" i="4"/>
  <c r="R79" i="4" s="1"/>
  <c r="R65" i="4"/>
  <c r="R64" i="4"/>
  <c r="L66" i="4"/>
  <c r="P65" i="4"/>
  <c r="R52" i="4"/>
  <c r="R51" i="4"/>
  <c r="L53" i="4"/>
  <c r="P52" i="4"/>
  <c r="R39" i="4"/>
  <c r="R38" i="4"/>
  <c r="L40" i="4"/>
  <c r="P39" i="4"/>
  <c r="R40" i="4" s="1"/>
  <c r="R25" i="4"/>
  <c r="R26" i="4"/>
  <c r="L27" i="4"/>
  <c r="P26" i="4"/>
  <c r="R27" i="4" s="1"/>
  <c r="Q13" i="4"/>
  <c r="S13" i="4" s="1"/>
  <c r="N14" i="4"/>
  <c r="R143" i="4"/>
  <c r="S142" i="4"/>
  <c r="R142" i="4"/>
  <c r="L144" i="4"/>
  <c r="P143" i="4"/>
  <c r="R130" i="4"/>
  <c r="R129" i="4"/>
  <c r="L131" i="4"/>
  <c r="P130" i="4"/>
  <c r="R13" i="4"/>
  <c r="R12" i="4"/>
  <c r="P13" i="4"/>
  <c r="R14" i="4" s="1"/>
  <c r="L14" i="4"/>
  <c r="N131" i="4"/>
  <c r="Q130" i="4"/>
  <c r="S130" i="4" s="1"/>
  <c r="Q117" i="4"/>
  <c r="S117" i="4" s="1"/>
  <c r="N118" i="4"/>
  <c r="N105" i="4"/>
  <c r="Q104" i="4"/>
  <c r="S104" i="4" s="1"/>
  <c r="Q52" i="4"/>
  <c r="S52" i="4" s="1"/>
  <c r="N53" i="4"/>
  <c r="N40" i="4"/>
  <c r="Q39" i="4"/>
  <c r="S39" i="4" s="1"/>
  <c r="N144" i="4"/>
  <c r="Q143" i="4"/>
  <c r="S143" i="4" s="1"/>
  <c r="N92" i="4"/>
  <c r="Q91" i="4"/>
  <c r="S91" i="4" s="1"/>
  <c r="N79" i="4"/>
  <c r="Q78" i="4"/>
  <c r="S78" i="4" s="1"/>
  <c r="N66" i="4"/>
  <c r="Q65" i="4"/>
  <c r="S65" i="4" s="1"/>
  <c r="N27" i="4"/>
  <c r="Q26" i="4"/>
  <c r="S26" i="4" s="1"/>
  <c r="O17" i="4"/>
  <c r="K30" i="4"/>
  <c r="J19" i="4"/>
  <c r="K147" i="4"/>
  <c r="K134" i="4"/>
  <c r="K121" i="4"/>
  <c r="K108" i="4"/>
  <c r="K95" i="4"/>
  <c r="K82" i="4"/>
  <c r="K69" i="4"/>
  <c r="K56" i="4"/>
  <c r="K43" i="4"/>
  <c r="K21" i="4"/>
  <c r="E15" i="3"/>
  <c r="D14" i="3"/>
  <c r="E14" i="3" s="1"/>
  <c r="D7" i="3"/>
  <c r="E7" i="3" s="1"/>
  <c r="D12" i="3"/>
  <c r="E12" i="3" s="1"/>
  <c r="D8" i="3"/>
  <c r="E8" i="3" s="1"/>
  <c r="D10" i="3"/>
  <c r="E10" i="3" s="1"/>
  <c r="D9" i="3"/>
  <c r="E9" i="3" s="1"/>
  <c r="D11" i="3"/>
  <c r="E11" i="3" s="1"/>
  <c r="D13" i="3"/>
  <c r="E13" i="3" s="1"/>
  <c r="N4" i="2" a="1"/>
  <c r="T90" i="4" l="1"/>
  <c r="X19" i="4" s="1"/>
  <c r="T77" i="4"/>
  <c r="X18" i="4" s="1"/>
  <c r="T103" i="4"/>
  <c r="X20" i="4" s="1"/>
  <c r="T38" i="4"/>
  <c r="X15" i="4" s="1"/>
  <c r="T51" i="4"/>
  <c r="X16" i="4" s="1"/>
  <c r="T12" i="4"/>
  <c r="X13" i="4" s="1"/>
  <c r="T64" i="4"/>
  <c r="X17" i="4" s="1"/>
  <c r="T25" i="4"/>
  <c r="X14" i="4" s="1"/>
  <c r="T116" i="4"/>
  <c r="X21" i="4" s="1"/>
  <c r="T26" i="4"/>
  <c r="U26" i="4" s="1"/>
  <c r="T129" i="4"/>
  <c r="X22" i="4" s="1"/>
  <c r="L119" i="4"/>
  <c r="P118" i="4"/>
  <c r="R118" i="4"/>
  <c r="L106" i="4"/>
  <c r="P105" i="4"/>
  <c r="R106" i="4" s="1"/>
  <c r="L93" i="4"/>
  <c r="P92" i="4"/>
  <c r="R93" i="4" s="1"/>
  <c r="L80" i="4"/>
  <c r="P79" i="4"/>
  <c r="R80" i="4" s="1"/>
  <c r="L67" i="4"/>
  <c r="P66" i="4"/>
  <c r="R66" i="4"/>
  <c r="L54" i="4"/>
  <c r="P53" i="4"/>
  <c r="R54" i="4" s="1"/>
  <c r="R53" i="4"/>
  <c r="L41" i="4"/>
  <c r="P40" i="4"/>
  <c r="L28" i="4"/>
  <c r="P27" i="4"/>
  <c r="R28" i="4" s="1"/>
  <c r="Q14" i="4"/>
  <c r="S14" i="4" s="1"/>
  <c r="N15" i="4"/>
  <c r="L145" i="4"/>
  <c r="P144" i="4"/>
  <c r="R144" i="4"/>
  <c r="L132" i="4"/>
  <c r="P131" i="4"/>
  <c r="R131" i="4"/>
  <c r="P14" i="4"/>
  <c r="R15" i="4" s="1"/>
  <c r="L15" i="4"/>
  <c r="N132" i="4"/>
  <c r="Q131" i="4"/>
  <c r="S131" i="4" s="1"/>
  <c r="N119" i="4"/>
  <c r="Q118" i="4"/>
  <c r="S118" i="4" s="1"/>
  <c r="N106" i="4"/>
  <c r="Q105" i="4"/>
  <c r="S105" i="4" s="1"/>
  <c r="N54" i="4"/>
  <c r="Q53" i="4"/>
  <c r="S53" i="4" s="1"/>
  <c r="N41" i="4"/>
  <c r="Q40" i="4"/>
  <c r="S40" i="4" s="1"/>
  <c r="T40" i="4" s="1"/>
  <c r="N145" i="4"/>
  <c r="Q144" i="4"/>
  <c r="S144" i="4" s="1"/>
  <c r="N93" i="4"/>
  <c r="Q92" i="4"/>
  <c r="S92" i="4" s="1"/>
  <c r="N80" i="4"/>
  <c r="Q79" i="4"/>
  <c r="S79" i="4" s="1"/>
  <c r="N67" i="4"/>
  <c r="Q66" i="4"/>
  <c r="S66" i="4" s="1"/>
  <c r="N28" i="4"/>
  <c r="Q27" i="4"/>
  <c r="S27" i="4" s="1"/>
  <c r="T27" i="4" s="1"/>
  <c r="T39" i="4"/>
  <c r="U39" i="4" s="1"/>
  <c r="T142" i="4"/>
  <c r="X23" i="4" s="1"/>
  <c r="T52" i="4"/>
  <c r="U52" i="4" s="1"/>
  <c r="O18" i="4"/>
  <c r="K31" i="4"/>
  <c r="J20" i="4"/>
  <c r="K148" i="4"/>
  <c r="K135" i="4"/>
  <c r="K122" i="4"/>
  <c r="K109" i="4"/>
  <c r="K96" i="4"/>
  <c r="K83" i="4"/>
  <c r="K70" i="4"/>
  <c r="K57" i="4"/>
  <c r="K44" i="4"/>
  <c r="K22" i="4"/>
  <c r="P6" i="3"/>
  <c r="N119" i="2"/>
  <c r="N111" i="2"/>
  <c r="N103" i="2"/>
  <c r="N95" i="2"/>
  <c r="N87" i="2"/>
  <c r="N79" i="2"/>
  <c r="N71" i="2"/>
  <c r="N63" i="2"/>
  <c r="N55" i="2"/>
  <c r="N47" i="2"/>
  <c r="N39" i="2"/>
  <c r="N31" i="2"/>
  <c r="N23" i="2"/>
  <c r="N15" i="2"/>
  <c r="N7" i="2"/>
  <c r="N12" i="2"/>
  <c r="N121" i="2"/>
  <c r="N113" i="2"/>
  <c r="N105" i="2"/>
  <c r="N97" i="2"/>
  <c r="N89" i="2"/>
  <c r="N81" i="2"/>
  <c r="N73" i="2"/>
  <c r="N65" i="2"/>
  <c r="N57" i="2"/>
  <c r="N41" i="2"/>
  <c r="N25" i="2"/>
  <c r="N124" i="2"/>
  <c r="N116" i="2"/>
  <c r="N108" i="2"/>
  <c r="N100" i="2"/>
  <c r="N92" i="2"/>
  <c r="N84" i="2"/>
  <c r="N76" i="2"/>
  <c r="N68" i="2"/>
  <c r="N60" i="2"/>
  <c r="N52" i="2"/>
  <c r="N44" i="2"/>
  <c r="N36" i="2"/>
  <c r="N28" i="2"/>
  <c r="N20" i="2"/>
  <c r="N49" i="2"/>
  <c r="N33" i="2"/>
  <c r="N17" i="2"/>
  <c r="N9" i="2"/>
  <c r="N117" i="2"/>
  <c r="N109" i="2"/>
  <c r="N101" i="2"/>
  <c r="N93" i="2"/>
  <c r="N85" i="2"/>
  <c r="N77" i="2"/>
  <c r="N69" i="2"/>
  <c r="N61" i="2"/>
  <c r="N53" i="2"/>
  <c r="N45" i="2"/>
  <c r="N37" i="2"/>
  <c r="N29" i="2"/>
  <c r="N21" i="2"/>
  <c r="N13" i="2"/>
  <c r="N5" i="2"/>
  <c r="N122" i="2"/>
  <c r="N114" i="2"/>
  <c r="N106" i="2"/>
  <c r="N98" i="2"/>
  <c r="N90" i="2"/>
  <c r="N82" i="2"/>
  <c r="N74" i="2"/>
  <c r="N66" i="2"/>
  <c r="N58" i="2"/>
  <c r="N50" i="2"/>
  <c r="N42" i="2"/>
  <c r="N34" i="2"/>
  <c r="N26" i="2"/>
  <c r="N18" i="2"/>
  <c r="N10" i="2"/>
  <c r="N102" i="2"/>
  <c r="N96" i="2"/>
  <c r="N67" i="2"/>
  <c r="N38" i="2"/>
  <c r="N32" i="2"/>
  <c r="N11" i="2"/>
  <c r="N4" i="2"/>
  <c r="N107" i="2"/>
  <c r="N78" i="2"/>
  <c r="N8" i="2"/>
  <c r="N62" i="2"/>
  <c r="N6" i="2"/>
  <c r="N112" i="2"/>
  <c r="N19" i="2"/>
  <c r="N123" i="2"/>
  <c r="N94" i="2"/>
  <c r="N88" i="2"/>
  <c r="N59" i="2"/>
  <c r="N30" i="2"/>
  <c r="N24" i="2"/>
  <c r="N118" i="2"/>
  <c r="N115" i="2"/>
  <c r="N86" i="2"/>
  <c r="N80" i="2"/>
  <c r="N51" i="2"/>
  <c r="N22" i="2"/>
  <c r="N16" i="2"/>
  <c r="N72" i="2"/>
  <c r="N43" i="2"/>
  <c r="N14" i="2"/>
  <c r="N99" i="2"/>
  <c r="N70" i="2"/>
  <c r="N64" i="2"/>
  <c r="N35" i="2"/>
  <c r="N120" i="2"/>
  <c r="N91" i="2"/>
  <c r="N27" i="2"/>
  <c r="N83" i="2"/>
  <c r="N54" i="2"/>
  <c r="N48" i="2"/>
  <c r="N110" i="2"/>
  <c r="N104" i="2"/>
  <c r="N75" i="2"/>
  <c r="N46" i="2"/>
  <c r="N40" i="2"/>
  <c r="N56" i="2"/>
  <c r="U27" i="4" l="1"/>
  <c r="U40" i="4"/>
  <c r="L120" i="4"/>
  <c r="P119" i="4"/>
  <c r="R119" i="4"/>
  <c r="L107" i="4"/>
  <c r="P106" i="4"/>
  <c r="R107" i="4" s="1"/>
  <c r="L94" i="4"/>
  <c r="P93" i="4"/>
  <c r="R94" i="4" s="1"/>
  <c r="L81" i="4"/>
  <c r="P80" i="4"/>
  <c r="R81" i="4" s="1"/>
  <c r="L68" i="4"/>
  <c r="P67" i="4"/>
  <c r="R67" i="4"/>
  <c r="L55" i="4"/>
  <c r="P54" i="4"/>
  <c r="R55" i="4" s="1"/>
  <c r="L42" i="4"/>
  <c r="P41" i="4"/>
  <c r="R41" i="4"/>
  <c r="L29" i="4"/>
  <c r="P28" i="4"/>
  <c r="R29" i="4" s="1"/>
  <c r="Q15" i="4"/>
  <c r="S15" i="4" s="1"/>
  <c r="N16" i="4"/>
  <c r="L146" i="4"/>
  <c r="P145" i="4"/>
  <c r="R146" i="4" s="1"/>
  <c r="R145" i="4"/>
  <c r="L133" i="4"/>
  <c r="P132" i="4"/>
  <c r="R133" i="4" s="1"/>
  <c r="R132" i="4"/>
  <c r="P15" i="4"/>
  <c r="R16" i="4" s="1"/>
  <c r="L16" i="4"/>
  <c r="N133" i="4"/>
  <c r="Q132" i="4"/>
  <c r="S132" i="4" s="1"/>
  <c r="N120" i="4"/>
  <c r="Q119" i="4"/>
  <c r="S119" i="4" s="1"/>
  <c r="N107" i="4"/>
  <c r="Q106" i="4"/>
  <c r="S106" i="4" s="1"/>
  <c r="N55" i="4"/>
  <c r="Q54" i="4"/>
  <c r="S54" i="4" s="1"/>
  <c r="T54" i="4" s="1"/>
  <c r="N42" i="4"/>
  <c r="Q41" i="4"/>
  <c r="S41" i="4" s="1"/>
  <c r="N146" i="4"/>
  <c r="Q145" i="4"/>
  <c r="S145" i="4" s="1"/>
  <c r="N94" i="4"/>
  <c r="Q93" i="4"/>
  <c r="S93" i="4" s="1"/>
  <c r="N81" i="4"/>
  <c r="Q80" i="4"/>
  <c r="S80" i="4" s="1"/>
  <c r="N68" i="4"/>
  <c r="Q67" i="4"/>
  <c r="S67" i="4" s="1"/>
  <c r="N29" i="4"/>
  <c r="Q28" i="4"/>
  <c r="S28" i="4" s="1"/>
  <c r="T28" i="4" s="1"/>
  <c r="T53" i="4"/>
  <c r="U53" i="4" s="1"/>
  <c r="O19" i="4"/>
  <c r="K32" i="4"/>
  <c r="J21" i="4"/>
  <c r="K149" i="4"/>
  <c r="K136" i="4"/>
  <c r="K123" i="4"/>
  <c r="K110" i="4"/>
  <c r="K97" i="4"/>
  <c r="K84" i="4"/>
  <c r="K71" i="4"/>
  <c r="K58" i="4"/>
  <c r="K45" i="4"/>
  <c r="K23" i="4"/>
  <c r="T41" i="4" l="1"/>
  <c r="U41" i="4" s="1"/>
  <c r="U28" i="4"/>
  <c r="U54" i="4"/>
  <c r="L121" i="4"/>
  <c r="P120" i="4"/>
  <c r="R121" i="4" s="1"/>
  <c r="R120" i="4"/>
  <c r="L108" i="4"/>
  <c r="P107" i="4"/>
  <c r="R108" i="4" s="1"/>
  <c r="L95" i="4"/>
  <c r="P94" i="4"/>
  <c r="L82" i="4"/>
  <c r="P81" i="4"/>
  <c r="L69" i="4"/>
  <c r="P68" i="4"/>
  <c r="R68" i="4"/>
  <c r="L56" i="4"/>
  <c r="P55" i="4"/>
  <c r="R56" i="4" s="1"/>
  <c r="L43" i="4"/>
  <c r="P42" i="4"/>
  <c r="R42" i="4"/>
  <c r="L30" i="4"/>
  <c r="P29" i="4"/>
  <c r="R30" i="4" s="1"/>
  <c r="Q16" i="4"/>
  <c r="S16" i="4" s="1"/>
  <c r="N17" i="4"/>
  <c r="L147" i="4"/>
  <c r="P146" i="4"/>
  <c r="L134" i="4"/>
  <c r="P133" i="4"/>
  <c r="P16" i="4"/>
  <c r="R17" i="4" s="1"/>
  <c r="L17" i="4"/>
  <c r="N134" i="4"/>
  <c r="Q133" i="4"/>
  <c r="S133" i="4" s="1"/>
  <c r="N121" i="4"/>
  <c r="Q120" i="4"/>
  <c r="S120" i="4" s="1"/>
  <c r="N108" i="4"/>
  <c r="Q107" i="4"/>
  <c r="S107" i="4" s="1"/>
  <c r="N56" i="4"/>
  <c r="Q55" i="4"/>
  <c r="S55" i="4" s="1"/>
  <c r="T55" i="4" s="1"/>
  <c r="N43" i="4"/>
  <c r="Q42" i="4"/>
  <c r="S42" i="4" s="1"/>
  <c r="N147" i="4"/>
  <c r="Q146" i="4"/>
  <c r="S146" i="4" s="1"/>
  <c r="N95" i="4"/>
  <c r="Q94" i="4"/>
  <c r="S94" i="4" s="1"/>
  <c r="N82" i="4"/>
  <c r="Q81" i="4"/>
  <c r="S81" i="4" s="1"/>
  <c r="N69" i="4"/>
  <c r="Q68" i="4"/>
  <c r="S68" i="4" s="1"/>
  <c r="N30" i="4"/>
  <c r="Q29" i="4"/>
  <c r="S29" i="4" s="1"/>
  <c r="T29" i="4" s="1"/>
  <c r="O20" i="4"/>
  <c r="K33" i="4"/>
  <c r="J22" i="4"/>
  <c r="K150" i="4"/>
  <c r="K137" i="4"/>
  <c r="K124" i="4"/>
  <c r="K111" i="4"/>
  <c r="K98" i="4"/>
  <c r="K85" i="4"/>
  <c r="K72" i="4"/>
  <c r="K59" i="4"/>
  <c r="K46" i="4"/>
  <c r="K24" i="4"/>
  <c r="U29" i="4" l="1"/>
  <c r="T42" i="4"/>
  <c r="U42" i="4" s="1"/>
  <c r="U55" i="4"/>
  <c r="L122" i="4"/>
  <c r="P121" i="4"/>
  <c r="R122" i="4" s="1"/>
  <c r="L109" i="4"/>
  <c r="P108" i="4"/>
  <c r="R109" i="4" s="1"/>
  <c r="L96" i="4"/>
  <c r="P95" i="4"/>
  <c r="R96" i="4" s="1"/>
  <c r="R95" i="4"/>
  <c r="L83" i="4"/>
  <c r="P82" i="4"/>
  <c r="R82" i="4"/>
  <c r="L70" i="4"/>
  <c r="P69" i="4"/>
  <c r="R70" i="4" s="1"/>
  <c r="R69" i="4"/>
  <c r="P56" i="4"/>
  <c r="L57" i="4"/>
  <c r="L44" i="4"/>
  <c r="P43" i="4"/>
  <c r="R43" i="4"/>
  <c r="L31" i="4"/>
  <c r="P30" i="4"/>
  <c r="R31" i="4" s="1"/>
  <c r="Q17" i="4"/>
  <c r="S17" i="4" s="1"/>
  <c r="N18" i="4"/>
  <c r="L148" i="4"/>
  <c r="P147" i="4"/>
  <c r="R148" i="4" s="1"/>
  <c r="R147" i="4"/>
  <c r="L135" i="4"/>
  <c r="P134" i="4"/>
  <c r="R134" i="4"/>
  <c r="P17" i="4"/>
  <c r="R18" i="4" s="1"/>
  <c r="L18" i="4"/>
  <c r="N135" i="4"/>
  <c r="Q134" i="4"/>
  <c r="S134" i="4" s="1"/>
  <c r="Q121" i="4"/>
  <c r="S121" i="4" s="1"/>
  <c r="N122" i="4"/>
  <c r="N109" i="4"/>
  <c r="Q108" i="4"/>
  <c r="S108" i="4" s="1"/>
  <c r="Q56" i="4"/>
  <c r="S56" i="4" s="1"/>
  <c r="T56" i="4" s="1"/>
  <c r="N57" i="4"/>
  <c r="Q43" i="4"/>
  <c r="S43" i="4" s="1"/>
  <c r="N44" i="4"/>
  <c r="N148" i="4"/>
  <c r="Q147" i="4"/>
  <c r="S147" i="4" s="1"/>
  <c r="N96" i="4"/>
  <c r="Q95" i="4"/>
  <c r="S95" i="4" s="1"/>
  <c r="N83" i="4"/>
  <c r="Q82" i="4"/>
  <c r="S82" i="4" s="1"/>
  <c r="N70" i="4"/>
  <c r="Q69" i="4"/>
  <c r="S69" i="4" s="1"/>
  <c r="N31" i="4"/>
  <c r="Q30" i="4"/>
  <c r="S30" i="4" s="1"/>
  <c r="T30" i="4" s="1"/>
  <c r="O21" i="4"/>
  <c r="K34" i="4"/>
  <c r="J23" i="4"/>
  <c r="K151" i="4"/>
  <c r="K138" i="4"/>
  <c r="K125" i="4"/>
  <c r="K112" i="4"/>
  <c r="K99" i="4"/>
  <c r="K86" i="4"/>
  <c r="K73" i="4"/>
  <c r="K60" i="4"/>
  <c r="K47" i="4"/>
  <c r="U30" i="4" l="1"/>
  <c r="U56" i="4"/>
  <c r="L123" i="4"/>
  <c r="P122" i="4"/>
  <c r="R123" i="4" s="1"/>
  <c r="L110" i="4"/>
  <c r="P109" i="4"/>
  <c r="R110" i="4" s="1"/>
  <c r="L97" i="4"/>
  <c r="P96" i="4"/>
  <c r="R97" i="4" s="1"/>
  <c r="L84" i="4"/>
  <c r="P83" i="4"/>
  <c r="R83" i="4"/>
  <c r="L71" i="4"/>
  <c r="P70" i="4"/>
  <c r="R57" i="4"/>
  <c r="L58" i="4"/>
  <c r="P57" i="4"/>
  <c r="R58" i="4" s="1"/>
  <c r="L45" i="4"/>
  <c r="P44" i="4"/>
  <c r="R44" i="4"/>
  <c r="L32" i="4"/>
  <c r="P31" i="4"/>
  <c r="R32" i="4" s="1"/>
  <c r="Q18" i="4"/>
  <c r="S18" i="4" s="1"/>
  <c r="T18" i="4" s="1"/>
  <c r="N19" i="4"/>
  <c r="L149" i="4"/>
  <c r="P148" i="4"/>
  <c r="R149" i="4" s="1"/>
  <c r="L136" i="4"/>
  <c r="P135" i="4"/>
  <c r="R135" i="4"/>
  <c r="P18" i="4"/>
  <c r="R19" i="4" s="1"/>
  <c r="L19" i="4"/>
  <c r="N136" i="4"/>
  <c r="Q135" i="4"/>
  <c r="S135" i="4" s="1"/>
  <c r="N123" i="4"/>
  <c r="Q122" i="4"/>
  <c r="S122" i="4" s="1"/>
  <c r="N110" i="4"/>
  <c r="Q109" i="4"/>
  <c r="S109" i="4" s="1"/>
  <c r="N58" i="4"/>
  <c r="Q57" i="4"/>
  <c r="S57" i="4" s="1"/>
  <c r="N45" i="4"/>
  <c r="Q44" i="4"/>
  <c r="S44" i="4" s="1"/>
  <c r="N149" i="4"/>
  <c r="Q148" i="4"/>
  <c r="S148" i="4" s="1"/>
  <c r="N97" i="4"/>
  <c r="Q96" i="4"/>
  <c r="S96" i="4" s="1"/>
  <c r="N84" i="4"/>
  <c r="Q83" i="4"/>
  <c r="S83" i="4" s="1"/>
  <c r="N71" i="4"/>
  <c r="Q70" i="4"/>
  <c r="S70" i="4" s="1"/>
  <c r="N32" i="4"/>
  <c r="Q31" i="4"/>
  <c r="S31" i="4" s="1"/>
  <c r="T31" i="4" s="1"/>
  <c r="T43" i="4"/>
  <c r="U43" i="4" s="1"/>
  <c r="O22" i="4"/>
  <c r="K35" i="4"/>
  <c r="J24" i="4"/>
  <c r="T143" i="4"/>
  <c r="U143" i="4" s="1"/>
  <c r="T117" i="4"/>
  <c r="U117" i="4" s="1"/>
  <c r="T130" i="4"/>
  <c r="U130" i="4" s="1"/>
  <c r="T104" i="4"/>
  <c r="U104" i="4" s="1"/>
  <c r="T91" i="4"/>
  <c r="U91" i="4" s="1"/>
  <c r="T78" i="4"/>
  <c r="U78" i="4" s="1"/>
  <c r="T65" i="4"/>
  <c r="U65" i="4" s="1"/>
  <c r="K152" i="4"/>
  <c r="K139" i="4"/>
  <c r="K126" i="4"/>
  <c r="K113" i="4"/>
  <c r="K100" i="4"/>
  <c r="K87" i="4"/>
  <c r="K74" i="4"/>
  <c r="K61" i="4"/>
  <c r="K48" i="4"/>
  <c r="T16" i="4"/>
  <c r="T13" i="4"/>
  <c r="U13" i="4" s="1"/>
  <c r="T14" i="4"/>
  <c r="T15" i="4"/>
  <c r="T17" i="4"/>
  <c r="U31" i="4" l="1"/>
  <c r="L124" i="4"/>
  <c r="P123" i="4"/>
  <c r="R124" i="4" s="1"/>
  <c r="L111" i="4"/>
  <c r="P110" i="4"/>
  <c r="R111" i="4" s="1"/>
  <c r="L98" i="4"/>
  <c r="P97" i="4"/>
  <c r="R98" i="4" s="1"/>
  <c r="L85" i="4"/>
  <c r="P84" i="4"/>
  <c r="R84" i="4"/>
  <c r="L72" i="4"/>
  <c r="P71" i="4"/>
  <c r="R72" i="4" s="1"/>
  <c r="R71" i="4"/>
  <c r="L59" i="4"/>
  <c r="P58" i="4"/>
  <c r="L46" i="4"/>
  <c r="P45" i="4"/>
  <c r="R45" i="4"/>
  <c r="L33" i="4"/>
  <c r="P32" i="4"/>
  <c r="R33" i="4" s="1"/>
  <c r="Q19" i="4"/>
  <c r="S19" i="4" s="1"/>
  <c r="T19" i="4" s="1"/>
  <c r="N20" i="4"/>
  <c r="L150" i="4"/>
  <c r="P149" i="4"/>
  <c r="L137" i="4"/>
  <c r="P136" i="4"/>
  <c r="R136" i="4"/>
  <c r="P19" i="4"/>
  <c r="R20" i="4" s="1"/>
  <c r="L20" i="4"/>
  <c r="N137" i="4"/>
  <c r="Q136" i="4"/>
  <c r="S136" i="4" s="1"/>
  <c r="N124" i="4"/>
  <c r="Q123" i="4"/>
  <c r="S123" i="4" s="1"/>
  <c r="N111" i="4"/>
  <c r="Q110" i="4"/>
  <c r="S110" i="4" s="1"/>
  <c r="N59" i="4"/>
  <c r="Q58" i="4"/>
  <c r="S58" i="4" s="1"/>
  <c r="T58" i="4" s="1"/>
  <c r="N46" i="4"/>
  <c r="Q45" i="4"/>
  <c r="S45" i="4" s="1"/>
  <c r="N150" i="4"/>
  <c r="Q149" i="4"/>
  <c r="S149" i="4" s="1"/>
  <c r="N98" i="4"/>
  <c r="Q97" i="4"/>
  <c r="S97" i="4" s="1"/>
  <c r="N85" i="4"/>
  <c r="Q84" i="4"/>
  <c r="S84" i="4" s="1"/>
  <c r="N72" i="4"/>
  <c r="Q71" i="4"/>
  <c r="S71" i="4" s="1"/>
  <c r="N33" i="4"/>
  <c r="Q32" i="4"/>
  <c r="S32" i="4" s="1"/>
  <c r="T32" i="4" s="1"/>
  <c r="T57" i="4"/>
  <c r="U57" i="4" s="1"/>
  <c r="T44" i="4"/>
  <c r="U44" i="4" s="1"/>
  <c r="O23" i="4"/>
  <c r="K36" i="4"/>
  <c r="K153" i="4"/>
  <c r="K140" i="4"/>
  <c r="K127" i="4"/>
  <c r="K114" i="4"/>
  <c r="K101" i="4"/>
  <c r="K88" i="4"/>
  <c r="K75" i="4"/>
  <c r="K62" i="4"/>
  <c r="K49" i="4"/>
  <c r="U14" i="4"/>
  <c r="U15" i="4" s="1"/>
  <c r="U16" i="4" s="1"/>
  <c r="U17" i="4" s="1"/>
  <c r="U18" i="4" s="1"/>
  <c r="U32" i="4" l="1"/>
  <c r="U58" i="4"/>
  <c r="L125" i="4"/>
  <c r="P124" i="4"/>
  <c r="L112" i="4"/>
  <c r="P111" i="4"/>
  <c r="R112" i="4" s="1"/>
  <c r="L99" i="4"/>
  <c r="P98" i="4"/>
  <c r="L86" i="4"/>
  <c r="P85" i="4"/>
  <c r="R86" i="4" s="1"/>
  <c r="R85" i="4"/>
  <c r="L73" i="4"/>
  <c r="P72" i="4"/>
  <c r="L60" i="4"/>
  <c r="P59" i="4"/>
  <c r="R59" i="4"/>
  <c r="L47" i="4"/>
  <c r="P46" i="4"/>
  <c r="R46" i="4"/>
  <c r="L34" i="4"/>
  <c r="P33" i="4"/>
  <c r="R34" i="4" s="1"/>
  <c r="Q20" i="4"/>
  <c r="S20" i="4" s="1"/>
  <c r="T20" i="4" s="1"/>
  <c r="N21" i="4"/>
  <c r="L151" i="4"/>
  <c r="P150" i="4"/>
  <c r="R151" i="4" s="1"/>
  <c r="R150" i="4"/>
  <c r="L138" i="4"/>
  <c r="P137" i="4"/>
  <c r="R137" i="4"/>
  <c r="P20" i="4"/>
  <c r="R21" i="4" s="1"/>
  <c r="L21" i="4"/>
  <c r="N138" i="4"/>
  <c r="Q137" i="4"/>
  <c r="S137" i="4" s="1"/>
  <c r="N125" i="4"/>
  <c r="Q124" i="4"/>
  <c r="S124" i="4" s="1"/>
  <c r="N112" i="4"/>
  <c r="Q111" i="4"/>
  <c r="S111" i="4" s="1"/>
  <c r="N60" i="4"/>
  <c r="Q59" i="4"/>
  <c r="S59" i="4" s="1"/>
  <c r="N47" i="4"/>
  <c r="Q46" i="4"/>
  <c r="S46" i="4" s="1"/>
  <c r="N151" i="4"/>
  <c r="Q150" i="4"/>
  <c r="S150" i="4" s="1"/>
  <c r="N99" i="4"/>
  <c r="Q98" i="4"/>
  <c r="S98" i="4" s="1"/>
  <c r="N86" i="4"/>
  <c r="Q85" i="4"/>
  <c r="S85" i="4" s="1"/>
  <c r="N73" i="4"/>
  <c r="Q72" i="4"/>
  <c r="S72" i="4" s="1"/>
  <c r="N34" i="4"/>
  <c r="Q33" i="4"/>
  <c r="S33" i="4" s="1"/>
  <c r="T33" i="4" s="1"/>
  <c r="T45" i="4"/>
  <c r="U45" i="4" s="1"/>
  <c r="U19" i="4"/>
  <c r="O24" i="4"/>
  <c r="K37" i="4"/>
  <c r="K154" i="4"/>
  <c r="K141" i="4"/>
  <c r="K128" i="4"/>
  <c r="K115" i="4"/>
  <c r="K102" i="4"/>
  <c r="K89" i="4"/>
  <c r="K76" i="4"/>
  <c r="K63" i="4"/>
  <c r="K50" i="4"/>
  <c r="U33" i="4" l="1"/>
  <c r="L126" i="4"/>
  <c r="P125" i="4"/>
  <c r="R126" i="4" s="1"/>
  <c r="R125" i="4"/>
  <c r="L113" i="4"/>
  <c r="P112" i="4"/>
  <c r="R113" i="4" s="1"/>
  <c r="L100" i="4"/>
  <c r="P99" i="4"/>
  <c r="R100" i="4" s="1"/>
  <c r="R99" i="4"/>
  <c r="L87" i="4"/>
  <c r="P86" i="4"/>
  <c r="L74" i="4"/>
  <c r="P73" i="4"/>
  <c r="R74" i="4" s="1"/>
  <c r="R73" i="4"/>
  <c r="L61" i="4"/>
  <c r="P60" i="4"/>
  <c r="R61" i="4" s="1"/>
  <c r="R60" i="4"/>
  <c r="L48" i="4"/>
  <c r="P47" i="4"/>
  <c r="R48" i="4" s="1"/>
  <c r="R47" i="4"/>
  <c r="L35" i="4"/>
  <c r="P34" i="4"/>
  <c r="R35" i="4" s="1"/>
  <c r="Q21" i="4"/>
  <c r="S21" i="4" s="1"/>
  <c r="T21" i="4" s="1"/>
  <c r="N22" i="4"/>
  <c r="L152" i="4"/>
  <c r="P151" i="4"/>
  <c r="R152" i="4" s="1"/>
  <c r="L139" i="4"/>
  <c r="P138" i="4"/>
  <c r="R138" i="4"/>
  <c r="P21" i="4"/>
  <c r="R22" i="4" s="1"/>
  <c r="L22" i="4"/>
  <c r="N139" i="4"/>
  <c r="Q138" i="4"/>
  <c r="S138" i="4" s="1"/>
  <c r="T138" i="4" s="1"/>
  <c r="N126" i="4"/>
  <c r="Q125" i="4"/>
  <c r="S125" i="4" s="1"/>
  <c r="N113" i="4"/>
  <c r="Q112" i="4"/>
  <c r="S112" i="4" s="1"/>
  <c r="N61" i="4"/>
  <c r="Q60" i="4"/>
  <c r="S60" i="4" s="1"/>
  <c r="N48" i="4"/>
  <c r="Q47" i="4"/>
  <c r="S47" i="4" s="1"/>
  <c r="N152" i="4"/>
  <c r="Q151" i="4"/>
  <c r="S151" i="4" s="1"/>
  <c r="N100" i="4"/>
  <c r="Q99" i="4"/>
  <c r="S99" i="4" s="1"/>
  <c r="N87" i="4"/>
  <c r="Q86" i="4"/>
  <c r="S86" i="4" s="1"/>
  <c r="N74" i="4"/>
  <c r="Q73" i="4"/>
  <c r="S73" i="4" s="1"/>
  <c r="N35" i="4"/>
  <c r="Q34" i="4"/>
  <c r="S34" i="4" s="1"/>
  <c r="T34" i="4" s="1"/>
  <c r="T46" i="4"/>
  <c r="U46" i="4" s="1"/>
  <c r="U20" i="4"/>
  <c r="T59" i="4"/>
  <c r="U59" i="4" s="1"/>
  <c r="T94" i="4"/>
  <c r="T119" i="4"/>
  <c r="T109" i="4"/>
  <c r="T111" i="4"/>
  <c r="T118" i="4"/>
  <c r="U118" i="4" s="1"/>
  <c r="T147" i="4"/>
  <c r="T148" i="4"/>
  <c r="T149" i="4"/>
  <c r="T71" i="4"/>
  <c r="T72" i="4"/>
  <c r="T79" i="4"/>
  <c r="U79" i="4" s="1"/>
  <c r="T132" i="4"/>
  <c r="T135" i="4"/>
  <c r="T136" i="4"/>
  <c r="T137" i="4"/>
  <c r="U34" i="4" l="1"/>
  <c r="T47" i="4"/>
  <c r="U47" i="4" s="1"/>
  <c r="L127" i="4"/>
  <c r="P126" i="4"/>
  <c r="R127" i="4" s="1"/>
  <c r="L114" i="4"/>
  <c r="P113" i="4"/>
  <c r="R114" i="4" s="1"/>
  <c r="L101" i="4"/>
  <c r="P100" i="4"/>
  <c r="R101" i="4" s="1"/>
  <c r="L88" i="4"/>
  <c r="P87" i="4"/>
  <c r="R88" i="4" s="1"/>
  <c r="R87" i="4"/>
  <c r="L75" i="4"/>
  <c r="P74" i="4"/>
  <c r="L62" i="4"/>
  <c r="P61" i="4"/>
  <c r="R62" i="4" s="1"/>
  <c r="L49" i="4"/>
  <c r="P48" i="4"/>
  <c r="R49" i="4" s="1"/>
  <c r="L36" i="4"/>
  <c r="P35" i="4"/>
  <c r="R36" i="4" s="1"/>
  <c r="Q22" i="4"/>
  <c r="S22" i="4" s="1"/>
  <c r="T22" i="4" s="1"/>
  <c r="N23" i="4"/>
  <c r="L153" i="4"/>
  <c r="P152" i="4"/>
  <c r="R153" i="4" s="1"/>
  <c r="L140" i="4"/>
  <c r="P139" i="4"/>
  <c r="R139" i="4"/>
  <c r="P22" i="4"/>
  <c r="R23" i="4" s="1"/>
  <c r="L23" i="4"/>
  <c r="N140" i="4"/>
  <c r="Q139" i="4"/>
  <c r="S139" i="4" s="1"/>
  <c r="Q126" i="4"/>
  <c r="S126" i="4" s="1"/>
  <c r="T126" i="4" s="1"/>
  <c r="N127" i="4"/>
  <c r="N114" i="4"/>
  <c r="Q113" i="4"/>
  <c r="S113" i="4" s="1"/>
  <c r="T113" i="4" s="1"/>
  <c r="N62" i="4"/>
  <c r="Q61" i="4"/>
  <c r="S61" i="4" s="1"/>
  <c r="T61" i="4" s="1"/>
  <c r="N49" i="4"/>
  <c r="Q48" i="4"/>
  <c r="S48" i="4" s="1"/>
  <c r="T48" i="4" s="1"/>
  <c r="N153" i="4"/>
  <c r="Q152" i="4"/>
  <c r="S152" i="4" s="1"/>
  <c r="T152" i="4" s="1"/>
  <c r="N101" i="4"/>
  <c r="Q100" i="4"/>
  <c r="S100" i="4" s="1"/>
  <c r="T100" i="4" s="1"/>
  <c r="N88" i="4"/>
  <c r="Q87" i="4"/>
  <c r="S87" i="4" s="1"/>
  <c r="N75" i="4"/>
  <c r="Q74" i="4"/>
  <c r="S74" i="4" s="1"/>
  <c r="T74" i="4" s="1"/>
  <c r="N36" i="4"/>
  <c r="Q35" i="4"/>
  <c r="S35" i="4" s="1"/>
  <c r="T35" i="4" s="1"/>
  <c r="T60" i="4"/>
  <c r="U60" i="4" s="1"/>
  <c r="U21" i="4"/>
  <c r="T73" i="4"/>
  <c r="U119" i="4"/>
  <c r="T92" i="4"/>
  <c r="U92" i="4" s="1"/>
  <c r="T96" i="4"/>
  <c r="T97" i="4"/>
  <c r="T134" i="4"/>
  <c r="T106" i="4"/>
  <c r="T95" i="4"/>
  <c r="T93" i="4"/>
  <c r="T123" i="4"/>
  <c r="T124" i="4"/>
  <c r="T125" i="4"/>
  <c r="T133" i="4"/>
  <c r="T150" i="4"/>
  <c r="T151" i="4"/>
  <c r="T66" i="4"/>
  <c r="U66" i="4" s="1"/>
  <c r="T80" i="4"/>
  <c r="U80" i="4" s="1"/>
  <c r="T110" i="4"/>
  <c r="T112" i="4"/>
  <c r="T144" i="4"/>
  <c r="U144" i="4" s="1"/>
  <c r="T145" i="4"/>
  <c r="T146" i="4"/>
  <c r="T81" i="4"/>
  <c r="T82" i="4"/>
  <c r="T85" i="4"/>
  <c r="T105" i="4"/>
  <c r="U105" i="4" s="1"/>
  <c r="T107" i="4"/>
  <c r="T108" i="4"/>
  <c r="T120" i="4"/>
  <c r="T121" i="4"/>
  <c r="T122" i="4"/>
  <c r="T131" i="4"/>
  <c r="U131" i="4" s="1"/>
  <c r="U132" i="4" s="1"/>
  <c r="T67" i="4"/>
  <c r="T68" i="4"/>
  <c r="T69" i="4"/>
  <c r="T70" i="4"/>
  <c r="T83" i="4"/>
  <c r="T84" i="4"/>
  <c r="T86" i="4"/>
  <c r="T98" i="4"/>
  <c r="T99" i="4"/>
  <c r="U35" i="4" l="1"/>
  <c r="U48" i="4"/>
  <c r="U61" i="4"/>
  <c r="L128" i="4"/>
  <c r="P128" i="4" s="1"/>
  <c r="P127" i="4"/>
  <c r="L115" i="4"/>
  <c r="P115" i="4" s="1"/>
  <c r="P114" i="4"/>
  <c r="L102" i="4"/>
  <c r="P102" i="4" s="1"/>
  <c r="P101" i="4"/>
  <c r="L89" i="4"/>
  <c r="P89" i="4" s="1"/>
  <c r="P88" i="4"/>
  <c r="L76" i="4"/>
  <c r="P76" i="4" s="1"/>
  <c r="P75" i="4"/>
  <c r="R75" i="4"/>
  <c r="L63" i="4"/>
  <c r="P63" i="4" s="1"/>
  <c r="P62" i="4"/>
  <c r="L50" i="4"/>
  <c r="P50" i="4" s="1"/>
  <c r="P49" i="4"/>
  <c r="L37" i="4"/>
  <c r="P37" i="4" s="1"/>
  <c r="P36" i="4"/>
  <c r="R37" i="4" s="1"/>
  <c r="Q23" i="4"/>
  <c r="S23" i="4" s="1"/>
  <c r="T23" i="4" s="1"/>
  <c r="N24" i="4"/>
  <c r="Q24" i="4" s="1"/>
  <c r="L154" i="4"/>
  <c r="P154" i="4" s="1"/>
  <c r="P153" i="4"/>
  <c r="L141" i="4"/>
  <c r="P141" i="4" s="1"/>
  <c r="P140" i="4"/>
  <c r="R140" i="4"/>
  <c r="P23" i="4"/>
  <c r="R24" i="4" s="1"/>
  <c r="L24" i="4"/>
  <c r="P24" i="4" s="1"/>
  <c r="N141" i="4"/>
  <c r="Q141" i="4" s="1"/>
  <c r="Q140" i="4"/>
  <c r="S140" i="4" s="1"/>
  <c r="N128" i="4"/>
  <c r="Q128" i="4" s="1"/>
  <c r="Q127" i="4"/>
  <c r="S127" i="4" s="1"/>
  <c r="T127" i="4" s="1"/>
  <c r="N115" i="4"/>
  <c r="Q115" i="4" s="1"/>
  <c r="Q114" i="4"/>
  <c r="S114" i="4" s="1"/>
  <c r="T114" i="4" s="1"/>
  <c r="N63" i="4"/>
  <c r="Q63" i="4" s="1"/>
  <c r="Q62" i="4"/>
  <c r="S62" i="4" s="1"/>
  <c r="T62" i="4" s="1"/>
  <c r="N50" i="4"/>
  <c r="Q50" i="4" s="1"/>
  <c r="Q49" i="4"/>
  <c r="S49" i="4" s="1"/>
  <c r="T49" i="4" s="1"/>
  <c r="N154" i="4"/>
  <c r="Q154" i="4" s="1"/>
  <c r="Q153" i="4"/>
  <c r="S153" i="4" s="1"/>
  <c r="T153" i="4" s="1"/>
  <c r="N102" i="4"/>
  <c r="Q102" i="4" s="1"/>
  <c r="Q101" i="4"/>
  <c r="S101" i="4" s="1"/>
  <c r="T101" i="4" s="1"/>
  <c r="N89" i="4"/>
  <c r="Q89" i="4" s="1"/>
  <c r="Q88" i="4"/>
  <c r="S88" i="4" s="1"/>
  <c r="T88" i="4" s="1"/>
  <c r="N76" i="4"/>
  <c r="Q76" i="4" s="1"/>
  <c r="Q75" i="4"/>
  <c r="S75" i="4" s="1"/>
  <c r="N37" i="4"/>
  <c r="Q37" i="4" s="1"/>
  <c r="Q36" i="4"/>
  <c r="S36" i="4" s="1"/>
  <c r="T36" i="4" s="1"/>
  <c r="U22" i="4"/>
  <c r="T139" i="4"/>
  <c r="T87" i="4"/>
  <c r="U93" i="4"/>
  <c r="U94" i="4" s="1"/>
  <c r="U95" i="4" s="1"/>
  <c r="U96" i="4" s="1"/>
  <c r="U97" i="4" s="1"/>
  <c r="U98" i="4" s="1"/>
  <c r="U99" i="4" s="1"/>
  <c r="U100" i="4" s="1"/>
  <c r="U120" i="4"/>
  <c r="U121" i="4" s="1"/>
  <c r="U122" i="4" s="1"/>
  <c r="U123" i="4" s="1"/>
  <c r="U124" i="4" s="1"/>
  <c r="U125" i="4" s="1"/>
  <c r="U126" i="4" s="1"/>
  <c r="U106" i="4"/>
  <c r="U107" i="4" s="1"/>
  <c r="U108" i="4" s="1"/>
  <c r="U109" i="4" s="1"/>
  <c r="U110" i="4" s="1"/>
  <c r="U111" i="4" s="1"/>
  <c r="U112" i="4" s="1"/>
  <c r="U113" i="4" s="1"/>
  <c r="U67" i="4"/>
  <c r="U68" i="4" s="1"/>
  <c r="U69" i="4" s="1"/>
  <c r="U70" i="4" s="1"/>
  <c r="U71" i="4" s="1"/>
  <c r="U72" i="4" s="1"/>
  <c r="U73" i="4" s="1"/>
  <c r="U74" i="4" s="1"/>
  <c r="U81" i="4"/>
  <c r="U82" i="4" s="1"/>
  <c r="U83" i="4" s="1"/>
  <c r="U84" i="4" s="1"/>
  <c r="U85" i="4" s="1"/>
  <c r="U86" i="4" s="1"/>
  <c r="U145" i="4"/>
  <c r="U146" i="4" s="1"/>
  <c r="U147" i="4" s="1"/>
  <c r="U148" i="4" s="1"/>
  <c r="U149" i="4" s="1"/>
  <c r="U150" i="4" s="1"/>
  <c r="U151" i="4" s="1"/>
  <c r="U152" i="4" s="1"/>
  <c r="U133" i="4"/>
  <c r="U134" i="4" s="1"/>
  <c r="U135" i="4" s="1"/>
  <c r="U136" i="4" s="1"/>
  <c r="U137" i="4" s="1"/>
  <c r="U138" i="4" s="1"/>
  <c r="U36" i="4" l="1"/>
  <c r="U49" i="4"/>
  <c r="S37" i="4"/>
  <c r="T37" i="4" s="1"/>
  <c r="U37" i="4" s="1"/>
  <c r="Y14" i="4" s="1"/>
  <c r="U62" i="4"/>
  <c r="S24" i="4"/>
  <c r="T24" i="4" s="1"/>
  <c r="U23" i="4"/>
  <c r="U101" i="4"/>
  <c r="S128" i="4"/>
  <c r="R128" i="4"/>
  <c r="S115" i="4"/>
  <c r="R115" i="4"/>
  <c r="S102" i="4"/>
  <c r="R102" i="4"/>
  <c r="S89" i="4"/>
  <c r="R89" i="4"/>
  <c r="R76" i="4"/>
  <c r="S76" i="4"/>
  <c r="R63" i="4"/>
  <c r="S63" i="4"/>
  <c r="R50" i="4"/>
  <c r="S50" i="4"/>
  <c r="S154" i="4"/>
  <c r="R154" i="4"/>
  <c r="S141" i="4"/>
  <c r="R141" i="4"/>
  <c r="U127" i="4"/>
  <c r="U114" i="4"/>
  <c r="U87" i="4"/>
  <c r="U88" i="4" s="1"/>
  <c r="T75" i="4"/>
  <c r="U75" i="4" s="1"/>
  <c r="U153" i="4"/>
  <c r="U139" i="4"/>
  <c r="T140" i="4"/>
  <c r="U24" i="4" l="1"/>
  <c r="Y13" i="4" s="1"/>
  <c r="T141" i="4"/>
  <c r="T102" i="4"/>
  <c r="U102" i="4" s="1"/>
  <c r="Y19" i="4" s="1"/>
  <c r="T76" i="4"/>
  <c r="U76" i="4" s="1"/>
  <c r="Y17" i="4" s="1"/>
  <c r="T115" i="4"/>
  <c r="U115" i="4" s="1"/>
  <c r="Y20" i="4" s="1"/>
  <c r="U140" i="4"/>
  <c r="T128" i="4"/>
  <c r="U128" i="4" s="1"/>
  <c r="Y21" i="4" s="1"/>
  <c r="T154" i="4"/>
  <c r="U154" i="4" s="1"/>
  <c r="Y23" i="4" s="1"/>
  <c r="T89" i="4"/>
  <c r="U89" i="4" s="1"/>
  <c r="Y18" i="4" s="1"/>
  <c r="T63" i="4"/>
  <c r="U63" i="4" s="1"/>
  <c r="Y16" i="4" s="1"/>
  <c r="T50" i="4"/>
  <c r="U50" i="4" s="1"/>
  <c r="Y15" i="4" s="1"/>
  <c r="U141" i="4" l="1"/>
  <c r="Y22"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<sst xmlns="http://schemas.openxmlformats.org/spreadsheetml/2006/main" count="146" uniqueCount="81">
  <si>
    <t>US</t>
  </si>
  <si>
    <t>UK</t>
  </si>
  <si>
    <t>JP</t>
  </si>
  <si>
    <t>maturity</t>
  </si>
  <si>
    <t>yield</t>
  </si>
  <si>
    <t>beta_0</t>
  </si>
  <si>
    <t>beta_1</t>
  </si>
  <si>
    <t>beta_2</t>
  </si>
  <si>
    <t>lambda</t>
  </si>
  <si>
    <t>ns</t>
  </si>
  <si>
    <t>err</t>
  </si>
  <si>
    <t xml:space="preserve"> </t>
  </si>
  <si>
    <t>use</t>
  </si>
  <si>
    <t>level</t>
  </si>
  <si>
    <t>slope</t>
  </si>
  <si>
    <t>curvature</t>
  </si>
  <si>
    <t>don’t_use</t>
  </si>
  <si>
    <t>hump_location</t>
  </si>
  <si>
    <t>market</t>
  </si>
  <si>
    <t>nelson-siegel coefficients</t>
  </si>
  <si>
    <t>factor loadings</t>
  </si>
  <si>
    <t>obs_date</t>
  </si>
  <si>
    <t>sum_sq_err</t>
  </si>
  <si>
    <t>use [1 or 0]</t>
  </si>
  <si>
    <t>optimise</t>
  </si>
  <si>
    <t>tot_ret</t>
  </si>
  <si>
    <t>coup_inc</t>
  </si>
  <si>
    <t>current</t>
  </si>
  <si>
    <t>scenario</t>
  </si>
  <si>
    <t>ss_err_scen</t>
  </si>
  <si>
    <t>error</t>
  </si>
  <si>
    <t>model</t>
  </si>
  <si>
    <t>hump mat</t>
  </si>
  <si>
    <t>Yield</t>
  </si>
  <si>
    <t>Coupon</t>
  </si>
  <si>
    <t>Duration</t>
  </si>
  <si>
    <t>Price</t>
  </si>
  <si>
    <t>Maturity (yrs)</t>
  </si>
  <si>
    <t>Settlement Date</t>
  </si>
  <si>
    <t>Maturity Date</t>
  </si>
  <si>
    <t>Buy</t>
  </si>
  <si>
    <t>Sell</t>
  </si>
  <si>
    <t>Return via PRICE</t>
  </si>
  <si>
    <t>Return via Duration</t>
  </si>
  <si>
    <t>mat</t>
  </si>
  <si>
    <t>price_inc</t>
  </si>
  <si>
    <t>tot_ret_path</t>
  </si>
  <si>
    <t>mat-1m</t>
  </si>
  <si>
    <t>yield-1m</t>
  </si>
  <si>
    <t>curve</t>
  </si>
  <si>
    <t>scenario_code</t>
  </si>
  <si>
    <t>scenario_name</t>
  </si>
  <si>
    <t>02_consensus</t>
  </si>
  <si>
    <t>Market Consensus</t>
  </si>
  <si>
    <t>03_a</t>
  </si>
  <si>
    <t>04_b</t>
  </si>
  <si>
    <t>EU</t>
  </si>
  <si>
    <t>BoJ focused on FX</t>
  </si>
  <si>
    <t>Growth</t>
  </si>
  <si>
    <t>Growth concerns</t>
  </si>
  <si>
    <t>Inflation</t>
  </si>
  <si>
    <t>Inflation concerns</t>
  </si>
  <si>
    <t>unch</t>
  </si>
  <si>
    <t>scen</t>
  </si>
  <si>
    <t>yield_now</t>
  </si>
  <si>
    <t>yield_scen</t>
  </si>
  <si>
    <t>yld-1m_now</t>
  </si>
  <si>
    <t>yld-1m_scen</t>
  </si>
  <si>
    <t>Hold 1 month</t>
  </si>
  <si>
    <t>Buy Price</t>
  </si>
  <si>
    <t>Sell Price</t>
  </si>
  <si>
    <t>Total Return</t>
  </si>
  <si>
    <t>Coupon Inc</t>
  </si>
  <si>
    <t>Price Inc</t>
  </si>
  <si>
    <t>01_base</t>
  </si>
  <si>
    <t>Base Case</t>
  </si>
  <si>
    <t>BoJ focused on growth</t>
  </si>
  <si>
    <t>These scenarios are illustrative, valid only at the time they were created (September 2026). They represent CAIM's best views at the time, but may vary in conviction and are not guaranteed to come to pass. Do not use these for investment management decisions</t>
  </si>
  <si>
    <t>CN</t>
  </si>
  <si>
    <t>12-month scenarios</t>
  </si>
  <si>
    <t>Growth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</si>
</sst>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quot;-&quot;"/>
    <numFmt numFmtId="166" formatCode="yyyy\-mm\-dd"/>
    <numFmt numFmtId="167" formatCode="0.00%;[Red]\-0.00%"/>
  </numFmts>
  <fonts count="16"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1"/>
      <color theme="6" tint="0.39997558519241921"/>
      <name val="Calibri"/>
      <family val="2"/>
      <scheme val="minor"/>
    </font>
    <font>
      <sz val="11"/>
      <color theme="0"/>
      <name val="Calibri"/>
      <family val="2"/>
      <scheme val="minor"/>
    </font>
    <font>
      <b/>
      <sz val="11"/>
      <color theme="1"/>
      <name val="Calibri"/>
      <family val="2"/>
      <scheme val="minor"/>
    </font>
    <font>
      <sz val="11"/>
      <color theme="9" tint="0.59999389629810485"/>
      <name val="Calibri"/>
      <family val="2"/>
      <scheme val="minor"/>
    </font>
    <font>
      <sz val="12"/>
      <color rgb="FF000000"/>
      <name val="Calibri"/>
      <family val="2"/>
    </font>
    <font>
      <sz val="8"/>
      <name val="Calibri"/>
      <family val="2"/>
      <scheme val="minor"/>
    </font>
    <font>
      <sz val="12"/>
      <color theme="1"/>
      <name val="Calibri"/>
      <family val="2"/>
    </font>
    <font>
      <i/>
      <sz val="11"/>
      <color theme="1"/>
      <name val="Calibri"/>
      <family val="2"/>
      <scheme val="minor"/>
    </font>
    <font>
      <b/>
      <i/>
      <sz val="11"/>
      <color theme="1"/>
      <name val="Calibri"/>
      <family val="2"/>
      <scheme val="minor"/>
    </font>
    <font>
      <b/>
      <sz val="12"/>
      <color theme="0"/>
      <name val="Calibri"/>
      <family val="2"/>
    </font>
    <font>
      <sz val="12"/>
      <color theme="1" tint="0.249977111117893"/>
      <name val="Calibri"/>
      <family val="2"/>
      <scheme val="minor"/>
    </font>
  </fonts>
  <fills count="16">
    <fill>
      <patternFill patternType="none"/>
    </fill>
    <fill>
      <patternFill patternType="gray125"/>
    </fill>
    <fill>
      <patternFill patternType="solid">
        <fgColor theme="4"/>
        <bgColor indexed="64"/>
      </patternFill>
    </fill>
    <fill>
      <patternFill patternType="solid">
        <fgColor theme="1" tint="0.89999084444715716"/>
        <bgColor indexed="64"/>
      </patternFill>
    </fill>
    <fill>
      <patternFill patternType="solid">
        <fgColor theme="5"/>
        <bgColor indexed="64"/>
      </patternFill>
    </fill>
    <fill>
      <patternFill patternType="solid">
        <fgColor theme="0" tint="-0.14999847407452621"/>
        <bgColor indexed="64"/>
      </patternFill>
    </fill>
    <fill>
      <patternFill patternType="solid">
        <fgColor theme="8"/>
        <bgColor indexed="64"/>
      </patternFill>
    </fill>
    <fill>
      <patternFill patternType="solid">
        <fgColor theme="6"/>
        <bgColor indexed="64"/>
      </patternFill>
    </fill>
    <fill>
      <patternFill patternType="solid">
        <fgColor theme="7" tint="0.79998168889431442"/>
        <bgColor indexed="64"/>
      </patternFill>
    </fill>
    <fill>
      <patternFill patternType="solid">
        <fgColor theme="9"/>
        <bgColor indexed="64"/>
      </patternFill>
    </fill>
    <fill>
      <patternFill patternType="solid">
        <fgColor theme="3" tint="0.79998168889431442"/>
        <bgColor indexed="64"/>
      </patternFill>
    </fill>
    <fill>
      <patternFill patternType="solid">
        <fgColor theme="7"/>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s>
  <borders count="1">
    <border>
      <left/>
      <right/>
      <top/>
      <bottom/>
      <diagonal/>
    </border>
  </borders>
  <cellStyleXfs count="4">
    <xf numFmtId="0" fontId="0" fillId="0" borderId="0"/>
    <xf numFmtId="9" fontId="4" fillId="0" borderId="0" applyFont="0" applyFill="0" applyBorder="0" applyAlignment="0" applyProtection="0"/>
    <xf numFmtId="0" fontId="3" fillId="0" borderId="0"/>
    <xf numFmtId="0" fontId="2" fillId="0" borderId="0"/>
  </cellStyleXfs>
  <cellXfs count="80">
    <xf numFmtId="0" fontId="0" fillId="0" borderId="0" xfId="0"/>
    <xf numFmtId="0" fontId="0" fillId="0" borderId="0" xfId="0"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5" fillId="0" borderId="0" xfId="0" applyFont="1" applyAlignment="1">
      <alignment horizontal="center"/>
    </xf>
    <xf numFmtId="0" fontId="6" fillId="2" borderId="0" xfId="0" applyFont="1" applyFill="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65" fontId="0" fillId="3" borderId="0" xfId="0" applyNumberFormat="1" applyFill="1" applyAlignment="1">
      <alignment horizontal="center"/>
    </xf>
    <xf numFmtId="0" fontId="7" fillId="3" borderId="0" xfId="0" applyFont="1" applyFill="1" applyAlignment="1">
      <alignment horizontal="center"/>
    </xf>
    <xf numFmtId="0" fontId="6" fillId="4" borderId="0" xfId="0" applyFont="1" applyFill="1" applyAlignment="1">
      <alignment horizontal="center"/>
    </xf>
    <xf numFmtId="2" fontId="6" fillId="4" borderId="0" xfId="0" applyNumberFormat="1" applyFont="1" applyFill="1" applyAlignment="1">
      <alignment horizontal="center"/>
    </xf>
    <xf numFmtId="164" fontId="0" fillId="3" borderId="0" xfId="0" applyNumberFormat="1" applyFill="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2" fontId="7" fillId="3" borderId="0" xfId="0" applyNumberFormat="1" applyFont="1" applyFill="1" applyAlignment="1">
      <alignment horizontal="center"/>
    </xf>
    <xf numFmtId="0" fontId="6" fillId="6" borderId="0" xfId="0" applyFont="1" applyFill="1" applyAlignment="1">
      <alignment horizontal="left"/>
    </xf>
    <xf numFmtId="0" fontId="6" fillId="6" borderId="0" xfId="0" applyFont="1" applyFill="1" applyAlignment="1">
      <alignment horizontal="center"/>
    </xf>
    <xf numFmtId="0" fontId="6" fillId="7" borderId="0" xfId="0" applyFont="1" applyFill="1" applyAlignment="1">
      <alignment horizontal="center"/>
    </xf>
    <xf numFmtId="164" fontId="0" fillId="8" borderId="0" xfId="0" applyNumberFormat="1" applyFill="1" applyAlignment="1">
      <alignment horizontal="center"/>
    </xf>
    <xf numFmtId="0" fontId="8" fillId="8" borderId="0" xfId="0" applyFont="1" applyFill="1" applyAlignment="1">
      <alignment horizontal="center"/>
    </xf>
    <xf numFmtId="0" fontId="8" fillId="8" borderId="0" xfId="0" applyFont="1" applyFill="1"/>
    <xf numFmtId="0" fontId="0" fillId="8" borderId="0" xfId="0" applyFill="1" applyAlignment="1">
      <alignment horizontal="center"/>
    </xf>
    <xf numFmtId="0" fontId="6" fillId="9" borderId="0" xfId="0" applyFont="1" applyFill="1" applyAlignment="1">
      <alignment horizontal="center"/>
    </xf>
    <xf numFmtId="2" fontId="5" fillId="0" borderId="0" xfId="0" applyNumberFormat="1" applyFont="1" applyAlignment="1">
      <alignment horizontal="center"/>
    </xf>
    <xf numFmtId="0" fontId="0" fillId="0" borderId="0" xfId="0" applyAlignment="1">
      <alignment horizontal="right"/>
    </xf>
    <xf numFmtId="0" fontId="7" fillId="0" borderId="0" xfId="0" applyFont="1" applyAlignment="1">
      <alignment horizontal="center"/>
    </xf>
    <xf numFmtId="10" fontId="0" fillId="10" borderId="0" xfId="0" applyNumberFormat="1" applyFill="1" applyAlignment="1">
      <alignment horizontal="center"/>
    </xf>
    <xf numFmtId="0" fontId="0" fillId="10" borderId="0" xfId="0" applyFill="1" applyAlignment="1">
      <alignment horizontal="center"/>
    </xf>
    <xf numFmtId="2" fontId="0" fillId="10" borderId="0" xfId="0" applyNumberFormat="1" applyFill="1" applyAlignment="1">
      <alignment horizontal="center"/>
    </xf>
    <xf numFmtId="0" fontId="6" fillId="11" borderId="0" xfId="0" applyFont="1" applyFill="1" applyAlignment="1">
      <alignment horizontal="center"/>
    </xf>
    <xf numFmtId="0" fontId="6" fillId="11" borderId="0" xfId="0" quotePrefix="1" applyFont="1" applyFill="1" applyAlignment="1">
      <alignment horizontal="center"/>
    </xf>
    <xf numFmtId="167" fontId="0" fillId="3" borderId="0" xfId="1" applyNumberFormat="1" applyFont="1" applyFill="1" applyAlignment="1">
      <alignment horizontal="center"/>
    </xf>
    <xf numFmtId="167" fontId="7" fillId="3" borderId="0" xfId="1" applyNumberFormat="1" applyFont="1" applyFill="1" applyAlignment="1">
      <alignment horizontal="center"/>
    </xf>
    <xf numFmtId="166" fontId="5" fillId="0" borderId="0" xfId="0" applyNumberFormat="1" applyFont="1" applyAlignment="1">
      <alignment horizontal="center"/>
    </xf>
    <xf numFmtId="0" fontId="2" fillId="0" borderId="0" xfId="3"/>
    <xf numFmtId="0" fontId="11" fillId="13" borderId="0" xfId="3" applyFont="1" applyFill="1" applyAlignment="1">
      <alignment horizontal="center"/>
    </xf>
    <xf numFmtId="166" fontId="11" fillId="13" borderId="0" xfId="3" applyNumberFormat="1" applyFont="1" applyFill="1" applyAlignment="1">
      <alignment horizontal="center"/>
    </xf>
    <xf numFmtId="0" fontId="11" fillId="12" borderId="0" xfId="3" applyFont="1" applyFill="1" applyAlignment="1">
      <alignment horizontal="center"/>
    </xf>
    <xf numFmtId="166" fontId="11" fillId="12" borderId="0" xfId="3" applyNumberFormat="1" applyFont="1" applyFill="1" applyAlignment="1">
      <alignment horizontal="center"/>
    </xf>
    <xf numFmtId="10" fontId="0" fillId="0" borderId="0" xfId="1" applyNumberFormat="1" applyFont="1" applyAlignment="1">
      <alignment horizontal="center"/>
    </xf>
    <xf numFmtId="167" fontId="0" fillId="0" borderId="0" xfId="0" applyNumberFormat="1" applyAlignment="1">
      <alignment horizontal="center"/>
    </xf>
    <xf numFmtId="10" fontId="0" fillId="0" borderId="0" xfId="0" applyNumberFormat="1" applyAlignment="1">
      <alignment horizontal="center"/>
    </xf>
    <xf numFmtId="167" fontId="12" fillId="3" borderId="0" xfId="1" applyNumberFormat="1" applyFont="1" applyFill="1" applyAlignment="1">
      <alignment horizontal="center"/>
    </xf>
    <xf numFmtId="10" fontId="12" fillId="3" borderId="0" xfId="1" applyNumberFormat="1" applyFont="1" applyFill="1" applyAlignment="1">
      <alignment horizontal="center"/>
    </xf>
    <xf numFmtId="2" fontId="0" fillId="5" borderId="0" xfId="0" applyNumberFormat="1" applyFill="1" applyAlignment="1">
      <alignment horizontal="center"/>
    </xf>
    <xf numFmtId="2" fontId="7" fillId="5" borderId="0" xfId="0" applyNumberFormat="1" applyFont="1" applyFill="1" applyAlignment="1">
      <alignment horizontal="center"/>
    </xf>
    <xf numFmtId="167" fontId="0" fillId="5" borderId="0" xfId="1" applyNumberFormat="1" applyFont="1" applyFill="1" applyAlignment="1">
      <alignment horizontal="center"/>
    </xf>
    <xf numFmtId="167" fontId="7" fillId="5" borderId="0" xfId="1" applyNumberFormat="1" applyFont="1" applyFill="1" applyAlignment="1">
      <alignment horizontal="center"/>
    </xf>
    <xf numFmtId="167" fontId="13" fillId="3" borderId="0" xfId="1" applyNumberFormat="1" applyFont="1" applyFill="1" applyAlignment="1">
      <alignment horizontal="center"/>
    </xf>
    <xf numFmtId="167" fontId="12" fillId="5" borderId="0" xfId="1" applyNumberFormat="1" applyFont="1" applyFill="1" applyAlignment="1">
      <alignment horizontal="center"/>
    </xf>
    <xf numFmtId="10" fontId="12" fillId="5" borderId="0" xfId="1" applyNumberFormat="1" applyFont="1" applyFill="1" applyAlignment="1">
      <alignment horizontal="center"/>
    </xf>
    <xf numFmtId="167" fontId="13" fillId="5" borderId="0" xfId="1" applyNumberFormat="1" applyFont="1" applyFill="1" applyAlignment="1">
      <alignment horizontal="center"/>
    </xf>
    <xf numFmtId="166" fontId="0" fillId="8" borderId="0" xfId="0" applyNumberFormat="1" applyFill="1" applyAlignment="1">
      <alignment horizontal="center"/>
    </xf>
    <xf numFmtId="2" fontId="0" fillId="8" borderId="0" xfId="0" applyNumberFormat="1" applyFill="1" applyAlignment="1">
      <alignment horizontal="center"/>
    </xf>
    <xf numFmtId="10" fontId="0" fillId="8" borderId="0" xfId="1" applyNumberFormat="1" applyFont="1" applyFill="1" applyAlignment="1">
      <alignment horizontal="center"/>
    </xf>
    <xf numFmtId="2" fontId="0" fillId="13" borderId="0" xfId="0" applyNumberFormat="1" applyFill="1" applyAlignment="1">
      <alignment horizontal="center"/>
    </xf>
    <xf numFmtId="10" fontId="0" fillId="13" borderId="0" xfId="1" applyNumberFormat="1" applyFont="1" applyFill="1" applyAlignment="1">
      <alignment horizontal="center"/>
    </xf>
    <xf numFmtId="10" fontId="7" fillId="13" borderId="0" xfId="0" applyNumberFormat="1" applyFont="1" applyFill="1" applyAlignment="1">
      <alignment horizontal="center"/>
    </xf>
    <xf numFmtId="166" fontId="11" fillId="10" borderId="0" xfId="3" applyNumberFormat="1" applyFont="1" applyFill="1" applyAlignment="1">
      <alignment horizontal="center"/>
    </xf>
    <xf numFmtId="0" fontId="11" fillId="10" borderId="0" xfId="3" applyFont="1" applyFill="1" applyAlignment="1">
      <alignment horizontal="center"/>
    </xf>
    <xf numFmtId="166" fontId="11" fillId="14" borderId="0" xfId="3" applyNumberFormat="1" applyFont="1" applyFill="1" applyAlignment="1">
      <alignment horizontal="center"/>
    </xf>
    <xf numFmtId="0" fontId="11" fillId="14" borderId="0" xfId="3" applyFont="1" applyFill="1" applyAlignment="1">
      <alignment horizontal="center"/>
    </xf>
    <xf numFmtId="0" fontId="14" fillId="15" borderId="0" xfId="3" applyFont="1" applyFill="1" applyAlignment="1">
      <alignment horizontal="center"/>
    </xf>
    <xf numFmtId="0" fontId="1" fillId="0" borderId="0" xfId="3" applyFont="1"/>
    <xf numFmtId="0" fontId="14" fillId="15" borderId="0" xfId="3" applyFont="1" applyFill="1" applyAlignment="1">
      <alignment horizontal="left"/>
    </xf>
    <xf numFmtId="2" fontId="11" fillId="12" borderId="0" xfId="3" applyNumberFormat="1" applyFont="1" applyFill="1" applyAlignment="1">
      <alignment horizontal="center"/>
    </xf>
    <xf numFmtId="2" fontId="11" fillId="10" borderId="0" xfId="3" applyNumberFormat="1" applyFont="1" applyFill="1" applyAlignment="1">
      <alignment horizontal="center"/>
    </xf>
    <xf numFmtId="2" fontId="11" fillId="13" borderId="0" xfId="3" applyNumberFormat="1" applyFont="1" applyFill="1" applyAlignment="1">
      <alignment horizontal="center"/>
    </xf>
    <xf numFmtId="2" fontId="11" fillId="14" borderId="0" xfId="3" applyNumberFormat="1" applyFont="1" applyFill="1" applyAlignment="1">
      <alignment horizontal="center"/>
    </xf>
    <xf numFmtId="166" fontId="11" fillId="8" borderId="0" xfId="3" applyNumberFormat="1" applyFont="1" applyFill="1" applyAlignment="1">
      <alignment horizontal="center"/>
    </xf>
    <xf numFmtId="0" fontId="11" fillId="8" borderId="0" xfId="3" applyFont="1" applyFill="1" applyAlignment="1">
      <alignment horizontal="center"/>
    </xf>
    <xf numFmtId="2" fontId="11" fillId="8" borderId="0" xfId="3" applyNumberFormat="1" applyFont="1" applyFill="1" applyAlignment="1">
      <alignment horizontal="center"/>
    </xf>
    <xf numFmtId="164" fontId="5" fillId="0" borderId="0" xfId="0" applyNumberFormat="1" applyFont="1" applyAlignment="1">
      <alignment horizontal="center"/>
    </xf>
    <xf numFmtId="166" fontId="0" fillId="3" borderId="0" xfId="0" applyNumberFormat="1" applyFill="1" applyAlignment="1">
      <alignment horizontal="center" vertical="center"/>
    </xf>
    <xf numFmtId="0" fontId="15" fillId="0" borderId="0" xfId="3" applyFont="1" applyAlignment="1">
      <alignment horizontal="left" wrapText="1"/>
    </xf>
    <xf numFmtId="167" fontId="4" fillId="3" borderId="0" xfId="1" applyNumberFormat="1" applyFont="1" applyFill="1" applyAlignment="1">
      <alignment horizontal="center"/>
    </xf>
    <xf numFmtId="10" fontId="4" fillId="3" borderId="0" xfId="1" applyNumberFormat="1" applyFont="1" applyFill="1" applyAlignment="1">
      <alignment horizontal="center"/>
    </xf>
    <xf numFmtId="167" fontId="4" fillId="5" borderId="0" xfId="1" applyNumberFormat="1" applyFont="1" applyFill="1" applyAlignment="1">
      <alignment horizontal="center"/>
    </xf>
    <xf numFmtId="10" fontId="4" fillId="5" borderId="0" xfId="1" applyNumberFormat="1" applyFont="1" applyFill="1" applyAlignment="1">
      <alignment horizontal="center"/>
    </xf>
  </cellXfs>
  <cellStyles count="4">
    <cellStyle name="Normal" xfId="0" builtinId="0"/>
    <cellStyle name="Normal 2" xfId="2" xr:uid="{D63644C6-2A67-A643-89D4-CF6639884F28}"/>
    <cellStyle name="Normal 3" xfId="3" xr:uid="{0E124CE5-FFF3-334F-88F5-4F4B2E4A6E3C}"/>
    <cellStyle name="Per 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Generic Yields and Fitted Curve</a:t>
            </a:r>
          </a:p>
        </c:rich>
      </c:tx>
      <c:layout>
        <c:manualLayout>
          <c:xMode val="edge"/>
          <c:yMode val="edge"/>
          <c:x val="1.2482694844491564E-2"/>
          <c:y val="1.6722408026755852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scatterChart>
        <c:scatterStyle val="lineMarker"/>
        <c:varyColors val="0"/>
        <c:ser>
          <c:idx val="1"/>
          <c:order val="0"/>
          <c:tx>
            <c:v>ns</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NS!$C$19:$C$139</c:f>
              <c:numCache>
                <c:formatCode>0.00</c:formatCode>
                <c:ptCount val="1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numCache>
            </c:numRef>
          </c:yVal>
          <c:smooth val="0"/>
          <c:extLst>
            <c:ext xmlns:c16="http://schemas.microsoft.com/office/drawing/2014/chart" uri="{C3380CC4-5D6E-409C-BE32-E72D297353CC}">
              <c16:uniqueId val="{00000001-FAA6-8A41-A53A-00067F147593}"/>
            </c:ext>
          </c:extLst>
        </c:ser>
        <c:ser>
          <c:idx val="2"/>
          <c:order val="1"/>
          <c:tx>
            <c:v>yield_use</c:v>
          </c:tx>
          <c:spPr>
            <a:ln w="25400" cap="rnd">
              <a:noFill/>
              <a:round/>
            </a:ln>
            <a:effectLst/>
          </c:spPr>
          <c:marker>
            <c:symbol val="circle"/>
            <c:size val="5"/>
            <c:spPr>
              <a:solidFill>
                <a:schemeClr val="accent1"/>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Room'!$J$4:$J$12</c:f>
              <c:numCache>
                <c:formatCode>0.00</c:formatCode>
                <c:ptCount val="9"/>
                <c:pt idx="0">
                  <c:v>4.1203000000000003</c:v>
                </c:pt>
                <c:pt idx="1">
                  <c:v>4.2994000000000003</c:v>
                </c:pt>
                <c:pt idx="2">
                  <c:v>4.3860000000000001</c:v>
                </c:pt>
                <c:pt idx="3">
                  <c:v>4.6901999999999999</c:v>
                </c:pt>
                <c:pt idx="4">
                  <c:v>4.7572999999999999</c:v>
                </c:pt>
                <c:pt idx="5">
                  <c:v>4.8118999999999996</c:v>
                </c:pt>
                <c:pt idx="6">
                  <c:v>4.8918999999999997</c:v>
                </c:pt>
                <c:pt idx="7">
                  <c:v>4.9904000000000002</c:v>
                </c:pt>
                <c:pt idx="8">
                  <c:v>5.3124000000000002</c:v>
                </c:pt>
              </c:numCache>
            </c:numRef>
          </c:yVal>
          <c:smooth val="0"/>
          <c:extLst>
            <c:ext xmlns:c16="http://schemas.microsoft.com/office/drawing/2014/chart" uri="{C3380CC4-5D6E-409C-BE32-E72D297353CC}">
              <c16:uniqueId val="{00000008-FAA6-8A41-A53A-00067F147593}"/>
            </c:ext>
          </c:extLst>
        </c:ser>
        <c:ser>
          <c:idx val="3"/>
          <c:order val="2"/>
          <c:tx>
            <c:v>yield_dont</c:v>
          </c:tx>
          <c:spPr>
            <a:ln w="25400" cap="rnd">
              <a:noFill/>
              <a:round/>
            </a:ln>
            <a:effectLst/>
          </c:spPr>
          <c:marker>
            <c:symbol val="circle"/>
            <c:size val="5"/>
            <c:spPr>
              <a:solidFill>
                <a:schemeClr val="accent3">
                  <a:alpha val="50189"/>
                </a:schemeClr>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Room'!$K$4:$K$12</c:f>
              <c:numCache>
                <c:formatCode>General</c:formatCode>
                <c:ptCount val="9"/>
                <c:pt idx="0">
                  <c:v>#N/A</c:v>
                </c:pt>
                <c:pt idx="1">
                  <c:v>#N/A</c:v>
                </c:pt>
                <c:pt idx="2">
                  <c:v>#N/A</c:v>
                </c:pt>
                <c:pt idx="3">
                  <c:v>#N/A</c:v>
                </c:pt>
                <c:pt idx="4">
                  <c:v>#N/A</c:v>
                </c:pt>
                <c:pt idx="5">
                  <c:v>#N/A</c:v>
                </c:pt>
                <c:pt idx="6">
                  <c:v>#N/A</c:v>
                </c:pt>
                <c:pt idx="7">
                  <c:v>#N/A</c:v>
                </c:pt>
                <c:pt idx="8">
                  <c:v>#N/A</c:v>
                </c:pt>
              </c:numCache>
            </c:numRef>
          </c:yVal>
          <c:smooth val="0"/>
          <c:extLst>
            <c:ext xmlns:c16="http://schemas.microsoft.com/office/drawing/2014/chart" uri="{C3380CC4-5D6E-409C-BE32-E72D297353CC}">
              <c16:uniqueId val="{00000009-FAA6-8A41-A53A-00067F147593}"/>
            </c:ext>
          </c:extLst>
        </c:ser>
        <c:dLbls>
          <c:showLegendKey val="0"/>
          <c:showVal val="0"/>
          <c:showCatName val="0"/>
          <c:showSerName val="0"/>
          <c:showPercent val="0"/>
          <c:showBubbleSize val="0"/>
        </c:dLbls>
        <c:axId val="-947004864"/>
        <c:axId val="-947002688"/>
      </c:scatterChart>
      <c:valAx>
        <c:axId val="-947004864"/>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2688"/>
        <c:crosses val="autoZero"/>
        <c:crossBetween val="midCat"/>
      </c:valAx>
      <c:valAx>
        <c:axId val="-9470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NS</a:t>
            </a:r>
            <a:r>
              <a:rPr lang="en-US" sz="1100" b="1" baseline="0">
                <a:solidFill>
                  <a:schemeClr val="tx1">
                    <a:lumMod val="90000"/>
                    <a:lumOff val="10000"/>
                  </a:schemeClr>
                </a:solidFill>
              </a:rPr>
              <a:t> Factor Loading</a:t>
            </a:r>
            <a:endParaRPr lang="en-US" sz="1100" b="1">
              <a:solidFill>
                <a:schemeClr val="tx1">
                  <a:lumMod val="90000"/>
                  <a:lumOff val="10000"/>
                </a:schemeClr>
              </a:solidFill>
            </a:endParaRPr>
          </a:p>
        </c:rich>
      </c:tx>
      <c:layout>
        <c:manualLayout>
          <c:xMode val="edge"/>
          <c:yMode val="edge"/>
          <c:x val="9.1709844559585488E-3"/>
          <c:y val="1.7964071856287425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manualLayout>
          <c:layoutTarget val="inner"/>
          <c:xMode val="edge"/>
          <c:yMode val="edge"/>
          <c:x val="4.5396425360324767E-2"/>
          <c:y val="0.1497005988023952"/>
          <c:w val="0.92768315941476176"/>
          <c:h val="0.71138761846385956"/>
        </c:manualLayout>
      </c:layout>
      <c:scatterChart>
        <c:scatterStyle val="lineMarker"/>
        <c:varyColors val="0"/>
        <c:ser>
          <c:idx val="1"/>
          <c:order val="0"/>
          <c:tx>
            <c:v>beta_0 | level</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NS!$D$19:$D$139</c:f>
              <c:numCache>
                <c:formatCode>General</c:formatCode>
                <c:ptCount val="1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yVal>
          <c:smooth val="0"/>
          <c:extLst>
            <c:ext xmlns:c16="http://schemas.microsoft.com/office/drawing/2014/chart" uri="{C3380CC4-5D6E-409C-BE32-E72D297353CC}">
              <c16:uniqueId val="{00000001-6983-8345-A1CA-CA80B823FA3A}"/>
            </c:ext>
          </c:extLst>
        </c:ser>
        <c:ser>
          <c:idx val="0"/>
          <c:order val="1"/>
          <c:tx>
            <c:v>beta_1 | slope</c:v>
          </c:tx>
          <c:spPr>
            <a:ln w="19050" cap="rnd">
              <a:solidFill>
                <a:schemeClr val="accent2"/>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NS!$E$19:$E$139</c:f>
              <c:numCache>
                <c:formatCode>0.0000</c:formatCode>
                <c:ptCount val="121"/>
                <c:pt idx="0">
                  <c:v>0.99951593571023378</c:v>
                </c:pt>
                <c:pt idx="1">
                  <c:v>0.95647538310795222</c:v>
                </c:pt>
                <c:pt idx="2">
                  <c:v>0.91545808315126065</c:v>
                </c:pt>
                <c:pt idx="3">
                  <c:v>0.87678608683116332</c:v>
                </c:pt>
                <c:pt idx="4">
                  <c:v>0.84030853084613111</c:v>
                </c:pt>
                <c:pt idx="5">
                  <c:v>0.80588490324150697</c:v>
                </c:pt>
                <c:pt idx="6">
                  <c:v>0.77338430356767585</c:v>
                </c:pt>
                <c:pt idx="7">
                  <c:v>0.74268475742776874</c:v>
                </c:pt>
                <c:pt idx="8">
                  <c:v>0.71367258133315281</c:v>
                </c:pt>
                <c:pt idx="9">
                  <c:v>0.68624179409613673</c:v>
                </c:pt>
                <c:pt idx="10">
                  <c:v>0.66029357127648614</c:v>
                </c:pt>
                <c:pt idx="11">
                  <c:v>0.6357357394633617</c:v>
                </c:pt>
                <c:pt idx="12">
                  <c:v>0.61248230741888332</c:v>
                </c:pt>
                <c:pt idx="13">
                  <c:v>0.5904530313352877</c:v>
                </c:pt>
                <c:pt idx="14">
                  <c:v>0.56957301166604113</c:v>
                </c:pt>
                <c:pt idx="15">
                  <c:v>0.54977231918364722</c:v>
                </c:pt>
                <c:pt idx="16">
                  <c:v>0.530985648094498</c:v>
                </c:pt>
                <c:pt idx="17">
                  <c:v>0.51315199420509405</c:v>
                </c:pt>
                <c:pt idx="18">
                  <c:v>0.49621435628537602</c:v>
                </c:pt>
                <c:pt idx="19">
                  <c:v>0.48011945891472374</c:v>
                </c:pt>
                <c:pt idx="20">
                  <c:v>0.46481749522530419</c:v>
                </c:pt>
                <c:pt idx="21">
                  <c:v>0.45026188807670281</c:v>
                </c:pt>
                <c:pt idx="22">
                  <c:v>0.43640906830591725</c:v>
                </c:pt>
                <c:pt idx="23">
                  <c:v>0.42321826879854396</c:v>
                </c:pt>
                <c:pt idx="24">
                  <c:v>0.41065133322097735</c:v>
                </c:pt>
                <c:pt idx="25">
                  <c:v>0.39867253834028055</c:v>
                </c:pt>
                <c:pt idx="26">
                  <c:v>0.38724842893862188</c:v>
                </c:pt>
                <c:pt idx="27">
                  <c:v>0.37634766440330913</c:v>
                </c:pt>
                <c:pt idx="28">
                  <c:v>0.36594087614196824</c:v>
                </c:pt>
                <c:pt idx="29">
                  <c:v>0.35600053503573248</c:v>
                </c:pt>
                <c:pt idx="30">
                  <c:v>0.34650082820183253</c:v>
                </c:pt>
                <c:pt idx="31">
                  <c:v>0.33741754439107779</c:v>
                </c:pt>
                <c:pt idx="32">
                  <c:v>0.32872796739572857</c:v>
                </c:pt>
                <c:pt idx="33">
                  <c:v>0.32041077688949726</c:v>
                </c:pt>
                <c:pt idx="34">
                  <c:v>0.31244595616416693</c:v>
                </c:pt>
                <c:pt idx="35">
                  <c:v>0.30481470626684909</c:v>
                </c:pt>
                <c:pt idx="36">
                  <c:v>0.29749936607846189</c:v>
                </c:pt>
                <c:pt idx="37">
                  <c:v>0.2904833379078226</c:v>
                </c:pt>
                <c:pt idx="38">
                  <c:v>0.28375101820702603</c:v>
                </c:pt>
                <c:pt idx="39">
                  <c:v>0.27728773304271298</c:v>
                </c:pt>
                <c:pt idx="40">
                  <c:v>0.27107967798460053</c:v>
                </c:pt>
                <c:pt idx="41">
                  <c:v>0.265113862097413</c:v>
                </c:pt>
                <c:pt idx="42">
                  <c:v>0.25937805574527073</c:v>
                </c:pt>
                <c:pt idx="43">
                  <c:v>0.25386074193880404</c:v>
                </c:pt>
                <c:pt idx="44">
                  <c:v>0.24855107097488921</c:v>
                </c:pt>
                <c:pt idx="45">
                  <c:v>0.24343881813707505</c:v>
                </c:pt>
                <c:pt idx="46">
                  <c:v>0.23851434424159032</c:v>
                </c:pt>
                <c:pt idx="47">
                  <c:v>0.23376855882939701</c:v>
                </c:pt>
                <c:pt idx="48">
                  <c:v>0.22919288581917391</c:v>
                </c:pt>
                <c:pt idx="49">
                  <c:v>0.22477923144947234</c:v>
                </c:pt>
                <c:pt idx="50">
                  <c:v>0.22051995435065294</c:v>
                </c:pt>
                <c:pt idx="51">
                  <c:v>0.21640783759866913</c:v>
                </c:pt>
                <c:pt idx="52">
                  <c:v>0.21243606261337714</c:v>
                </c:pt>
                <c:pt idx="53">
                  <c:v>0.20859818477388495</c:v>
                </c:pt>
                <c:pt idx="54">
                  <c:v>0.20488811063256404</c:v>
                </c:pt>
                <c:pt idx="55">
                  <c:v>0.20130007661779148</c:v>
                </c:pt>
                <c:pt idx="56">
                  <c:v>0.1978286291233152</c:v>
                </c:pt>
                <c:pt idx="57">
                  <c:v>0.19446860588939061</c:v>
                </c:pt>
                <c:pt idx="58">
                  <c:v>0.19121511858755924</c:v>
                </c:pt>
                <c:pt idx="59">
                  <c:v>0.18806353652717803</c:v>
                </c:pt>
                <c:pt idx="60">
                  <c:v>0.18500947140758706</c:v>
                </c:pt>
                <c:pt idx="61">
                  <c:v>0.18204876304516823</c:v>
                </c:pt>
                <c:pt idx="62">
                  <c:v>0.17917746600951809</c:v>
                </c:pt>
                <c:pt idx="63">
                  <c:v>0.17639183710757483</c:v>
                </c:pt>
                <c:pt idx="64">
                  <c:v>0.17368832365881778</c:v>
                </c:pt>
                <c:pt idx="65">
                  <c:v>0.17106355250863053</c:v>
                </c:pt>
                <c:pt idx="66">
                  <c:v>0.16851431973060613</c:v>
                </c:pt>
                <c:pt idx="67">
                  <c:v>0.16603758097199225</c:v>
                </c:pt>
                <c:pt idx="68">
                  <c:v>0.16363044239965202</c:v>
                </c:pt>
                <c:pt idx="69">
                  <c:v>0.16129015220686438</c:v>
                </c:pt>
                <c:pt idx="70">
                  <c:v>0.15901409264402613</c:v>
                </c:pt>
                <c:pt idx="71">
                  <c:v>0.1567997725388609</c:v>
                </c:pt>
                <c:pt idx="72">
                  <c:v>0.15464482027410237</c:v>
                </c:pt>
                <c:pt idx="73">
                  <c:v>0.15254697719281332</c:v>
                </c:pt>
                <c:pt idx="74">
                  <c:v>0.1505040914035409</c:v>
                </c:pt>
                <c:pt idx="75">
                  <c:v>0.14851411195940306</c:v>
                </c:pt>
                <c:pt idx="76">
                  <c:v>0.14657508338696215</c:v>
                </c:pt>
                <c:pt idx="77">
                  <c:v>0.1446851405423783</c:v>
                </c:pt>
                <c:pt idx="78">
                  <c:v>0.14284250377385682</c:v>
                </c:pt>
                <c:pt idx="79">
                  <c:v>0.14104547437081913</c:v>
                </c:pt>
                <c:pt idx="80">
                  <c:v>0.13929243028154292</c:v>
                </c:pt>
                <c:pt idx="81">
                  <c:v>0.13758182208224046</c:v>
                </c:pt>
                <c:pt idx="82">
                  <c:v>0.13591216918168345</c:v>
                </c:pt>
                <c:pt idx="83">
                  <c:v>0.13428205624654252</c:v>
                </c:pt>
                <c:pt idx="84">
                  <c:v>0.13269012983359443</c:v>
                </c:pt>
                <c:pt idx="85">
                  <c:v>0.13113509521586938</c:v>
                </c:pt>
                <c:pt idx="86">
                  <c:v>0.12961571339066386</c:v>
                </c:pt>
                <c:pt idx="87">
                  <c:v>0.12813079825814086</c:v>
                </c:pt>
                <c:pt idx="88">
                  <c:v>0.12667921395998002</c:v>
                </c:pt>
                <c:pt idx="89">
                  <c:v>0.12525987236823002</c:v>
                </c:pt>
                <c:pt idx="90">
                  <c:v>0.12387173071515871</c:v>
                </c:pt>
                <c:pt idx="91">
                  <c:v>0.12251378935549553</c:v>
                </c:pt>
                <c:pt idx="92">
                  <c:v>0.12118508965301862</c:v>
                </c:pt>
                <c:pt idx="93">
                  <c:v>0.11988471198395997</c:v>
                </c:pt>
                <c:pt idx="94">
                  <c:v>0.11861177385018648</c:v>
                </c:pt>
                <c:pt idx="95">
                  <c:v>0.11736542809556753</c:v>
                </c:pt>
                <c:pt idx="96">
                  <c:v>0.11614486121936138</c:v>
                </c:pt>
                <c:pt idx="97">
                  <c:v>0.11494929178084633</c:v>
                </c:pt>
                <c:pt idx="98">
                  <c:v>0.11377796888978974</c:v>
                </c:pt>
                <c:pt idx="99">
                  <c:v>0.11263017077769051</c:v>
                </c:pt>
                <c:pt idx="100">
                  <c:v>0.11150520344505062</c:v>
                </c:pt>
                <c:pt idx="101">
                  <c:v>0.11040239938022975</c:v>
                </c:pt>
                <c:pt idx="102">
                  <c:v>0.10932111634571591</c:v>
                </c:pt>
                <c:pt idx="103">
                  <c:v>0.10826073622790505</c:v>
                </c:pt>
                <c:pt idx="104">
                  <c:v>0.10722066394672636</c:v>
                </c:pt>
                <c:pt idx="105">
                  <c:v>0.10620032642167654</c:v>
                </c:pt>
                <c:pt idx="106">
                  <c:v>0.10519917159103928</c:v>
                </c:pt>
                <c:pt idx="107">
                  <c:v>0.10421666748126418</c:v>
                </c:pt>
                <c:pt idx="108">
                  <c:v>0.10325230132366513</c:v>
                </c:pt>
                <c:pt idx="109">
                  <c:v>0.10230557871577181</c:v>
                </c:pt>
                <c:pt idx="110">
                  <c:v>0.10137602282482978</c:v>
                </c:pt>
                <c:pt idx="111">
                  <c:v>0.10046317363109705</c:v>
                </c:pt>
                <c:pt idx="112">
                  <c:v>9.9566587208726534E-2</c:v>
                </c:pt>
                <c:pt idx="113">
                  <c:v>9.8685835042157208E-2</c:v>
                </c:pt>
                <c:pt idx="114">
                  <c:v>9.7820503376060672E-2</c:v>
                </c:pt>
                <c:pt idx="115">
                  <c:v>9.6970192597007107E-2</c:v>
                </c:pt>
                <c:pt idx="116">
                  <c:v>9.6134516645122847E-2</c:v>
                </c:pt>
                <c:pt idx="117">
                  <c:v>9.531310245411502E-2</c:v>
                </c:pt>
                <c:pt idx="118">
                  <c:v>9.4505589418133307E-2</c:v>
                </c:pt>
                <c:pt idx="119">
                  <c:v>9.3711628884029952E-2</c:v>
                </c:pt>
                <c:pt idx="120">
                  <c:v>9.2930883667661987E-2</c:v>
                </c:pt>
              </c:numCache>
            </c:numRef>
          </c:yVal>
          <c:smooth val="0"/>
          <c:extLst>
            <c:ext xmlns:c16="http://schemas.microsoft.com/office/drawing/2014/chart" uri="{C3380CC4-5D6E-409C-BE32-E72D297353CC}">
              <c16:uniqueId val="{00000003-6983-8345-A1CA-CA80B823FA3A}"/>
            </c:ext>
          </c:extLst>
        </c:ser>
        <c:ser>
          <c:idx val="2"/>
          <c:order val="2"/>
          <c:tx>
            <c:v>beta_2 | curvature</c:v>
          </c:tx>
          <c:spPr>
            <a:ln w="19050" cap="rnd">
              <a:solidFill>
                <a:schemeClr val="accent3"/>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NS!$F$19:$F$139</c:f>
              <c:numCache>
                <c:formatCode>0.0000</c:formatCode>
                <c:ptCount val="121"/>
                <c:pt idx="0">
                  <c:v>4.8390805246600888E-4</c:v>
                </c:pt>
                <c:pt idx="1">
                  <c:v>4.2242985037049263E-2</c:v>
                </c:pt>
                <c:pt idx="2">
                  <c:v>7.963720546878672E-2</c:v>
                </c:pt>
                <c:pt idx="3">
                  <c:v>0.11265156146978828</c:v>
                </c:pt>
                <c:pt idx="4">
                  <c:v>0.14171199127623002</c:v>
                </c:pt>
                <c:pt idx="5">
                  <c:v>0.16720531358648183</c:v>
                </c:pt>
                <c:pt idx="6">
                  <c:v>0.18948273071842192</c:v>
                </c:pt>
                <c:pt idx="7">
                  <c:v>0.20886302224442332</c:v>
                </c:pt>
                <c:pt idx="8">
                  <c:v>0.22563545623411241</c:v>
                </c:pt>
                <c:pt idx="9">
                  <c:v>0.2400624428692118</c:v>
                </c:pt>
                <c:pt idx="10">
                  <c:v>0.25238195303457489</c:v>
                </c:pt>
                <c:pt idx="11">
                  <c:v>0.26280972251707646</c:v>
                </c:pt>
                <c:pt idx="12">
                  <c:v>0.27154126064305073</c:v>
                </c:pt>
                <c:pt idx="13">
                  <c:v>0.27875368054061445</c:v>
                </c:pt>
                <c:pt idx="14">
                  <c:v>0.28460736671188336</c:v>
                </c:pt>
                <c:pt idx="15">
                  <c:v>0.28924749422938612</c:v>
                </c:pt>
                <c:pt idx="16">
                  <c:v>0.29280541261956161</c:v>
                </c:pt>
                <c:pt idx="17">
                  <c:v>0.29539990635375057</c:v>
                </c:pt>
                <c:pt idx="18">
                  <c:v>0.29713834282409635</c:v>
                </c:pt>
                <c:pt idx="19">
                  <c:v>0.2981177177296227</c:v>
                </c:pt>
                <c:pt idx="20">
                  <c:v>0.29842560692856945</c:v>
                </c:pt>
                <c:pt idx="21">
                  <c:v>0.29814103301963318</c:v>
                </c:pt>
                <c:pt idx="22">
                  <c:v>0.29733525419049622</c:v>
                </c:pt>
                <c:pt idx="23">
                  <c:v>0.29607248221093563</c:v>
                </c:pt>
                <c:pt idx="24">
                  <c:v>0.29441053584437693</c:v>
                </c:pt>
                <c:pt idx="25">
                  <c:v>0.29240143540099722</c:v>
                </c:pt>
                <c:pt idx="26">
                  <c:v>0.29009194365280111</c:v>
                </c:pt>
                <c:pt idx="27">
                  <c:v>0.28752405787231283</c:v>
                </c:pt>
                <c:pt idx="28">
                  <c:v>0.28473545733782912</c:v>
                </c:pt>
                <c:pt idx="29">
                  <c:v>0.28175991026607239</c:v>
                </c:pt>
                <c:pt idx="30">
                  <c:v>0.27862764378438415</c:v>
                </c:pt>
                <c:pt idx="31">
                  <c:v>0.27536568023640529</c:v>
                </c:pt>
                <c:pt idx="32">
                  <c:v>0.27199814282483242</c:v>
                </c:pt>
                <c:pt idx="33">
                  <c:v>0.26854653332990525</c:v>
                </c:pt>
                <c:pt idx="34">
                  <c:v>0.2650299844005477</c:v>
                </c:pt>
                <c:pt idx="35">
                  <c:v>0.26146548869453329</c:v>
                </c:pt>
                <c:pt idx="36">
                  <c:v>0.2578681069428263</c:v>
                </c:pt>
                <c:pt idx="37">
                  <c:v>0.25425115682968108</c:v>
                </c:pt>
                <c:pt idx="38">
                  <c:v>0.25062638441261753</c:v>
                </c:pt>
                <c:pt idx="39">
                  <c:v>0.24700411965363042</c:v>
                </c:pt>
                <c:pt idx="40">
                  <c:v>0.24339341749364748</c:v>
                </c:pt>
                <c:pt idx="41">
                  <c:v>0.23980218577515328</c:v>
                </c:pt>
                <c:pt idx="42">
                  <c:v>0.23623730120197675</c:v>
                </c:pt>
                <c:pt idx="43">
                  <c:v>0.23270471441951823</c:v>
                </c:pt>
                <c:pt idx="44">
                  <c:v>0.22920954520227854</c:v>
                </c:pt>
                <c:pt idx="45">
                  <c:v>0.22575616864763101</c:v>
                </c:pt>
                <c:pt idx="46">
                  <c:v>0.22234829319460866</c:v>
                </c:pt>
                <c:pt idx="47">
                  <c:v>0.21898903121337834</c:v>
                </c:pt>
                <c:pt idx="48">
                  <c:v>0.21568096284442603</c:v>
                </c:pt>
                <c:pt idx="49">
                  <c:v>0.21242619370571925</c:v>
                </c:pt>
                <c:pt idx="50">
                  <c:v>0.20922640703072118</c:v>
                </c:pt>
                <c:pt idx="51">
                  <c:v>0.20608291074964072</c:v>
                </c:pt>
                <c:pt idx="52">
                  <c:v>0.20299667998028323</c:v>
                </c:pt>
                <c:pt idx="53">
                  <c:v>0.19996839535292266</c:v>
                </c:pt>
                <c:pt idx="54">
                  <c:v>0.19699847755539079</c:v>
                </c:pt>
                <c:pt idx="55">
                  <c:v>0.19408711844974785</c:v>
                </c:pt>
                <c:pt idx="56">
                  <c:v>0.19123430908015956</c:v>
                </c:pt>
                <c:pt idx="57">
                  <c:v>0.1884398648626894</c:v>
                </c:pt>
                <c:pt idx="58">
                  <c:v>0.18570344822136978</c:v>
                </c:pt>
                <c:pt idx="59">
                  <c:v>0.1830245889109203</c:v>
                </c:pt>
                <c:pt idx="60">
                  <c:v>0.1804027022446221</c:v>
                </c:pt>
                <c:pt idx="61">
                  <c:v>0.17783710542595169</c:v>
                </c:pt>
                <c:pt idx="62">
                  <c:v>0.17532703216444814</c:v>
                </c:pt>
                <c:pt idx="63">
                  <c:v>0.17287164573978317</c:v>
                </c:pt>
                <c:pt idx="64">
                  <c:v>0.17047005066297313</c:v>
                </c:pt>
                <c:pt idx="65">
                  <c:v>0.16812130306999265</c:v>
                </c:pt>
                <c:pt idx="66">
                  <c:v>0.16582441997059744</c:v>
                </c:pt>
                <c:pt idx="67">
                  <c:v>0.16357838746382916</c:v>
                </c:pt>
                <c:pt idx="68">
                  <c:v>0.16138216802136368</c:v>
                </c:pt>
                <c:pt idx="69">
                  <c:v>0.15923470693048047</c:v>
                </c:pt>
                <c:pt idx="70">
                  <c:v>0.15713493797989417</c:v>
                </c:pt>
                <c:pt idx="71">
                  <c:v>0.1550817884639254</c:v>
                </c:pt>
                <c:pt idx="72">
                  <c:v>0.15307418357342648</c:v>
                </c:pt>
                <c:pt idx="73">
                  <c:v>0.15111105023545623</c:v>
                </c:pt>
                <c:pt idx="74">
                  <c:v>0.14919132045786165</c:v>
                </c:pt>
                <c:pt idx="75">
                  <c:v>0.14731393422961692</c:v>
                </c:pt>
                <c:pt idx="76">
                  <c:v>0.14547784202294847</c:v>
                </c:pt>
                <c:pt idx="77">
                  <c:v>0.14368200693889349</c:v>
                </c:pt>
                <c:pt idx="78">
                  <c:v>0.14192540653395741</c:v>
                </c:pt>
                <c:pt idx="79">
                  <c:v>0.14020703436192167</c:v>
                </c:pt>
                <c:pt idx="80">
                  <c:v>0.13852590126157002</c:v>
                </c:pt>
                <c:pt idx="81">
                  <c:v>0.13688103641811969</c:v>
                </c:pt>
                <c:pt idx="82">
                  <c:v>0.13527148822344059</c:v>
                </c:pt>
                <c:pt idx="83">
                  <c:v>0.13369632495768979</c:v>
                </c:pt>
                <c:pt idx="84">
                  <c:v>0.13215463531276145</c:v>
                </c:pt>
                <c:pt idx="85">
                  <c:v>0.13064552877593441</c:v>
                </c:pt>
                <c:pt idx="86">
                  <c:v>0.12916813589026707</c:v>
                </c:pt>
                <c:pt idx="87">
                  <c:v>0.12772160840663052</c:v>
                </c:pt>
                <c:pt idx="88">
                  <c:v>0.12630511934076746</c:v>
                </c:pt>
                <c:pt idx="89">
                  <c:v>0.1249178629474019</c:v>
                </c:pt>
                <c:pt idx="90">
                  <c:v>0.12355905462219217</c:v>
                </c:pt>
                <c:pt idx="91">
                  <c:v>0.12222793074120329</c:v>
                </c:pt>
                <c:pt idx="92">
                  <c:v>0.120923748446565</c:v>
                </c:pt>
                <c:pt idx="93">
                  <c:v>0.11964578538606914</c:v>
                </c:pt>
                <c:pt idx="94">
                  <c:v>0.11839333941363382</c:v>
                </c:pt>
                <c:pt idx="95">
                  <c:v>0.11716572825681673</c:v>
                </c:pt>
                <c:pt idx="96">
                  <c:v>0.11596228915688586</c:v>
                </c:pt>
                <c:pt idx="97">
                  <c:v>0.11478237848634858</c:v>
                </c:pt>
                <c:pt idx="98">
                  <c:v>0.11362537134829115</c:v>
                </c:pt>
                <c:pt idx="99">
                  <c:v>0.11249066116138653</c:v>
                </c:pt>
                <c:pt idx="100">
                  <c:v>0.11137765923398309</c:v>
                </c:pt>
                <c:pt idx="101">
                  <c:v>0.11028579433028542</c:v>
                </c:pt>
                <c:pt idx="102">
                  <c:v>0.10921451223127812</c:v>
                </c:pt>
                <c:pt idx="103">
                  <c:v>0.10816327529271837</c:v>
                </c:pt>
                <c:pt idx="104">
                  <c:v>0.10713156200223241</c:v>
                </c:pt>
                <c:pt idx="105">
                  <c:v>0.10611886653728905</c:v>
                </c:pt>
                <c:pt idx="106">
                  <c:v>0.10512469832558913</c:v>
                </c:pt>
                <c:pt idx="107">
                  <c:v>0.10414858160919951</c:v>
                </c:pt>
                <c:pt idx="108">
                  <c:v>0.1031900550135727</c:v>
                </c:pt>
                <c:pt idx="109">
                  <c:v>0.10224867112242494</c:v>
                </c:pt>
                <c:pt idx="110">
                  <c:v>0.10132399605929583</c:v>
                </c:pt>
                <c:pt idx="111">
                  <c:v>0.10041560907647908</c:v>
                </c:pt>
                <c:pt idx="112">
                  <c:v>9.9523102151894971E-2</c:v>
                </c:pt>
                <c:pt idx="113">
                  <c:v>9.8646079594369843E-2</c:v>
                </c:pt>
                <c:pt idx="114">
                  <c:v>9.7784157657693646E-2</c:v>
                </c:pt>
                <c:pt idx="115">
                  <c:v>9.693696416374481E-2</c:v>
                </c:pt>
                <c:pt idx="116">
                  <c:v>9.6104138134897321E-2</c:v>
                </c:pt>
                <c:pt idx="117">
                  <c:v>9.528532943586171E-2</c:v>
                </c:pt>
                <c:pt idx="118">
                  <c:v>9.4480198425053924E-2</c:v>
                </c:pt>
                <c:pt idx="119">
                  <c:v>9.3688415615537576E-2</c:v>
                </c:pt>
                <c:pt idx="120">
                  <c:v>9.2909661345541142E-2</c:v>
                </c:pt>
              </c:numCache>
            </c:numRef>
          </c:yVal>
          <c:smooth val="0"/>
          <c:extLst>
            <c:ext xmlns:c16="http://schemas.microsoft.com/office/drawing/2014/chart" uri="{C3380CC4-5D6E-409C-BE32-E72D297353CC}">
              <c16:uniqueId val="{00000004-6983-8345-A1CA-CA80B823FA3A}"/>
            </c:ext>
          </c:extLst>
        </c:ser>
        <c:dLbls>
          <c:showLegendKey val="0"/>
          <c:showVal val="0"/>
          <c:showCatName val="0"/>
          <c:showSerName val="0"/>
          <c:showPercent val="0"/>
          <c:showBubbleSize val="0"/>
        </c:dLbls>
        <c:axId val="-947015200"/>
        <c:axId val="-947013568"/>
      </c:scatterChart>
      <c:valAx>
        <c:axId val="-94701520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3568"/>
        <c:crosses val="autoZero"/>
        <c:crossBetween val="midCat"/>
      </c:valAx>
      <c:valAx>
        <c:axId val="-947013568"/>
        <c:scaling>
          <c:orientation val="minMax"/>
          <c:max val="1.0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5200"/>
        <c:crosses val="autoZero"/>
        <c:crossBetween val="midCat"/>
        <c:majorUnit val="0.2"/>
      </c:valAx>
      <c:spPr>
        <a:noFill/>
        <a:ln>
          <a:noFill/>
        </a:ln>
        <a:effectLst/>
      </c:spPr>
    </c:plotArea>
    <c:legend>
      <c:legendPos val="r"/>
      <c:layout>
        <c:manualLayout>
          <c:xMode val="edge"/>
          <c:yMode val="edge"/>
          <c:x val="0.78145091319543603"/>
          <c:y val="0.32447498703380639"/>
          <c:w val="0.16943684985576632"/>
          <c:h val="0.303145834315620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'Boiler Room'!$N$3</c:f>
              <c:strCache>
                <c:ptCount val="1"/>
                <c:pt idx="0">
                  <c:v>current</c:v>
                </c:pt>
              </c:strCache>
            </c:strRef>
          </c:tx>
          <c:spPr>
            <a:ln w="19050" cap="rnd">
              <a:solidFill>
                <a:schemeClr val="accent1"/>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Room'!$N$4:$N$44</c:f>
              <c:numCache>
                <c:formatCode>0.00</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extLst>
            <c:ext xmlns:c16="http://schemas.microsoft.com/office/drawing/2014/chart" uri="{C3380CC4-5D6E-409C-BE32-E72D297353CC}">
              <c16:uniqueId val="{00000000-D1FC-FF41-8A74-A52FE7DF8338}"/>
            </c:ext>
          </c:extLst>
        </c:ser>
        <c:ser>
          <c:idx val="1"/>
          <c:order val="1"/>
          <c:tx>
            <c:strRef>
              <c:f>'Boiler Room'!$O$3</c:f>
              <c:strCache>
                <c:ptCount val="1"/>
                <c:pt idx="0">
                  <c:v>scenario</c:v>
                </c:pt>
              </c:strCache>
            </c:strRef>
          </c:tx>
          <c:spPr>
            <a:ln w="19050" cap="rnd">
              <a:solidFill>
                <a:schemeClr val="accent2"/>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Room'!$O$4:$O$44</c:f>
              <c:numCache>
                <c:formatCode>0.00</c:formatCode>
                <c:ptCount val="41"/>
                <c:pt idx="0">
                  <c:v>-1.1532040634207942E-5</c:v>
                </c:pt>
                <c:pt idx="1">
                  <c:v>-4.2442821175750613E-6</c:v>
                </c:pt>
                <c:pt idx="2">
                  <c:v>2.0139724670848141E-6</c:v>
                </c:pt>
                <c:pt idx="3">
                  <c:v>7.2732636079890712E-6</c:v>
                </c:pt>
                <c:pt idx="4">
                  <c:v>1.16390912381031E-5</c:v>
                </c:pt>
                <c:pt idx="5">
                  <c:v>1.5206886802314317E-5</c:v>
                </c:pt>
                <c:pt idx="6">
                  <c:v>1.8062935130155722E-5</c:v>
                </c:pt>
                <c:pt idx="7">
                  <c:v>2.0285213668720263E-5</c:v>
                </c:pt>
                <c:pt idx="8">
                  <c:v>2.194415639342129E-5</c:v>
                </c:pt>
                <c:pt idx="9">
                  <c:v>2.3103349071302814E-5</c:v>
                </c:pt>
                <c:pt idx="10">
                  <c:v>2.3820161964849612E-5</c:v>
                </c:pt>
                <c:pt idx="11">
                  <c:v>2.4146325528798493E-5</c:v>
                </c:pt>
                <c:pt idx="12">
                  <c:v>2.4128454163833423E-5</c:v>
                </c:pt>
                <c:pt idx="13">
                  <c:v>2.3808522645184617E-5</c:v>
                </c:pt>
                <c:pt idx="14">
                  <c:v>2.3224299437316054E-5</c:v>
                </c:pt>
                <c:pt idx="15">
                  <c:v>2.2409740734675083E-5</c:v>
                </c:pt>
                <c:pt idx="16">
                  <c:v>2.1395348729785982E-5</c:v>
                </c:pt>
                <c:pt idx="17">
                  <c:v>2.0208497300960171E-5</c:v>
                </c:pt>
                <c:pt idx="18">
                  <c:v>1.8873728029978947E-5</c:v>
                </c:pt>
                <c:pt idx="19">
                  <c:v>1.7413019202915195E-5</c:v>
                </c:pt>
                <c:pt idx="20">
                  <c:v>1.584603021264159E-5</c:v>
                </c:pt>
                <c:pt idx="21">
                  <c:v>1.4190323567551304E-5</c:v>
                </c:pt>
                <c:pt idx="22">
                  <c:v>1.246156651579291E-5</c:v>
                </c:pt>
                <c:pt idx="23">
                  <c:v>1.0673714116255886E-5</c:v>
                </c:pt>
                <c:pt idx="24">
                  <c:v>8.8391754251310607E-6</c:v>
                </c:pt>
                <c:pt idx="25">
                  <c:v>6.9689643187461844E-6</c:v>
                </c:pt>
                <c:pt idx="26">
                  <c:v>5.072836338290148E-6</c:v>
                </c:pt>
                <c:pt idx="27">
                  <c:v>3.1594128188477787E-6</c:v>
                </c:pt>
                <c:pt idx="28">
                  <c:v>1.2362934528315601E-6</c:v>
                </c:pt>
                <c:pt idx="29">
                  <c:v>-6.8984166453688685E-7</c:v>
                </c:pt>
                <c:pt idx="30">
                  <c:v>-2.6131395534386261E-6</c:v>
                </c:pt>
                <c:pt idx="31">
                  <c:v>-4.5284905622575719E-6</c:v>
                </c:pt>
                <c:pt idx="32">
                  <c:v>-6.4314524834960317E-6</c:v>
                </c:pt>
                <c:pt idx="33">
                  <c:v>-8.3181818521021675E-6</c:v>
                </c:pt>
                <c:pt idx="34">
                  <c:v>-1.0185371770016788E-5</c:v>
                </c:pt>
                <c:pt idx="35">
                  <c:v>-1.2030195659548301E-5</c:v>
                </c:pt>
                <c:pt idx="36">
                  <c:v>-1.385025640177855E-5</c:v>
                </c:pt>
                <c:pt idx="37">
                  <c:v>-1.5643540365045365E-5</c:v>
                </c:pt>
                <c:pt idx="38">
                  <c:v>-1.740837587305903E-5</c:v>
                </c:pt>
                <c:pt idx="39">
                  <c:v>-1.9143395702769437E-5</c:v>
                </c:pt>
                <c:pt idx="40">
                  <c:v>-2.0847503239057561E-5</c:v>
                </c:pt>
              </c:numCache>
            </c:numRef>
          </c:yVal>
          <c:smooth val="0"/>
          <c:extLst>
            <c:ext xmlns:c16="http://schemas.microsoft.com/office/drawing/2014/chart" uri="{C3380CC4-5D6E-409C-BE32-E72D297353CC}">
              <c16:uniqueId val="{00000001-D1FC-FF41-8A74-A52FE7DF8338}"/>
            </c:ext>
          </c:extLst>
        </c:ser>
        <c:ser>
          <c:idx val="2"/>
          <c:order val="2"/>
          <c:tx>
            <c:v>current</c:v>
          </c:tx>
          <c:spPr>
            <a:ln w="25400" cap="rnd">
              <a:noFill/>
              <a:round/>
            </a:ln>
            <a:effectLst/>
          </c:spPr>
          <c:marker>
            <c:symbol val="circle"/>
            <c:size val="5"/>
            <c:spPr>
              <a:solidFill>
                <a:schemeClr val="accent3"/>
              </a:solidFill>
              <a:ln w="9525">
                <a:solidFill>
                  <a:schemeClr val="accent3"/>
                </a:solidFill>
              </a:ln>
              <a:effectLst/>
            </c:spPr>
          </c:marker>
          <c:xVal>
            <c:numRef>
              <c:f>Scenarios!$M$4:$M$8</c:f>
              <c:numCache>
                <c:formatCode>General</c:formatCode>
                <c:ptCount val="5"/>
                <c:pt idx="0">
                  <c:v>0.25</c:v>
                </c:pt>
                <c:pt idx="1">
                  <c:v>2</c:v>
                </c:pt>
                <c:pt idx="2">
                  <c:v>5</c:v>
                </c:pt>
                <c:pt idx="3">
                  <c:v>10</c:v>
                </c:pt>
              </c:numCache>
            </c:numRef>
          </c:xVal>
          <c:yVal>
            <c:numRef>
              <c:f>Scenarios!$N$4:$N$8</c:f>
              <c:numCache>
                <c:formatCode>0.00</c:formatCode>
                <c:ptCount val="5"/>
                <c:pt idx="0">
                  <c:v>0</c:v>
                </c:pt>
                <c:pt idx="1">
                  <c:v>0</c:v>
                </c:pt>
                <c:pt idx="2">
                  <c:v>0</c:v>
                </c:pt>
                <c:pt idx="3">
                  <c:v>0</c:v>
                </c:pt>
              </c:numCache>
            </c:numRef>
          </c:yVal>
          <c:smooth val="0"/>
          <c:extLst>
            <c:ext xmlns:c16="http://schemas.microsoft.com/office/drawing/2014/chart" uri="{C3380CC4-5D6E-409C-BE32-E72D297353CC}">
              <c16:uniqueId val="{00000002-D1FC-FF41-8A74-A52FE7DF8338}"/>
            </c:ext>
          </c:extLst>
        </c:ser>
        <c:ser>
          <c:idx val="3"/>
          <c:order val="3"/>
          <c:tx>
            <c:v>scenario</c:v>
          </c:tx>
          <c:spPr>
            <a:ln w="25400" cap="rnd">
              <a:noFill/>
              <a:round/>
            </a:ln>
            <a:effectLst/>
          </c:spPr>
          <c:marker>
            <c:symbol val="circle"/>
            <c:size val="5"/>
            <c:spPr>
              <a:solidFill>
                <a:schemeClr val="accent2"/>
              </a:solidFill>
              <a:ln w="9525">
                <a:solidFill>
                  <a:schemeClr val="accent2"/>
                </a:solidFill>
              </a:ln>
              <a:effectLst/>
            </c:spPr>
          </c:marker>
          <c:xVal>
            <c:numRef>
              <c:f>Scenarios!$M$4:$M$8</c:f>
              <c:numCache>
                <c:formatCode>General</c:formatCode>
                <c:ptCount val="5"/>
                <c:pt idx="0">
                  <c:v>0.25</c:v>
                </c:pt>
                <c:pt idx="1">
                  <c:v>2</c:v>
                </c:pt>
                <c:pt idx="2">
                  <c:v>5</c:v>
                </c:pt>
                <c:pt idx="3">
                  <c:v>10</c:v>
                </c:pt>
              </c:numCache>
            </c:numRef>
          </c:xVal>
          <c:yVal>
            <c:numRef>
              <c:f>Scenarios!$O$4:$O$8</c:f>
              <c:numCache>
                <c:formatCode>0.00</c:formatCode>
                <c:ptCount val="5"/>
                <c:pt idx="0">
                  <c:v>0</c:v>
                </c:pt>
                <c:pt idx="1">
                  <c:v>0</c:v>
                </c:pt>
                <c:pt idx="2">
                  <c:v>0</c:v>
                </c:pt>
                <c:pt idx="3">
                  <c:v>0</c:v>
                </c:pt>
              </c:numCache>
            </c:numRef>
          </c:yVal>
          <c:smooth val="0"/>
          <c:extLst>
            <c:ext xmlns:c16="http://schemas.microsoft.com/office/drawing/2014/chart" uri="{C3380CC4-5D6E-409C-BE32-E72D297353CC}">
              <c16:uniqueId val="{00000003-D1FC-FF41-8A74-A52FE7DF8338}"/>
            </c:ext>
          </c:extLst>
        </c:ser>
        <c:dLbls>
          <c:showLegendKey val="0"/>
          <c:showVal val="0"/>
          <c:showCatName val="0"/>
          <c:showSerName val="0"/>
          <c:showPercent val="0"/>
          <c:showBubbleSize val="0"/>
        </c:dLbls>
        <c:axId val="-947011392"/>
        <c:axId val="-947009760"/>
      </c:scatterChart>
      <c:valAx>
        <c:axId val="-94701139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9760"/>
        <c:crosses val="autoZero"/>
        <c:crossBetween val="midCat"/>
      </c:valAx>
      <c:valAx>
        <c:axId val="-947009760"/>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Horizon return by maturity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unchanged</c:v>
          </c:tx>
          <c:spPr>
            <a:solidFill>
              <a:schemeClr val="accent2"/>
            </a:solidFill>
            <a:ln>
              <a:noFill/>
            </a:ln>
            <a:effectLst/>
          </c:spPr>
          <c:invertIfNegative val="0"/>
          <c:val>
            <c:numRef>
              <c:f>Scenarios!$X$13:$X$23</c:f>
              <c:numCache>
                <c:formatCode>0.00%</c:formatCode>
                <c:ptCount val="11"/>
                <c:pt idx="0">
                  <c:v>0</c:v>
                </c:pt>
                <c:pt idx="1">
                  <c:v>0</c:v>
                </c:pt>
                <c:pt idx="2" formatCode="0.00%;[Red]\-0.00%">
                  <c:v>0</c:v>
                </c:pt>
                <c:pt idx="3" formatCode="0.00%;[Red]\-0.00%">
                  <c:v>0</c:v>
                </c:pt>
                <c:pt idx="4" formatCode="0.00%;[Red]\-0.00%">
                  <c:v>0</c:v>
                </c:pt>
                <c:pt idx="5" formatCode="0.00%;[Red]\-0.00%">
                  <c:v>0</c:v>
                </c:pt>
                <c:pt idx="6" formatCode="0.00%;[Red]\-0.00%">
                  <c:v>0</c:v>
                </c:pt>
                <c:pt idx="7" formatCode="0.00%;[Red]\-0.00%">
                  <c:v>0</c:v>
                </c:pt>
                <c:pt idx="8" formatCode="0.00%;[Red]\-0.00%">
                  <c:v>0</c:v>
                </c:pt>
                <c:pt idx="9" formatCode="0.00%;[Red]\-0.00%">
                  <c:v>0</c:v>
                </c:pt>
                <c:pt idx="10" formatCode="0.00%;[Red]\-0.00%">
                  <c:v>0</c:v>
                </c:pt>
              </c:numCache>
            </c:numRef>
          </c:val>
          <c:extLst>
            <c:ext xmlns:c15="http://schemas.microsoft.com/office/drawing/2012/chart" uri="{02D57815-91ED-43cb-92C2-25804820EDAC}">
              <c15:filteredCategoryTitle>
                <c15:cat>
                  <c:multiLvlStrRef>
                    <c:extLst>
                      <c:ext uri="{02D57815-91ED-43cb-92C2-25804820EDAC}">
                        <c15:formulaRef>
                          <c15:sqref>Scenarios!#REF!</c15:sqref>
                        </c15:formulaRef>
                      </c:ext>
                    </c:extLst>
                  </c:multiLvlStrRef>
                </c15:cat>
              </c15:filteredCategoryTitle>
            </c:ext>
            <c:ext xmlns:c16="http://schemas.microsoft.com/office/drawing/2014/chart" uri="{C3380CC4-5D6E-409C-BE32-E72D297353CC}">
              <c16:uniqueId val="{00000001-BD0C-6D48-BDFB-912B5D9AE71C}"/>
            </c:ext>
          </c:extLst>
        </c:ser>
        <c:ser>
          <c:idx val="0"/>
          <c:order val="1"/>
          <c:tx>
            <c:v>scenario</c:v>
          </c:tx>
          <c:spPr>
            <a:solidFill>
              <a:schemeClr val="accent1"/>
            </a:solidFill>
            <a:ln>
              <a:noFill/>
            </a:ln>
            <a:effectLst/>
          </c:spPr>
          <c:invertIfNegative val="0"/>
          <c:val>
            <c:numRef>
              <c:f>Scenarios!$Y$13:$Y$23</c:f>
              <c:numCache>
                <c:formatCode>0.00%;[Red]\-0.00%</c:formatCode>
                <c:ptCount val="11"/>
                <c:pt idx="0">
                  <c:v>0</c:v>
                </c:pt>
                <c:pt idx="1">
                  <c:v>2.7889382137047392E-8</c:v>
                </c:pt>
                <c:pt idx="2">
                  <c:v>-2.5789875779391735E-7</c:v>
                </c:pt>
                <c:pt idx="3">
                  <c:v>-6.0034780424711442E-7</c:v>
                </c:pt>
                <c:pt idx="4">
                  <c:v>-8.3055226984818376E-7</c:v>
                </c:pt>
                <c:pt idx="5">
                  <c:v>-8.7627411793356202E-7</c:v>
                </c:pt>
                <c:pt idx="6">
                  <c:v>-7.1901526843554109E-7</c:v>
                </c:pt>
                <c:pt idx="7">
                  <c:v>-3.6818540305461056E-7</c:v>
                </c:pt>
                <c:pt idx="8">
                  <c:v>0</c:v>
                </c:pt>
                <c:pt idx="9">
                  <c:v>0</c:v>
                </c:pt>
                <c:pt idx="10">
                  <c:v>0</c:v>
                </c:pt>
              </c:numCache>
            </c:numRef>
          </c:val>
          <c:extLst>
            <c:ext xmlns:c15="http://schemas.microsoft.com/office/drawing/2012/chart" uri="{02D57815-91ED-43cb-92C2-25804820EDAC}">
              <c15:filteredCategoryTitle>
                <c15:cat>
                  <c:multiLvlStrRef>
                    <c:extLst>
                      <c:ext uri="{02D57815-91ED-43cb-92C2-25804820EDAC}">
                        <c15:formulaRef>
                          <c15:sqref>Scenarios!#REF!</c15:sqref>
                        </c15:formulaRef>
                      </c:ext>
                    </c:extLst>
                  </c:multiLvlStrRef>
                </c15:cat>
              </c15:filteredCategoryTitle>
            </c:ext>
            <c:ext xmlns:c16="http://schemas.microsoft.com/office/drawing/2014/chart" uri="{C3380CC4-5D6E-409C-BE32-E72D297353CC}">
              <c16:uniqueId val="{00000002-BD0C-6D48-BDFB-912B5D9AE71C}"/>
            </c:ext>
          </c:extLst>
        </c:ser>
        <c:dLbls>
          <c:showLegendKey val="0"/>
          <c:showVal val="0"/>
          <c:showCatName val="0"/>
          <c:showSerName val="0"/>
          <c:showPercent val="0"/>
          <c:showBubbleSize val="0"/>
        </c:dLbls>
        <c:gapWidth val="219"/>
        <c:overlap val="-27"/>
        <c:axId val="-947003776"/>
        <c:axId val="-947004320"/>
      </c:barChart>
      <c:catAx>
        <c:axId val="-947003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320"/>
        <c:crosses val="autoZero"/>
        <c:auto val="1"/>
        <c:lblAlgn val="ctr"/>
        <c:lblOffset val="100"/>
        <c:noMultiLvlLbl val="0"/>
      </c:catAx>
      <c:valAx>
        <c:axId val="-94700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country_ix" fmlaRange="country_list" sel="1" val="0"/>
</file>

<file path=xl/ctrlProps/ctrlProp2.xml><?xml version="1.0" encoding="utf-8"?>
<formControlPr xmlns="http://schemas.microsoft.com/office/spreadsheetml/2009/9/main" objectType="Drop" dropStyle="combo" dx="15" fmlaLink="hump_ix" fmlaRange="hump_choices" sel="5"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469900</xdr:colOff>
      <xdr:row>1</xdr:row>
      <xdr:rowOff>139700</xdr:rowOff>
    </xdr:from>
    <xdr:to>
      <xdr:col>8</xdr:col>
      <xdr:colOff>698500</xdr:colOff>
      <xdr:row>21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900" y="330200"/>
          <a:ext cx="6832600" cy="3708400"/>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2</xdr:row>
          <xdr:rowOff>76200</xdr:rowOff>
        </xdr:from>
        <xdr:to>
          <xdr:col>1</xdr:col>
          <xdr:colOff>787400</xdr:colOff>
          <xdr:row>3</xdr:row>
          <xdr:rowOff>114300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12700</xdr:colOff>
      <xdr:row>7</xdr:row>
      <xdr:rowOff>38100</xdr:rowOff>
    </xdr:from>
    <xdr:to>
      <xdr:col>16</xdr:col>
      <xdr:colOff>25400</xdr:colOff>
      <xdr:row>27</xdr:row>
      <xdr:rowOff>101600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12700</xdr:colOff>
      <xdr:row>28</xdr:row>
      <xdr:rowOff>50800</xdr:rowOff>
    </xdr:from>
    <xdr:to>
      <xdr:col>16</xdr:col>
      <xdr:colOff>31750</xdr:colOff>
      <xdr:row>39</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190500</xdr:colOff>
          <xdr:row>3</xdr:row>
          <xdr:rowOff>63500</xdr:rowOff>
        </xdr:from>
        <xdr:to>
          <xdr:col>10</xdr:col>
          <xdr:colOff>876300</xdr:colOff>
          <xdr:row>4</xdr:row>
          <xdr:rowOff>101600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63500</xdr:colOff>
          <xdr:row>2</xdr:row>
          <xdr:rowOff>63500</xdr:rowOff>
        </xdr:from>
        <xdr:to>
          <xdr:col>15</xdr:col>
          <xdr:colOff>762000</xdr:colOff>
          <xdr:row>3</xdr:row>
          <xdr:rowOff>139700</xdr:rowOff>
        </xdr:to>
        <xdr:sp macro="" textlink="">
          <xdr:nvSpPr>
            <xdr:cNvPr id="3078" name="Button 6" descr="fit curve"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fit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812800</xdr:colOff>
          <xdr:row>2</xdr:row>
          <xdr:rowOff>114300</xdr:rowOff>
        </xdr:from>
        <xdr:to>
          <xdr:col>19</xdr:col>
          <xdr:colOff>38100</xdr:colOff>
          <xdr:row>4</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fit scenario curve</a:t>
              </a:r>
            </a:p>
          </xdr:txBody>
        </xdr:sp>
        <xdr:clientData fPrintsWithSheet="0"/>
      </xdr:twoCellAnchor>
    </mc:Choice>
    <mc:Fallback/>
  </mc:AlternateContent>
  <xdr:twoCellAnchor>
    <xdr:from>
      <xdr:col>1</xdr:col>
      <xdr:colOff>38100</xdr:colOff>
      <xdr:row>1</xdr:row>
      <xdr:rowOff>50800</xdr:rowOff>
    </xdr:from>
    <xdr:to>
      <xdr:col>7</xdr:col>
      <xdr:colOff>787400</xdr:colOff>
      <xdr:row>17</xdr:row>
      <xdr:rowOff>63500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17</xdr:row>
      <xdr:rowOff>139700</xdr:rowOff>
    </xdr:from>
    <xdr:to>
      <xdr:col>7</xdr:col>
      <xdr:colOff>787400</xdr:colOff>
      <xdr:row>30</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workbookViewId="0">
      <selection activeCell="L18" sqref="L18"/>
    </sheetView>
  </sheetViews>
  <sheetFormatPr baseColWidth="10" defaultColWidth="11.5" defaultRowHeight="15" x14ac:dyDescent="0.2"/>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21C9-0F6F-BD4C-A0EE-F1EAFDCE4B1D}">
  <sheetPr codeName="Sheet1"/>
  <dimension ref="B2:G12"/>
  <sheetViews>
    <sheetView showGridLines="0" zoomScale="125" zoomScaleNormal="150" workbookViewId="0">
      <selection activeCell="E19" sqref="E19"/>
    </sheetView>
  </sheetViews>
  <sheetFormatPr baseColWidth="10" defaultColWidth="10.83203125" defaultRowHeight="15" x14ac:dyDescent="0.2"/>
  <cols>
    <col min="1" max="6" width="10.83203125" style="1"/>
    <col min="7" max="7" width="11.6640625" style="1" bestFit="1" customWidth="1"/>
    <col min="8" max="16384" width="10.83203125" style="1"/>
  </cols>
  <sheetData>
    <row r="2" spans="2:7" x14ac:dyDescent="0.2">
      <c r="C2" s="26" t="s">
        <v>40</v>
      </c>
      <c r="D2" s="26" t="s">
        <v>41</v>
      </c>
      <c r="G2" s="26" t="s">
        <v>68</v>
      </c>
    </row>
    <row r="3" spans="2:7" x14ac:dyDescent="0.2">
      <c r="B3" s="25" t="s">
        <v>33</v>
      </c>
      <c r="C3" s="27">
        <v>4.6899999999999997E-2</v>
      </c>
      <c r="D3" s="27">
        <v>0.05</v>
      </c>
      <c r="F3" s="1" t="s">
        <v>69</v>
      </c>
      <c r="G3" s="56"/>
    </row>
    <row r="4" spans="2:7" x14ac:dyDescent="0.2">
      <c r="B4" s="25" t="s">
        <v>34</v>
      </c>
      <c r="C4" s="27">
        <v>4.6899999999999997E-2</v>
      </c>
      <c r="F4" s="1" t="s">
        <v>70</v>
      </c>
      <c r="G4" s="56"/>
    </row>
    <row r="5" spans="2:7" x14ac:dyDescent="0.2">
      <c r="B5" s="25" t="s">
        <v>37</v>
      </c>
      <c r="C5" s="28">
        <v>2</v>
      </c>
      <c r="F5" s="1" t="s">
        <v>73</v>
      </c>
      <c r="G5" s="57"/>
    </row>
    <row r="6" spans="2:7" x14ac:dyDescent="0.2">
      <c r="B6" s="25" t="s">
        <v>38</v>
      </c>
      <c r="C6" s="53">
        <f ca="1">TODAY()</f>
        <v>46321</v>
      </c>
      <c r="F6" s="1" t="s">
        <v>72</v>
      </c>
      <c r="G6" s="57"/>
    </row>
    <row r="7" spans="2:7" x14ac:dyDescent="0.2">
      <c r="B7" s="25" t="s">
        <v>39</v>
      </c>
      <c r="C7" s="53">
        <f ca="1">C6+C5*365.25</f>
        <v>47051.5</v>
      </c>
      <c r="F7" s="26" t="s">
        <v>71</v>
      </c>
      <c r="G7" s="58"/>
    </row>
    <row r="8" spans="2:7" x14ac:dyDescent="0.2">
      <c r="B8" s="25" t="s">
        <v>35</v>
      </c>
      <c r="C8" s="54">
        <f ca="1">MDURATION(C6,C7,C4,C3,1)</f>
        <v>1.8649568173153315</v>
      </c>
    </row>
    <row r="9" spans="2:7" x14ac:dyDescent="0.2">
      <c r="B9" s="25" t="s">
        <v>36</v>
      </c>
      <c r="C9" s="54">
        <f ca="1">PRICE(C6,C7,C4,C3,100,1)</f>
        <v>99.999704537252441</v>
      </c>
      <c r="D9" s="54">
        <f ca="1">PRICE(C6,C7,C4,D3,100,1)</f>
        <v>99.424030604375488</v>
      </c>
    </row>
    <row r="11" spans="2:7" x14ac:dyDescent="0.2">
      <c r="C11" s="25" t="s">
        <v>42</v>
      </c>
      <c r="D11" s="55">
        <f ca="1">D9/C9-1</f>
        <v>-5.7567563378400077E-3</v>
      </c>
    </row>
    <row r="12" spans="2:7" x14ac:dyDescent="0.2">
      <c r="C12" s="25" t="s">
        <v>43</v>
      </c>
      <c r="D12" s="55">
        <f ca="1">(D3-C3)*-C8</f>
        <v>-5.7813661336775382E-3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Q139"/>
  <sheetViews>
    <sheetView showGridLines="0" topLeftCell="A2" zoomScale="116" zoomScaleNormal="116" workbookViewId="0">
      <selection activeCell="Q15" sqref="Q15"/>
    </sheetView>
  </sheetViews>
  <sheetFormatPr baseColWidth="10" defaultColWidth="10.83203125" defaultRowHeight="15" x14ac:dyDescent="0.2"/>
  <cols>
    <col min="1" max="1" width="5" style="1" customWidth="1"/>
    <col min="2" max="6" width="10.83203125" style="1"/>
    <col min="7" max="7" width="8.6640625" style="1" customWidth="1"/>
    <col min="8" max="8" width="11" style="1" customWidth="1"/>
    <col min="9" max="10" width="10.83203125" style="1"/>
    <col min="11" max="11" width="14.83203125" style="1" customWidth="1"/>
    <col min="12" max="12" width="12.6640625" style="1" customWidth="1"/>
    <col min="13" max="13" width="4.6640625" style="1" customWidth="1"/>
    <col min="14" max="16384" width="10.83203125" style="1"/>
  </cols>
  <sheetData>
    <row r="2" spans="2:17" x14ac:dyDescent="0.2">
      <c r="B2" s="18" t="s">
        <v>18</v>
      </c>
      <c r="C2" s="18" t="s">
        <v>21</v>
      </c>
      <c r="H2" s="16" t="s">
        <v>19</v>
      </c>
      <c r="I2" s="17"/>
      <c r="J2" s="17"/>
      <c r="K2" s="17"/>
      <c r="P2" s="23" t="s">
        <v>24</v>
      </c>
    </row>
    <row r="3" spans="2:17" x14ac:dyDescent="0.2">
      <c r="B3" s="22"/>
      <c r="C3" s="74">
        <f>obs_date</f>
        <v>46301</v>
      </c>
      <c r="H3" s="9" t="s">
        <v>5</v>
      </c>
      <c r="I3" s="19">
        <v>0</v>
      </c>
      <c r="J3" s="6" t="s">
        <v>13</v>
      </c>
      <c r="K3" s="9" t="s">
        <v>17</v>
      </c>
      <c r="P3" s="22"/>
    </row>
    <row r="4" spans="2:17" x14ac:dyDescent="0.2">
      <c r="B4" s="22"/>
      <c r="C4" s="74"/>
      <c r="H4" s="9" t="s">
        <v>6</v>
      </c>
      <c r="I4" s="19">
        <v>0</v>
      </c>
      <c r="J4" s="6" t="s">
        <v>14</v>
      </c>
      <c r="K4" s="20"/>
      <c r="P4" s="22"/>
    </row>
    <row r="5" spans="2:17" x14ac:dyDescent="0.2">
      <c r="H5" s="9" t="s">
        <v>7</v>
      </c>
      <c r="I5" s="19">
        <v>0</v>
      </c>
      <c r="J5" s="6" t="s">
        <v>15</v>
      </c>
      <c r="K5" s="21"/>
      <c r="P5" s="9" t="s">
        <v>22</v>
      </c>
    </row>
    <row r="6" spans="2:17" x14ac:dyDescent="0.2">
      <c r="B6" s="5" t="s">
        <v>3</v>
      </c>
      <c r="C6" s="5" t="s">
        <v>4</v>
      </c>
      <c r="D6" s="5" t="s">
        <v>9</v>
      </c>
      <c r="E6" s="5" t="s">
        <v>10</v>
      </c>
      <c r="F6" s="5" t="s">
        <v>23</v>
      </c>
      <c r="H6" s="9" t="s">
        <v>8</v>
      </c>
      <c r="I6" s="12" cm="1">
        <f t="array" ref="I6">INDEX(lambdas,hump_ix,1)</f>
        <v>0.3586819</v>
      </c>
      <c r="J6" s="6" t="s">
        <v>8</v>
      </c>
      <c r="K6" s="6"/>
      <c r="P6" s="12">
        <f>SUMSQ(E7:E15)</f>
        <v>199.53934092</v>
      </c>
    </row>
    <row r="7" spans="2:17" x14ac:dyDescent="0.2">
      <c r="B7" s="9">
        <f t="array" ref="B7:B15">current_maturities</f>
        <v>0.25</v>
      </c>
      <c r="C7" s="7">
        <f t="array" ref="C7:C15">INDEX(current_rates, , country_ix)</f>
        <v>4.1203000000000003</v>
      </c>
      <c r="D7" s="7">
        <f t="shared" ref="D7:D15" si="0">LOOKUP(B7, ns_table)</f>
        <v>0</v>
      </c>
      <c r="E7" s="8">
        <f t="shared" ref="E7:E15" si="1">IF(ISNA(C7),0,IF(F7,D7-C7,0))</f>
        <v>-4.1203000000000003</v>
      </c>
      <c r="F7" s="22">
        <v>1</v>
      </c>
    </row>
    <row r="8" spans="2:17" x14ac:dyDescent="0.2">
      <c r="B8" s="9">
        <v>0.5</v>
      </c>
      <c r="C8" s="7">
        <v>4.2994000000000003</v>
      </c>
      <c r="D8" s="7">
        <f t="shared" si="0"/>
        <v>0</v>
      </c>
      <c r="E8" s="8">
        <f t="shared" si="1"/>
        <v>-4.2994000000000003</v>
      </c>
      <c r="F8" s="22">
        <v>1</v>
      </c>
    </row>
    <row r="9" spans="2:17" x14ac:dyDescent="0.2">
      <c r="B9" s="9">
        <v>1</v>
      </c>
      <c r="C9" s="7">
        <v>4.3860000000000001</v>
      </c>
      <c r="D9" s="7">
        <f t="shared" si="0"/>
        <v>0</v>
      </c>
      <c r="E9" s="8">
        <f t="shared" si="1"/>
        <v>-4.3860000000000001</v>
      </c>
      <c r="F9" s="22">
        <v>1</v>
      </c>
      <c r="Q9" s="1" t="s">
        <v>11</v>
      </c>
    </row>
    <row r="10" spans="2:17" x14ac:dyDescent="0.2">
      <c r="B10" s="9">
        <v>2</v>
      </c>
      <c r="C10" s="7">
        <v>4.6901999999999999</v>
      </c>
      <c r="D10" s="7">
        <f t="shared" si="0"/>
        <v>0</v>
      </c>
      <c r="E10" s="8">
        <f t="shared" si="1"/>
        <v>-4.6901999999999999</v>
      </c>
      <c r="F10" s="22">
        <v>1</v>
      </c>
    </row>
    <row r="11" spans="2:17" x14ac:dyDescent="0.2">
      <c r="B11" s="9">
        <v>3</v>
      </c>
      <c r="C11" s="7">
        <v>4.7572999999999999</v>
      </c>
      <c r="D11" s="7">
        <f t="shared" si="0"/>
        <v>0</v>
      </c>
      <c r="E11" s="8">
        <f t="shared" si="1"/>
        <v>-4.7572999999999999</v>
      </c>
      <c r="F11" s="22">
        <v>1</v>
      </c>
    </row>
    <row r="12" spans="2:17" x14ac:dyDescent="0.2">
      <c r="B12" s="9">
        <v>5</v>
      </c>
      <c r="C12" s="7">
        <v>4.8118999999999996</v>
      </c>
      <c r="D12" s="7">
        <f t="shared" si="0"/>
        <v>0</v>
      </c>
      <c r="E12" s="8">
        <f t="shared" si="1"/>
        <v>-4.8118999999999996</v>
      </c>
      <c r="F12" s="22">
        <v>1</v>
      </c>
    </row>
    <row r="13" spans="2:17" x14ac:dyDescent="0.2">
      <c r="B13" s="9">
        <v>7</v>
      </c>
      <c r="C13" s="7">
        <v>4.8918999999999997</v>
      </c>
      <c r="D13" s="7">
        <f t="shared" si="0"/>
        <v>0</v>
      </c>
      <c r="E13" s="8">
        <f t="shared" si="1"/>
        <v>-4.8918999999999997</v>
      </c>
      <c r="F13" s="22">
        <v>1</v>
      </c>
    </row>
    <row r="14" spans="2:17" x14ac:dyDescent="0.2">
      <c r="B14" s="9">
        <v>10</v>
      </c>
      <c r="C14" s="7">
        <v>4.9904000000000002</v>
      </c>
      <c r="D14" s="7">
        <f t="shared" si="0"/>
        <v>0</v>
      </c>
      <c r="E14" s="8">
        <f t="shared" si="1"/>
        <v>-4.9904000000000002</v>
      </c>
      <c r="F14" s="22">
        <v>1</v>
      </c>
    </row>
    <row r="15" spans="2:17" x14ac:dyDescent="0.2">
      <c r="B15" s="9">
        <v>30</v>
      </c>
      <c r="C15" s="7">
        <v>5.3124000000000002</v>
      </c>
      <c r="D15" s="7">
        <f t="shared" si="0"/>
        <v>0</v>
      </c>
      <c r="E15" s="8">
        <f t="shared" si="1"/>
        <v>-5.3124000000000002</v>
      </c>
      <c r="F15" s="22">
        <v>1</v>
      </c>
    </row>
    <row r="16" spans="2:17" x14ac:dyDescent="0.2">
      <c r="C16" s="3"/>
    </row>
    <row r="17" spans="2:10" x14ac:dyDescent="0.2">
      <c r="B17" s="10"/>
      <c r="C17" s="11" t="s">
        <v>9</v>
      </c>
      <c r="D17" s="10"/>
      <c r="E17" s="10" t="s">
        <v>20</v>
      </c>
      <c r="F17" s="10"/>
    </row>
    <row r="18" spans="2:10" x14ac:dyDescent="0.2">
      <c r="B18" s="10" t="s">
        <v>3</v>
      </c>
      <c r="C18" s="10" t="s">
        <v>4</v>
      </c>
      <c r="D18" s="10" t="s">
        <v>5</v>
      </c>
      <c r="E18" s="10" t="s">
        <v>6</v>
      </c>
      <c r="F18" s="10" t="s">
        <v>7</v>
      </c>
    </row>
    <row r="19" spans="2:10" x14ac:dyDescent="0.2">
      <c r="B19" s="15">
        <v>2.7000000000000001E-3</v>
      </c>
      <c r="C19" s="7">
        <f t="shared" ref="C19:C50" si="2">beta_0*D19+beta_1*E19+beta_2*F19</f>
        <v>0</v>
      </c>
      <c r="D19" s="13">
        <v>1</v>
      </c>
      <c r="E19" s="14">
        <f t="shared" ref="E19:E50" si="3">((1-EXP(-lambda*$B19))/(lambda*$B19))</f>
        <v>0.99951593571023378</v>
      </c>
      <c r="F19" s="14">
        <f t="shared" ref="F19:F50" si="4">((1-EXP(-lambda*$B19))/(lambda*$B19)-EXP(-lambda*$B19))</f>
        <v>4.8390805246600888E-4</v>
      </c>
    </row>
    <row r="20" spans="2:10" x14ac:dyDescent="0.2">
      <c r="B20" s="15">
        <v>0.25</v>
      </c>
      <c r="C20" s="7">
        <f t="shared" si="2"/>
        <v>0</v>
      </c>
      <c r="D20" s="13">
        <v>1</v>
      </c>
      <c r="E20" s="14">
        <f t="shared" si="3"/>
        <v>0.95647538310795222</v>
      </c>
      <c r="F20" s="14">
        <f t="shared" si="4"/>
        <v>4.2242985037049263E-2</v>
      </c>
    </row>
    <row r="21" spans="2:10" x14ac:dyDescent="0.2">
      <c r="B21" s="15">
        <v>0.5</v>
      </c>
      <c r="C21" s="7">
        <f t="shared" si="2"/>
        <v>0</v>
      </c>
      <c r="D21" s="13">
        <v>1</v>
      </c>
      <c r="E21" s="14">
        <f t="shared" si="3"/>
        <v>0.91545808315126065</v>
      </c>
      <c r="F21" s="14">
        <f t="shared" si="4"/>
        <v>7.963720546878672E-2</v>
      </c>
    </row>
    <row r="22" spans="2:10" x14ac:dyDescent="0.2">
      <c r="B22" s="15">
        <v>0.75</v>
      </c>
      <c r="C22" s="7">
        <f t="shared" si="2"/>
        <v>0</v>
      </c>
      <c r="D22" s="13">
        <v>1</v>
      </c>
      <c r="E22" s="14">
        <f t="shared" si="3"/>
        <v>0.87678608683116332</v>
      </c>
      <c r="F22" s="14">
        <f t="shared" si="4"/>
        <v>0.11265156146978828</v>
      </c>
      <c r="J22" s="1" t="s">
        <v>11</v>
      </c>
    </row>
    <row r="23" spans="2:10" x14ac:dyDescent="0.2">
      <c r="B23" s="15">
        <v>1</v>
      </c>
      <c r="C23" s="7">
        <f t="shared" si="2"/>
        <v>0</v>
      </c>
      <c r="D23" s="13">
        <v>1</v>
      </c>
      <c r="E23" s="14">
        <f t="shared" si="3"/>
        <v>0.84030853084613111</v>
      </c>
      <c r="F23" s="14">
        <f t="shared" si="4"/>
        <v>0.14171199127623002</v>
      </c>
    </row>
    <row r="24" spans="2:10" x14ac:dyDescent="0.2">
      <c r="B24" s="15">
        <v>1.25</v>
      </c>
      <c r="C24" s="7">
        <f t="shared" si="2"/>
        <v>0</v>
      </c>
      <c r="D24" s="13">
        <v>1</v>
      </c>
      <c r="E24" s="14">
        <f t="shared" si="3"/>
        <v>0.80588490324150697</v>
      </c>
      <c r="F24" s="14">
        <f t="shared" si="4"/>
        <v>0.16720531358648183</v>
      </c>
    </row>
    <row r="25" spans="2:10" x14ac:dyDescent="0.2">
      <c r="B25" s="15">
        <v>1.5</v>
      </c>
      <c r="C25" s="7">
        <f t="shared" si="2"/>
        <v>0</v>
      </c>
      <c r="D25" s="13">
        <v>1</v>
      </c>
      <c r="E25" s="14">
        <f t="shared" si="3"/>
        <v>0.77338430356767585</v>
      </c>
      <c r="F25" s="14">
        <f t="shared" si="4"/>
        <v>0.18948273071842192</v>
      </c>
    </row>
    <row r="26" spans="2:10" x14ac:dyDescent="0.2">
      <c r="B26" s="15">
        <v>1.75</v>
      </c>
      <c r="C26" s="7">
        <f t="shared" si="2"/>
        <v>0</v>
      </c>
      <c r="D26" s="13">
        <v>1</v>
      </c>
      <c r="E26" s="14">
        <f t="shared" si="3"/>
        <v>0.74268475742776874</v>
      </c>
      <c r="F26" s="14">
        <f t="shared" si="4"/>
        <v>0.20886302224442332</v>
      </c>
    </row>
    <row r="27" spans="2:10" x14ac:dyDescent="0.2">
      <c r="B27" s="15">
        <v>2</v>
      </c>
      <c r="C27" s="7">
        <f t="shared" si="2"/>
        <v>0</v>
      </c>
      <c r="D27" s="13">
        <v>1</v>
      </c>
      <c r="E27" s="14">
        <f t="shared" si="3"/>
        <v>0.71367258133315281</v>
      </c>
      <c r="F27" s="14">
        <f t="shared" si="4"/>
        <v>0.22563545623411241</v>
      </c>
    </row>
    <row r="28" spans="2:10" x14ac:dyDescent="0.2">
      <c r="B28" s="15">
        <v>2.25</v>
      </c>
      <c r="C28" s="7">
        <f t="shared" si="2"/>
        <v>0</v>
      </c>
      <c r="D28" s="13">
        <v>1</v>
      </c>
      <c r="E28" s="14">
        <f t="shared" si="3"/>
        <v>0.68624179409613673</v>
      </c>
      <c r="F28" s="14">
        <f t="shared" si="4"/>
        <v>0.2400624428692118</v>
      </c>
    </row>
    <row r="29" spans="2:10" x14ac:dyDescent="0.2">
      <c r="B29" s="15">
        <v>2.5</v>
      </c>
      <c r="C29" s="7">
        <f t="shared" si="2"/>
        <v>0</v>
      </c>
      <c r="D29" s="13">
        <v>1</v>
      </c>
      <c r="E29" s="14">
        <f t="shared" si="3"/>
        <v>0.66029357127648614</v>
      </c>
      <c r="F29" s="14">
        <f t="shared" si="4"/>
        <v>0.25238195303457489</v>
      </c>
    </row>
    <row r="30" spans="2:10" x14ac:dyDescent="0.2">
      <c r="B30" s="15">
        <v>2.75</v>
      </c>
      <c r="C30" s="7">
        <f t="shared" si="2"/>
        <v>0</v>
      </c>
      <c r="D30" s="13">
        <v>1</v>
      </c>
      <c r="E30" s="14">
        <f t="shared" si="3"/>
        <v>0.6357357394633617</v>
      </c>
      <c r="F30" s="14">
        <f t="shared" si="4"/>
        <v>0.26280972251707646</v>
      </c>
    </row>
    <row r="31" spans="2:10" x14ac:dyDescent="0.2">
      <c r="B31" s="15">
        <v>3</v>
      </c>
      <c r="C31" s="7">
        <f t="shared" si="2"/>
        <v>0</v>
      </c>
      <c r="D31" s="13">
        <v>1</v>
      </c>
      <c r="E31" s="14">
        <f t="shared" si="3"/>
        <v>0.61248230741888332</v>
      </c>
      <c r="F31" s="14">
        <f t="shared" si="4"/>
        <v>0.27154126064305073</v>
      </c>
    </row>
    <row r="32" spans="2:10" x14ac:dyDescent="0.2">
      <c r="B32" s="15">
        <v>3.25</v>
      </c>
      <c r="C32" s="7">
        <f t="shared" si="2"/>
        <v>0</v>
      </c>
      <c r="D32" s="13">
        <v>1</v>
      </c>
      <c r="E32" s="14">
        <f t="shared" si="3"/>
        <v>0.5904530313352877</v>
      </c>
      <c r="F32" s="14">
        <f t="shared" si="4"/>
        <v>0.27875368054061445</v>
      </c>
    </row>
    <row r="33" spans="2:6" x14ac:dyDescent="0.2">
      <c r="B33" s="15">
        <v>3.5</v>
      </c>
      <c r="C33" s="7">
        <f t="shared" si="2"/>
        <v>0</v>
      </c>
      <c r="D33" s="13">
        <v>1</v>
      </c>
      <c r="E33" s="14">
        <f t="shared" si="3"/>
        <v>0.56957301166604113</v>
      </c>
      <c r="F33" s="14">
        <f t="shared" si="4"/>
        <v>0.28460736671188336</v>
      </c>
    </row>
    <row r="34" spans="2:6" x14ac:dyDescent="0.2">
      <c r="B34" s="15">
        <v>3.75</v>
      </c>
      <c r="C34" s="7">
        <f t="shared" si="2"/>
        <v>0</v>
      </c>
      <c r="D34" s="13">
        <v>1</v>
      </c>
      <c r="E34" s="14">
        <f t="shared" si="3"/>
        <v>0.54977231918364722</v>
      </c>
      <c r="F34" s="14">
        <f t="shared" si="4"/>
        <v>0.28924749422938612</v>
      </c>
    </row>
    <row r="35" spans="2:6" x14ac:dyDescent="0.2">
      <c r="B35" s="15">
        <v>4</v>
      </c>
      <c r="C35" s="7">
        <f t="shared" si="2"/>
        <v>0</v>
      </c>
      <c r="D35" s="13">
        <v>1</v>
      </c>
      <c r="E35" s="14">
        <f t="shared" si="3"/>
        <v>0.530985648094498</v>
      </c>
      <c r="F35" s="14">
        <f t="shared" si="4"/>
        <v>0.29280541261956161</v>
      </c>
    </row>
    <row r="36" spans="2:6" x14ac:dyDescent="0.2">
      <c r="B36" s="15">
        <v>4.25</v>
      </c>
      <c r="C36" s="7">
        <f t="shared" si="2"/>
        <v>0</v>
      </c>
      <c r="D36" s="13">
        <v>1</v>
      </c>
      <c r="E36" s="14">
        <f t="shared" si="3"/>
        <v>0.51315199420509405</v>
      </c>
      <c r="F36" s="14">
        <f t="shared" si="4"/>
        <v>0.29539990635375057</v>
      </c>
    </row>
    <row r="37" spans="2:6" x14ac:dyDescent="0.2">
      <c r="B37" s="15">
        <v>4.5</v>
      </c>
      <c r="C37" s="7">
        <f t="shared" si="2"/>
        <v>0</v>
      </c>
      <c r="D37" s="13">
        <v>1</v>
      </c>
      <c r="E37" s="14">
        <f t="shared" si="3"/>
        <v>0.49621435628537602</v>
      </c>
      <c r="F37" s="14">
        <f t="shared" si="4"/>
        <v>0.29713834282409635</v>
      </c>
    </row>
    <row r="38" spans="2:6" x14ac:dyDescent="0.2">
      <c r="B38" s="15">
        <v>4.75</v>
      </c>
      <c r="C38" s="7">
        <f t="shared" si="2"/>
        <v>0</v>
      </c>
      <c r="D38" s="13">
        <v>1</v>
      </c>
      <c r="E38" s="14">
        <f t="shared" si="3"/>
        <v>0.48011945891472374</v>
      </c>
      <c r="F38" s="14">
        <f t="shared" si="4"/>
        <v>0.2981177177296227</v>
      </c>
    </row>
    <row r="39" spans="2:6" x14ac:dyDescent="0.2">
      <c r="B39" s="15">
        <v>5</v>
      </c>
      <c r="C39" s="7">
        <f t="shared" si="2"/>
        <v>0</v>
      </c>
      <c r="D39" s="13">
        <v>1</v>
      </c>
      <c r="E39" s="14">
        <f t="shared" si="3"/>
        <v>0.46481749522530419</v>
      </c>
      <c r="F39" s="14">
        <f t="shared" si="4"/>
        <v>0.29842560692856945</v>
      </c>
    </row>
    <row r="40" spans="2:6" x14ac:dyDescent="0.2">
      <c r="B40" s="15">
        <v>5.25</v>
      </c>
      <c r="C40" s="7">
        <f t="shared" si="2"/>
        <v>0</v>
      </c>
      <c r="D40" s="13">
        <v>1</v>
      </c>
      <c r="E40" s="14">
        <f t="shared" si="3"/>
        <v>0.45026188807670281</v>
      </c>
      <c r="F40" s="14">
        <f t="shared" si="4"/>
        <v>0.29814103301963318</v>
      </c>
    </row>
    <row r="41" spans="2:6" x14ac:dyDescent="0.2">
      <c r="B41" s="15">
        <v>5.5</v>
      </c>
      <c r="C41" s="7">
        <f t="shared" si="2"/>
        <v>0</v>
      </c>
      <c r="D41" s="13">
        <v>1</v>
      </c>
      <c r="E41" s="14">
        <f t="shared" si="3"/>
        <v>0.43640906830591725</v>
      </c>
      <c r="F41" s="14">
        <f t="shared" si="4"/>
        <v>0.29733525419049622</v>
      </c>
    </row>
    <row r="42" spans="2:6" x14ac:dyDescent="0.2">
      <c r="B42" s="15">
        <v>5.75</v>
      </c>
      <c r="C42" s="7">
        <f t="shared" si="2"/>
        <v>0</v>
      </c>
      <c r="D42" s="13">
        <v>1</v>
      </c>
      <c r="E42" s="14">
        <f t="shared" si="3"/>
        <v>0.42321826879854396</v>
      </c>
      <c r="F42" s="14">
        <f t="shared" si="4"/>
        <v>0.29607248221093563</v>
      </c>
    </row>
    <row r="43" spans="2:6" x14ac:dyDescent="0.2">
      <c r="B43" s="15">
        <v>6</v>
      </c>
      <c r="C43" s="7">
        <f t="shared" si="2"/>
        <v>0</v>
      </c>
      <c r="D43" s="13">
        <v>1</v>
      </c>
      <c r="E43" s="14">
        <f t="shared" si="3"/>
        <v>0.41065133322097735</v>
      </c>
      <c r="F43" s="14">
        <f t="shared" si="4"/>
        <v>0.29441053584437693</v>
      </c>
    </row>
    <row r="44" spans="2:6" x14ac:dyDescent="0.2">
      <c r="B44" s="15">
        <v>6.25</v>
      </c>
      <c r="C44" s="7">
        <f t="shared" si="2"/>
        <v>0</v>
      </c>
      <c r="D44" s="13">
        <v>1</v>
      </c>
      <c r="E44" s="14">
        <f t="shared" si="3"/>
        <v>0.39867253834028055</v>
      </c>
      <c r="F44" s="14">
        <f t="shared" si="4"/>
        <v>0.29240143540099722</v>
      </c>
    </row>
    <row r="45" spans="2:6" x14ac:dyDescent="0.2">
      <c r="B45" s="15">
        <v>6.5</v>
      </c>
      <c r="C45" s="7">
        <f t="shared" si="2"/>
        <v>0</v>
      </c>
      <c r="D45" s="13">
        <v>1</v>
      </c>
      <c r="E45" s="14">
        <f t="shared" si="3"/>
        <v>0.38724842893862188</v>
      </c>
      <c r="F45" s="14">
        <f t="shared" si="4"/>
        <v>0.29009194365280111</v>
      </c>
    </row>
    <row r="46" spans="2:6" x14ac:dyDescent="0.2">
      <c r="B46" s="15">
        <v>6.75</v>
      </c>
      <c r="C46" s="7">
        <f t="shared" si="2"/>
        <v>0</v>
      </c>
      <c r="D46" s="13">
        <v>1</v>
      </c>
      <c r="E46" s="14">
        <f t="shared" si="3"/>
        <v>0.37634766440330913</v>
      </c>
      <c r="F46" s="14">
        <f t="shared" si="4"/>
        <v>0.28752405787231283</v>
      </c>
    </row>
    <row r="47" spans="2:6" x14ac:dyDescent="0.2">
      <c r="B47" s="15">
        <v>7</v>
      </c>
      <c r="C47" s="7">
        <f t="shared" si="2"/>
        <v>0</v>
      </c>
      <c r="D47" s="13">
        <v>1</v>
      </c>
      <c r="E47" s="14">
        <f t="shared" si="3"/>
        <v>0.36594087614196824</v>
      </c>
      <c r="F47" s="14">
        <f t="shared" si="4"/>
        <v>0.28473545733782912</v>
      </c>
    </row>
    <row r="48" spans="2:6" x14ac:dyDescent="0.2">
      <c r="B48" s="15">
        <v>7.25</v>
      </c>
      <c r="C48" s="7">
        <f t="shared" si="2"/>
        <v>0</v>
      </c>
      <c r="D48" s="13">
        <v>1</v>
      </c>
      <c r="E48" s="14">
        <f t="shared" si="3"/>
        <v>0.35600053503573248</v>
      </c>
      <c r="F48" s="14">
        <f t="shared" si="4"/>
        <v>0.28175991026607239</v>
      </c>
    </row>
    <row r="49" spans="2:6" x14ac:dyDescent="0.2">
      <c r="B49" s="15">
        <v>7.5</v>
      </c>
      <c r="C49" s="7">
        <f t="shared" si="2"/>
        <v>0</v>
      </c>
      <c r="D49" s="13">
        <v>1</v>
      </c>
      <c r="E49" s="14">
        <f t="shared" si="3"/>
        <v>0.34650082820183253</v>
      </c>
      <c r="F49" s="14">
        <f t="shared" si="4"/>
        <v>0.27862764378438415</v>
      </c>
    </row>
    <row r="50" spans="2:6" x14ac:dyDescent="0.2">
      <c r="B50" s="15">
        <v>7.75</v>
      </c>
      <c r="C50" s="7">
        <f t="shared" si="2"/>
        <v>0</v>
      </c>
      <c r="D50" s="13">
        <v>1</v>
      </c>
      <c r="E50" s="14">
        <f t="shared" si="3"/>
        <v>0.33741754439107779</v>
      </c>
      <c r="F50" s="14">
        <f t="shared" si="4"/>
        <v>0.27536568023640529</v>
      </c>
    </row>
    <row r="51" spans="2:6" x14ac:dyDescent="0.2">
      <c r="B51" s="15">
        <v>8</v>
      </c>
      <c r="C51" s="7">
        <f t="shared" ref="C51:C82" si="5">beta_0*D51+beta_1*E51+beta_2*F51</f>
        <v>0</v>
      </c>
      <c r="D51" s="13">
        <v>1</v>
      </c>
      <c r="E51" s="14">
        <f t="shared" ref="E51:E82" si="6">((1-EXP(-lambda*$B51))/(lambda*$B51))</f>
        <v>0.32872796739572857</v>
      </c>
      <c r="F51" s="14">
        <f t="shared" ref="F51:F82" si="7">((1-EXP(-lambda*$B51))/(lambda*$B51)-EXP(-lambda*$B51))</f>
        <v>0.27199814282483242</v>
      </c>
    </row>
    <row r="52" spans="2:6" x14ac:dyDescent="0.2">
      <c r="B52" s="15">
        <v>8.25</v>
      </c>
      <c r="C52" s="7">
        <f t="shared" si="5"/>
        <v>0</v>
      </c>
      <c r="D52" s="13">
        <v>1</v>
      </c>
      <c r="E52" s="14">
        <f t="shared" si="6"/>
        <v>0.32041077688949726</v>
      </c>
      <c r="F52" s="14">
        <f t="shared" si="7"/>
        <v>0.26854653332990525</v>
      </c>
    </row>
    <row r="53" spans="2:6" x14ac:dyDescent="0.2">
      <c r="B53" s="15">
        <v>8.5</v>
      </c>
      <c r="C53" s="7">
        <f t="shared" si="5"/>
        <v>0</v>
      </c>
      <c r="D53" s="13">
        <v>1</v>
      </c>
      <c r="E53" s="14">
        <f t="shared" si="6"/>
        <v>0.31244595616416693</v>
      </c>
      <c r="F53" s="14">
        <f t="shared" si="7"/>
        <v>0.2650299844005477</v>
      </c>
    </row>
    <row r="54" spans="2:6" x14ac:dyDescent="0.2">
      <c r="B54" s="15">
        <v>8.75</v>
      </c>
      <c r="C54" s="7">
        <f t="shared" si="5"/>
        <v>0</v>
      </c>
      <c r="D54" s="13">
        <v>1</v>
      </c>
      <c r="E54" s="14">
        <f t="shared" si="6"/>
        <v>0.30481470626684909</v>
      </c>
      <c r="F54" s="14">
        <f t="shared" si="7"/>
        <v>0.26146548869453329</v>
      </c>
    </row>
    <row r="55" spans="2:6" x14ac:dyDescent="0.2">
      <c r="B55" s="15">
        <v>9</v>
      </c>
      <c r="C55" s="7">
        <f t="shared" si="5"/>
        <v>0</v>
      </c>
      <c r="D55" s="13">
        <v>1</v>
      </c>
      <c r="E55" s="14">
        <f t="shared" si="6"/>
        <v>0.29749936607846189</v>
      </c>
      <c r="F55" s="14">
        <f t="shared" si="7"/>
        <v>0.2578681069428263</v>
      </c>
    </row>
    <row r="56" spans="2:6" x14ac:dyDescent="0.2">
      <c r="B56" s="15">
        <v>9.25</v>
      </c>
      <c r="C56" s="7">
        <f t="shared" si="5"/>
        <v>0</v>
      </c>
      <c r="D56" s="13">
        <v>1</v>
      </c>
      <c r="E56" s="14">
        <f t="shared" si="6"/>
        <v>0.2904833379078226</v>
      </c>
      <c r="F56" s="14">
        <f t="shared" si="7"/>
        <v>0.25425115682968108</v>
      </c>
    </row>
    <row r="57" spans="2:6" x14ac:dyDescent="0.2">
      <c r="B57" s="15">
        <v>9.5</v>
      </c>
      <c r="C57" s="7">
        <f t="shared" si="5"/>
        <v>0</v>
      </c>
      <c r="D57" s="13">
        <v>1</v>
      </c>
      <c r="E57" s="14">
        <f t="shared" si="6"/>
        <v>0.28375101820702603</v>
      </c>
      <c r="F57" s="14">
        <f t="shared" si="7"/>
        <v>0.25062638441261753</v>
      </c>
    </row>
    <row r="58" spans="2:6" x14ac:dyDescent="0.2">
      <c r="B58" s="15">
        <v>9.75</v>
      </c>
      <c r="C58" s="7">
        <f t="shared" si="5"/>
        <v>0</v>
      </c>
      <c r="D58" s="13">
        <v>1</v>
      </c>
      <c r="E58" s="14">
        <f t="shared" si="6"/>
        <v>0.27728773304271298</v>
      </c>
      <c r="F58" s="14">
        <f t="shared" si="7"/>
        <v>0.24700411965363042</v>
      </c>
    </row>
    <row r="59" spans="2:6" x14ac:dyDescent="0.2">
      <c r="B59" s="15">
        <v>10</v>
      </c>
      <c r="C59" s="7">
        <f t="shared" si="5"/>
        <v>0</v>
      </c>
      <c r="D59" s="13">
        <v>1</v>
      </c>
      <c r="E59" s="14">
        <f t="shared" si="6"/>
        <v>0.27107967798460053</v>
      </c>
      <c r="F59" s="14">
        <f t="shared" si="7"/>
        <v>0.24339341749364748</v>
      </c>
    </row>
    <row r="60" spans="2:6" x14ac:dyDescent="0.2">
      <c r="B60" s="15">
        <v>10.25</v>
      </c>
      <c r="C60" s="7">
        <f t="shared" si="5"/>
        <v>0</v>
      </c>
      <c r="D60" s="13">
        <v>1</v>
      </c>
      <c r="E60" s="14">
        <f t="shared" si="6"/>
        <v>0.265113862097413</v>
      </c>
      <c r="F60" s="14">
        <f t="shared" si="7"/>
        <v>0.23980218577515328</v>
      </c>
    </row>
    <row r="61" spans="2:6" x14ac:dyDescent="0.2">
      <c r="B61" s="15">
        <v>10.5</v>
      </c>
      <c r="C61" s="7">
        <f t="shared" si="5"/>
        <v>0</v>
      </c>
      <c r="D61" s="13">
        <v>1</v>
      </c>
      <c r="E61" s="14">
        <f t="shared" si="6"/>
        <v>0.25937805574527073</v>
      </c>
      <c r="F61" s="14">
        <f t="shared" si="7"/>
        <v>0.23623730120197675</v>
      </c>
    </row>
    <row r="62" spans="2:6" x14ac:dyDescent="0.2">
      <c r="B62" s="15">
        <v>10.75</v>
      </c>
      <c r="C62" s="7">
        <f t="shared" si="5"/>
        <v>0</v>
      </c>
      <c r="D62" s="13">
        <v>1</v>
      </c>
      <c r="E62" s="14">
        <f t="shared" si="6"/>
        <v>0.25386074193880404</v>
      </c>
      <c r="F62" s="14">
        <f t="shared" si="7"/>
        <v>0.23270471441951823</v>
      </c>
    </row>
    <row r="63" spans="2:6" x14ac:dyDescent="0.2">
      <c r="B63" s="15">
        <v>11</v>
      </c>
      <c r="C63" s="7">
        <f t="shared" si="5"/>
        <v>0</v>
      </c>
      <c r="D63" s="13">
        <v>1</v>
      </c>
      <c r="E63" s="14">
        <f t="shared" si="6"/>
        <v>0.24855107097488921</v>
      </c>
      <c r="F63" s="14">
        <f t="shared" si="7"/>
        <v>0.22920954520227854</v>
      </c>
    </row>
    <row r="64" spans="2:6" x14ac:dyDescent="0.2">
      <c r="B64" s="15">
        <v>11.25</v>
      </c>
      <c r="C64" s="7">
        <f t="shared" si="5"/>
        <v>0</v>
      </c>
      <c r="D64" s="13">
        <v>1</v>
      </c>
      <c r="E64" s="14">
        <f t="shared" si="6"/>
        <v>0.24343881813707505</v>
      </c>
      <c r="F64" s="14">
        <f t="shared" si="7"/>
        <v>0.22575616864763101</v>
      </c>
    </row>
    <row r="65" spans="2:6" x14ac:dyDescent="0.2">
      <c r="B65" s="15">
        <v>11.5</v>
      </c>
      <c r="C65" s="7">
        <f t="shared" si="5"/>
        <v>0</v>
      </c>
      <c r="D65" s="13">
        <v>1</v>
      </c>
      <c r="E65" s="14">
        <f t="shared" si="6"/>
        <v>0.23851434424159032</v>
      </c>
      <c r="F65" s="14">
        <f t="shared" si="7"/>
        <v>0.22234829319460866</v>
      </c>
    </row>
    <row r="66" spans="2:6" x14ac:dyDescent="0.2">
      <c r="B66" s="15">
        <v>11.75</v>
      </c>
      <c r="C66" s="7">
        <f t="shared" si="5"/>
        <v>0</v>
      </c>
      <c r="D66" s="13">
        <v>1</v>
      </c>
      <c r="E66" s="14">
        <f t="shared" si="6"/>
        <v>0.23376855882939701</v>
      </c>
      <c r="F66" s="14">
        <f t="shared" si="7"/>
        <v>0.21898903121337834</v>
      </c>
    </row>
    <row r="67" spans="2:6" x14ac:dyDescent="0.2">
      <c r="B67" s="15">
        <v>12</v>
      </c>
      <c r="C67" s="7">
        <f t="shared" si="5"/>
        <v>0</v>
      </c>
      <c r="D67" s="13">
        <v>1</v>
      </c>
      <c r="E67" s="14">
        <f t="shared" si="6"/>
        <v>0.22919288581917391</v>
      </c>
      <c r="F67" s="14">
        <f t="shared" si="7"/>
        <v>0.21568096284442603</v>
      </c>
    </row>
    <row r="68" spans="2:6" x14ac:dyDescent="0.2">
      <c r="B68" s="15">
        <v>12.25</v>
      </c>
      <c r="C68" s="7">
        <f t="shared" si="5"/>
        <v>0</v>
      </c>
      <c r="D68" s="13">
        <v>1</v>
      </c>
      <c r="E68" s="14">
        <f t="shared" si="6"/>
        <v>0.22477923144947234</v>
      </c>
      <c r="F68" s="14">
        <f t="shared" si="7"/>
        <v>0.21242619370571925</v>
      </c>
    </row>
    <row r="69" spans="2:6" x14ac:dyDescent="0.2">
      <c r="B69" s="15">
        <v>12.5</v>
      </c>
      <c r="C69" s="7">
        <f t="shared" si="5"/>
        <v>0</v>
      </c>
      <c r="D69" s="13">
        <v>1</v>
      </c>
      <c r="E69" s="14">
        <f t="shared" si="6"/>
        <v>0.22051995435065294</v>
      </c>
      <c r="F69" s="14">
        <f t="shared" si="7"/>
        <v>0.20922640703072118</v>
      </c>
    </row>
    <row r="70" spans="2:6" x14ac:dyDescent="0.2">
      <c r="B70" s="15">
        <v>12.75</v>
      </c>
      <c r="C70" s="7">
        <f t="shared" si="5"/>
        <v>0</v>
      </c>
      <c r="D70" s="13">
        <v>1</v>
      </c>
      <c r="E70" s="14">
        <f t="shared" si="6"/>
        <v>0.21640783759866913</v>
      </c>
      <c r="F70" s="14">
        <f t="shared" si="7"/>
        <v>0.20608291074964072</v>
      </c>
    </row>
    <row r="71" spans="2:6" x14ac:dyDescent="0.2">
      <c r="B71" s="15">
        <v>13</v>
      </c>
      <c r="C71" s="7">
        <f t="shared" si="5"/>
        <v>0</v>
      </c>
      <c r="D71" s="13">
        <v>1</v>
      </c>
      <c r="E71" s="14">
        <f t="shared" si="6"/>
        <v>0.21243606261337714</v>
      </c>
      <c r="F71" s="14">
        <f t="shared" si="7"/>
        <v>0.20299667998028323</v>
      </c>
    </row>
    <row r="72" spans="2:6" x14ac:dyDescent="0.2">
      <c r="B72" s="15">
        <v>13.25</v>
      </c>
      <c r="C72" s="7">
        <f t="shared" si="5"/>
        <v>0</v>
      </c>
      <c r="D72" s="13">
        <v>1</v>
      </c>
      <c r="E72" s="14">
        <f t="shared" si="6"/>
        <v>0.20859818477388495</v>
      </c>
      <c r="F72" s="14">
        <f t="shared" si="7"/>
        <v>0.19996839535292266</v>
      </c>
    </row>
    <row r="73" spans="2:6" x14ac:dyDescent="0.2">
      <c r="B73" s="15">
        <v>13.5</v>
      </c>
      <c r="C73" s="7">
        <f t="shared" si="5"/>
        <v>0</v>
      </c>
      <c r="D73" s="13">
        <v>1</v>
      </c>
      <c r="E73" s="14">
        <f t="shared" si="6"/>
        <v>0.20488811063256404</v>
      </c>
      <c r="F73" s="14">
        <f t="shared" si="7"/>
        <v>0.19699847755539079</v>
      </c>
    </row>
    <row r="74" spans="2:6" x14ac:dyDescent="0.2">
      <c r="B74" s="15">
        <v>13.75</v>
      </c>
      <c r="C74" s="7">
        <f t="shared" si="5"/>
        <v>0</v>
      </c>
      <c r="D74" s="13">
        <v>1</v>
      </c>
      <c r="E74" s="14">
        <f t="shared" si="6"/>
        <v>0.20130007661779148</v>
      </c>
      <c r="F74" s="14">
        <f t="shared" si="7"/>
        <v>0.19408711844974785</v>
      </c>
    </row>
    <row r="75" spans="2:6" x14ac:dyDescent="0.2">
      <c r="B75" s="15">
        <v>14</v>
      </c>
      <c r="C75" s="7">
        <f t="shared" si="5"/>
        <v>0</v>
      </c>
      <c r="D75" s="13">
        <v>1</v>
      </c>
      <c r="E75" s="14">
        <f t="shared" si="6"/>
        <v>0.1978286291233152</v>
      </c>
      <c r="F75" s="14">
        <f t="shared" si="7"/>
        <v>0.19123430908015956</v>
      </c>
    </row>
    <row r="76" spans="2:6" x14ac:dyDescent="0.2">
      <c r="B76" s="15">
        <v>14.25</v>
      </c>
      <c r="C76" s="7">
        <f t="shared" si="5"/>
        <v>0</v>
      </c>
      <c r="D76" s="13">
        <v>1</v>
      </c>
      <c r="E76" s="14">
        <f t="shared" si="6"/>
        <v>0.19446860588939061</v>
      </c>
      <c r="F76" s="14">
        <f t="shared" si="7"/>
        <v>0.1884398648626894</v>
      </c>
    </row>
    <row r="77" spans="2:6" x14ac:dyDescent="0.2">
      <c r="B77" s="15">
        <v>14.5</v>
      </c>
      <c r="C77" s="7">
        <f t="shared" si="5"/>
        <v>0</v>
      </c>
      <c r="D77" s="13">
        <v>1</v>
      </c>
      <c r="E77" s="14">
        <f t="shared" si="6"/>
        <v>0.19121511858755924</v>
      </c>
      <c r="F77" s="14">
        <f t="shared" si="7"/>
        <v>0.18570344822136978</v>
      </c>
    </row>
    <row r="78" spans="2:6" x14ac:dyDescent="0.2">
      <c r="B78" s="15">
        <v>14.75</v>
      </c>
      <c r="C78" s="7">
        <f t="shared" si="5"/>
        <v>0</v>
      </c>
      <c r="D78" s="13">
        <v>1</v>
      </c>
      <c r="E78" s="14">
        <f t="shared" si="6"/>
        <v>0.18806353652717803</v>
      </c>
      <c r="F78" s="14">
        <f t="shared" si="7"/>
        <v>0.1830245889109203</v>
      </c>
    </row>
    <row r="79" spans="2:6" x14ac:dyDescent="0.2">
      <c r="B79" s="15">
        <v>15</v>
      </c>
      <c r="C79" s="7">
        <f t="shared" si="5"/>
        <v>0</v>
      </c>
      <c r="D79" s="13">
        <v>1</v>
      </c>
      <c r="E79" s="14">
        <f t="shared" si="6"/>
        <v>0.18500947140758706</v>
      </c>
      <c r="F79" s="14">
        <f t="shared" si="7"/>
        <v>0.1804027022446221</v>
      </c>
    </row>
    <row r="80" spans="2:6" x14ac:dyDescent="0.2">
      <c r="B80" s="15">
        <v>15.25</v>
      </c>
      <c r="C80" s="7">
        <f t="shared" si="5"/>
        <v>0</v>
      </c>
      <c r="D80" s="13">
        <v>1</v>
      </c>
      <c r="E80" s="14">
        <f t="shared" si="6"/>
        <v>0.18204876304516823</v>
      </c>
      <c r="F80" s="14">
        <f t="shared" si="7"/>
        <v>0.17783710542595169</v>
      </c>
    </row>
    <row r="81" spans="2:6" x14ac:dyDescent="0.2">
      <c r="B81" s="15">
        <v>15.5</v>
      </c>
      <c r="C81" s="7">
        <f t="shared" si="5"/>
        <v>0</v>
      </c>
      <c r="D81" s="13">
        <v>1</v>
      </c>
      <c r="E81" s="14">
        <f t="shared" si="6"/>
        <v>0.17917746600951809</v>
      </c>
      <c r="F81" s="14">
        <f t="shared" si="7"/>
        <v>0.17532703216444814</v>
      </c>
    </row>
    <row r="82" spans="2:6" x14ac:dyDescent="0.2">
      <c r="B82" s="15">
        <v>15.75</v>
      </c>
      <c r="C82" s="7">
        <f t="shared" si="5"/>
        <v>0</v>
      </c>
      <c r="D82" s="13">
        <v>1</v>
      </c>
      <c r="E82" s="14">
        <f t="shared" si="6"/>
        <v>0.17639183710757483</v>
      </c>
      <c r="F82" s="14">
        <f t="shared" si="7"/>
        <v>0.17287164573978317</v>
      </c>
    </row>
    <row r="83" spans="2:6" x14ac:dyDescent="0.2">
      <c r="B83" s="15">
        <v>16</v>
      </c>
      <c r="C83" s="7">
        <f t="shared" ref="C83:C114" si="8">beta_0*D83+beta_1*E83+beta_2*F83</f>
        <v>0</v>
      </c>
      <c r="D83" s="13">
        <v>1</v>
      </c>
      <c r="E83" s="14">
        <f t="shared" ref="E83:E114" si="9">((1-EXP(-lambda*$B83))/(lambda*$B83))</f>
        <v>0.17368832365881778</v>
      </c>
      <c r="F83" s="14">
        <f t="shared" ref="F83:F114" si="10">((1-EXP(-lambda*$B83))/(lambda*$B83)-EXP(-lambda*$B83))</f>
        <v>0.17047005066297313</v>
      </c>
    </row>
    <row r="84" spans="2:6" x14ac:dyDescent="0.2">
      <c r="B84" s="15">
        <v>16.25</v>
      </c>
      <c r="C84" s="7">
        <f t="shared" si="8"/>
        <v>0</v>
      </c>
      <c r="D84" s="13">
        <v>1</v>
      </c>
      <c r="E84" s="14">
        <f t="shared" si="9"/>
        <v>0.17106355250863053</v>
      </c>
      <c r="F84" s="14">
        <f t="shared" si="10"/>
        <v>0.16812130306999265</v>
      </c>
    </row>
    <row r="85" spans="2:6" x14ac:dyDescent="0.2">
      <c r="B85" s="15">
        <v>16.5</v>
      </c>
      <c r="C85" s="7">
        <f t="shared" si="8"/>
        <v>0</v>
      </c>
      <c r="D85" s="13">
        <v>1</v>
      </c>
      <c r="E85" s="14">
        <f t="shared" si="9"/>
        <v>0.16851431973060613</v>
      </c>
      <c r="F85" s="14">
        <f t="shared" si="10"/>
        <v>0.16582441997059744</v>
      </c>
    </row>
    <row r="86" spans="2:6" x14ac:dyDescent="0.2">
      <c r="B86" s="15">
        <v>16.75</v>
      </c>
      <c r="C86" s="7">
        <f t="shared" si="8"/>
        <v>0</v>
      </c>
      <c r="D86" s="13">
        <v>1</v>
      </c>
      <c r="E86" s="14">
        <f t="shared" si="9"/>
        <v>0.16603758097199225</v>
      </c>
      <c r="F86" s="14">
        <f t="shared" si="10"/>
        <v>0.16357838746382916</v>
      </c>
    </row>
    <row r="87" spans="2:6" x14ac:dyDescent="0.2">
      <c r="B87" s="15">
        <v>17</v>
      </c>
      <c r="C87" s="7">
        <f t="shared" si="8"/>
        <v>0</v>
      </c>
      <c r="D87" s="13">
        <v>1</v>
      </c>
      <c r="E87" s="14">
        <f t="shared" si="9"/>
        <v>0.16363044239965202</v>
      </c>
      <c r="F87" s="14">
        <f t="shared" si="10"/>
        <v>0.16138216802136368</v>
      </c>
    </row>
    <row r="88" spans="2:6" x14ac:dyDescent="0.2">
      <c r="B88" s="15">
        <v>17.25</v>
      </c>
      <c r="C88" s="7">
        <f t="shared" si="8"/>
        <v>0</v>
      </c>
      <c r="D88" s="13">
        <v>1</v>
      </c>
      <c r="E88" s="14">
        <f t="shared" si="9"/>
        <v>0.16129015220686438</v>
      </c>
      <c r="F88" s="14">
        <f t="shared" si="10"/>
        <v>0.15923470693048047</v>
      </c>
    </row>
    <row r="89" spans="2:6" x14ac:dyDescent="0.2">
      <c r="B89" s="15">
        <v>17.5</v>
      </c>
      <c r="C89" s="7">
        <f t="shared" si="8"/>
        <v>0</v>
      </c>
      <c r="D89" s="13">
        <v>1</v>
      </c>
      <c r="E89" s="14">
        <f t="shared" si="9"/>
        <v>0.15901409264402613</v>
      </c>
      <c r="F89" s="14">
        <f t="shared" si="10"/>
        <v>0.15713493797989417</v>
      </c>
    </row>
    <row r="90" spans="2:6" x14ac:dyDescent="0.2">
      <c r="B90" s="15">
        <v>17.75</v>
      </c>
      <c r="C90" s="7">
        <f t="shared" si="8"/>
        <v>0</v>
      </c>
      <c r="D90" s="13">
        <v>1</v>
      </c>
      <c r="E90" s="14">
        <f t="shared" si="9"/>
        <v>0.1567997725388609</v>
      </c>
      <c r="F90" s="14">
        <f t="shared" si="10"/>
        <v>0.1550817884639254</v>
      </c>
    </row>
    <row r="91" spans="2:6" x14ac:dyDescent="0.2">
      <c r="B91" s="15">
        <v>18</v>
      </c>
      <c r="C91" s="7">
        <f t="shared" si="8"/>
        <v>0</v>
      </c>
      <c r="D91" s="13">
        <v>1</v>
      </c>
      <c r="E91" s="14">
        <f t="shared" si="9"/>
        <v>0.15464482027410237</v>
      </c>
      <c r="F91" s="14">
        <f t="shared" si="10"/>
        <v>0.15307418357342648</v>
      </c>
    </row>
    <row r="92" spans="2:6" x14ac:dyDescent="0.2">
      <c r="B92" s="15">
        <v>18.25</v>
      </c>
      <c r="C92" s="7">
        <f t="shared" si="8"/>
        <v>0</v>
      </c>
      <c r="D92" s="13">
        <v>1</v>
      </c>
      <c r="E92" s="14">
        <f t="shared" si="9"/>
        <v>0.15254697719281332</v>
      </c>
      <c r="F92" s="14">
        <f t="shared" si="10"/>
        <v>0.15111105023545623</v>
      </c>
    </row>
    <row r="93" spans="2:6" x14ac:dyDescent="0.2">
      <c r="B93" s="15">
        <v>18.5</v>
      </c>
      <c r="C93" s="7">
        <f t="shared" si="8"/>
        <v>0</v>
      </c>
      <c r="D93" s="13">
        <v>1</v>
      </c>
      <c r="E93" s="14">
        <f t="shared" si="9"/>
        <v>0.1505040914035409</v>
      </c>
      <c r="F93" s="14">
        <f t="shared" si="10"/>
        <v>0.14919132045786165</v>
      </c>
    </row>
    <row r="94" spans="2:6" x14ac:dyDescent="0.2">
      <c r="B94" s="15">
        <v>18.75</v>
      </c>
      <c r="C94" s="7">
        <f t="shared" si="8"/>
        <v>0</v>
      </c>
      <c r="D94" s="13">
        <v>1</v>
      </c>
      <c r="E94" s="14">
        <f t="shared" si="9"/>
        <v>0.14851411195940306</v>
      </c>
      <c r="F94" s="14">
        <f t="shared" si="10"/>
        <v>0.14731393422961692</v>
      </c>
    </row>
    <row r="95" spans="2:6" x14ac:dyDescent="0.2">
      <c r="B95" s="15">
        <v>19</v>
      </c>
      <c r="C95" s="7">
        <f t="shared" si="8"/>
        <v>0</v>
      </c>
      <c r="D95" s="13">
        <v>1</v>
      </c>
      <c r="E95" s="14">
        <f t="shared" si="9"/>
        <v>0.14657508338696215</v>
      </c>
      <c r="F95" s="14">
        <f t="shared" si="10"/>
        <v>0.14547784202294847</v>
      </c>
    </row>
    <row r="96" spans="2:6" x14ac:dyDescent="0.2">
      <c r="B96" s="15">
        <v>19.25</v>
      </c>
      <c r="C96" s="7">
        <f t="shared" si="8"/>
        <v>0</v>
      </c>
      <c r="D96" s="13">
        <v>1</v>
      </c>
      <c r="E96" s="14">
        <f t="shared" si="9"/>
        <v>0.1446851405423783</v>
      </c>
      <c r="F96" s="14">
        <f t="shared" si="10"/>
        <v>0.14368200693889349</v>
      </c>
    </row>
    <row r="97" spans="2:6" x14ac:dyDescent="0.2">
      <c r="B97" s="15">
        <v>19.5</v>
      </c>
      <c r="C97" s="7">
        <f t="shared" si="8"/>
        <v>0</v>
      </c>
      <c r="D97" s="13">
        <v>1</v>
      </c>
      <c r="E97" s="14">
        <f t="shared" si="9"/>
        <v>0.14284250377385682</v>
      </c>
      <c r="F97" s="14">
        <f t="shared" si="10"/>
        <v>0.14192540653395741</v>
      </c>
    </row>
    <row r="98" spans="2:6" x14ac:dyDescent="0.2">
      <c r="B98" s="15">
        <v>19.75</v>
      </c>
      <c r="C98" s="7">
        <f t="shared" si="8"/>
        <v>0</v>
      </c>
      <c r="D98" s="13">
        <v>1</v>
      </c>
      <c r="E98" s="14">
        <f t="shared" si="9"/>
        <v>0.14104547437081913</v>
      </c>
      <c r="F98" s="14">
        <f t="shared" si="10"/>
        <v>0.14020703436192167</v>
      </c>
    </row>
    <row r="99" spans="2:6" x14ac:dyDescent="0.2">
      <c r="B99" s="15">
        <v>20</v>
      </c>
      <c r="C99" s="7">
        <f t="shared" si="8"/>
        <v>0</v>
      </c>
      <c r="D99" s="13">
        <v>1</v>
      </c>
      <c r="E99" s="14">
        <f t="shared" si="9"/>
        <v>0.13929243028154292</v>
      </c>
      <c r="F99" s="14">
        <f t="shared" si="10"/>
        <v>0.13852590126157002</v>
      </c>
    </row>
    <row r="100" spans="2:6" x14ac:dyDescent="0.2">
      <c r="B100" s="15">
        <v>20.25</v>
      </c>
      <c r="C100" s="7">
        <f t="shared" si="8"/>
        <v>0</v>
      </c>
      <c r="D100" s="13">
        <v>1</v>
      </c>
      <c r="E100" s="14">
        <f t="shared" si="9"/>
        <v>0.13758182208224046</v>
      </c>
      <c r="F100" s="14">
        <f t="shared" si="10"/>
        <v>0.13688103641811969</v>
      </c>
    </row>
    <row r="101" spans="2:6" x14ac:dyDescent="0.2">
      <c r="B101" s="15">
        <v>20.5</v>
      </c>
      <c r="C101" s="7">
        <f t="shared" si="8"/>
        <v>0</v>
      </c>
      <c r="D101" s="13">
        <v>1</v>
      </c>
      <c r="E101" s="14">
        <f t="shared" si="9"/>
        <v>0.13591216918168345</v>
      </c>
      <c r="F101" s="14">
        <f t="shared" si="10"/>
        <v>0.13527148822344059</v>
      </c>
    </row>
    <row r="102" spans="2:6" x14ac:dyDescent="0.2">
      <c r="B102" s="15">
        <v>20.75</v>
      </c>
      <c r="C102" s="7">
        <f t="shared" si="8"/>
        <v>0</v>
      </c>
      <c r="D102" s="13">
        <v>1</v>
      </c>
      <c r="E102" s="14">
        <f t="shared" si="9"/>
        <v>0.13428205624654252</v>
      </c>
      <c r="F102" s="14">
        <f t="shared" si="10"/>
        <v>0.13369632495768979</v>
      </c>
    </row>
    <row r="103" spans="2:6" x14ac:dyDescent="0.2">
      <c r="B103" s="15">
        <v>21</v>
      </c>
      <c r="C103" s="7">
        <f t="shared" si="8"/>
        <v>0</v>
      </c>
      <c r="D103" s="13">
        <v>1</v>
      </c>
      <c r="E103" s="14">
        <f t="shared" si="9"/>
        <v>0.13269012983359443</v>
      </c>
      <c r="F103" s="14">
        <f t="shared" si="10"/>
        <v>0.13215463531276145</v>
      </c>
    </row>
    <row r="104" spans="2:6" x14ac:dyDescent="0.2">
      <c r="B104" s="15">
        <v>21.25</v>
      </c>
      <c r="C104" s="7">
        <f t="shared" si="8"/>
        <v>0</v>
      </c>
      <c r="D104" s="13">
        <v>1</v>
      </c>
      <c r="E104" s="14">
        <f t="shared" si="9"/>
        <v>0.13113509521586938</v>
      </c>
      <c r="F104" s="14">
        <f t="shared" si="10"/>
        <v>0.13064552877593441</v>
      </c>
    </row>
    <row r="105" spans="2:6" x14ac:dyDescent="0.2">
      <c r="B105" s="15">
        <v>21.5</v>
      </c>
      <c r="C105" s="7">
        <f t="shared" si="8"/>
        <v>0</v>
      </c>
      <c r="D105" s="13">
        <v>1</v>
      </c>
      <c r="E105" s="14">
        <f t="shared" si="9"/>
        <v>0.12961571339066386</v>
      </c>
      <c r="F105" s="14">
        <f t="shared" si="10"/>
        <v>0.12916813589026707</v>
      </c>
    </row>
    <row r="106" spans="2:6" x14ac:dyDescent="0.2">
      <c r="B106" s="15">
        <v>21.75</v>
      </c>
      <c r="C106" s="7">
        <f t="shared" si="8"/>
        <v>0</v>
      </c>
      <c r="D106" s="13">
        <v>1</v>
      </c>
      <c r="E106" s="14">
        <f t="shared" si="9"/>
        <v>0.12813079825814086</v>
      </c>
      <c r="F106" s="14">
        <f t="shared" si="10"/>
        <v>0.12772160840663052</v>
      </c>
    </row>
    <row r="107" spans="2:6" x14ac:dyDescent="0.2">
      <c r="B107" s="15">
        <v>22</v>
      </c>
      <c r="C107" s="7">
        <f t="shared" si="8"/>
        <v>0</v>
      </c>
      <c r="D107" s="13">
        <v>1</v>
      </c>
      <c r="E107" s="14">
        <f t="shared" si="9"/>
        <v>0.12667921395998002</v>
      </c>
      <c r="F107" s="14">
        <f t="shared" si="10"/>
        <v>0.12630511934076746</v>
      </c>
    </row>
    <row r="108" spans="2:6" x14ac:dyDescent="0.2">
      <c r="B108" s="15">
        <v>22.25</v>
      </c>
      <c r="C108" s="7">
        <f t="shared" si="8"/>
        <v>0</v>
      </c>
      <c r="D108" s="13">
        <v>1</v>
      </c>
      <c r="E108" s="14">
        <f t="shared" si="9"/>
        <v>0.12525987236823002</v>
      </c>
      <c r="F108" s="14">
        <f t="shared" si="10"/>
        <v>0.1249178629474019</v>
      </c>
    </row>
    <row r="109" spans="2:6" x14ac:dyDescent="0.2">
      <c r="B109" s="15">
        <v>22.5</v>
      </c>
      <c r="C109" s="7">
        <f t="shared" si="8"/>
        <v>0</v>
      </c>
      <c r="D109" s="13">
        <v>1</v>
      </c>
      <c r="E109" s="14">
        <f t="shared" si="9"/>
        <v>0.12387173071515871</v>
      </c>
      <c r="F109" s="14">
        <f t="shared" si="10"/>
        <v>0.12355905462219217</v>
      </c>
    </row>
    <row r="110" spans="2:6" x14ac:dyDescent="0.2">
      <c r="B110" s="15">
        <v>22.75</v>
      </c>
      <c r="C110" s="7">
        <f t="shared" si="8"/>
        <v>0</v>
      </c>
      <c r="D110" s="13">
        <v>1</v>
      </c>
      <c r="E110" s="14">
        <f t="shared" si="9"/>
        <v>0.12251378935549553</v>
      </c>
      <c r="F110" s="14">
        <f t="shared" si="10"/>
        <v>0.12222793074120329</v>
      </c>
    </row>
    <row r="111" spans="2:6" x14ac:dyDescent="0.2">
      <c r="B111" s="15">
        <v>23</v>
      </c>
      <c r="C111" s="7">
        <f t="shared" si="8"/>
        <v>0</v>
      </c>
      <c r="D111" s="13">
        <v>1</v>
      </c>
      <c r="E111" s="14">
        <f t="shared" si="9"/>
        <v>0.12118508965301862</v>
      </c>
      <c r="F111" s="14">
        <f t="shared" si="10"/>
        <v>0.120923748446565</v>
      </c>
    </row>
    <row r="112" spans="2:6" x14ac:dyDescent="0.2">
      <c r="B112" s="15">
        <v>23.25</v>
      </c>
      <c r="C112" s="7">
        <f t="shared" si="8"/>
        <v>0</v>
      </c>
      <c r="D112" s="13">
        <v>1</v>
      </c>
      <c r="E112" s="14">
        <f t="shared" si="9"/>
        <v>0.11988471198395997</v>
      </c>
      <c r="F112" s="14">
        <f t="shared" si="10"/>
        <v>0.11964578538606914</v>
      </c>
    </row>
    <row r="113" spans="2:6" x14ac:dyDescent="0.2">
      <c r="B113" s="15">
        <v>23.5</v>
      </c>
      <c r="C113" s="7">
        <f t="shared" si="8"/>
        <v>0</v>
      </c>
      <c r="D113" s="13">
        <v>1</v>
      </c>
      <c r="E113" s="14">
        <f t="shared" si="9"/>
        <v>0.11861177385018648</v>
      </c>
      <c r="F113" s="14">
        <f t="shared" si="10"/>
        <v>0.11839333941363382</v>
      </c>
    </row>
    <row r="114" spans="2:6" x14ac:dyDescent="0.2">
      <c r="B114" s="15">
        <v>23.75</v>
      </c>
      <c r="C114" s="7">
        <f t="shared" si="8"/>
        <v>0</v>
      </c>
      <c r="D114" s="13">
        <v>1</v>
      </c>
      <c r="E114" s="14">
        <f t="shared" si="9"/>
        <v>0.11736542809556753</v>
      </c>
      <c r="F114" s="14">
        <f t="shared" si="10"/>
        <v>0.11716572825681673</v>
      </c>
    </row>
    <row r="115" spans="2:6" x14ac:dyDescent="0.2">
      <c r="B115" s="15">
        <v>24</v>
      </c>
      <c r="C115" s="7">
        <f t="shared" ref="C115:C139" si="11">beta_0*D115+beta_1*E115+beta_2*F115</f>
        <v>0</v>
      </c>
      <c r="D115" s="13">
        <v>1</v>
      </c>
      <c r="E115" s="14">
        <f t="shared" ref="E115:E139" si="12">((1-EXP(-lambda*$B115))/(lambda*$B115))</f>
        <v>0.11614486121936138</v>
      </c>
      <c r="F115" s="14">
        <f t="shared" ref="F115:F139" si="13">((1-EXP(-lambda*$B115))/(lambda*$B115)-EXP(-lambda*$B115))</f>
        <v>0.11596228915688586</v>
      </c>
    </row>
    <row r="116" spans="2:6" x14ac:dyDescent="0.2">
      <c r="B116" s="15">
        <v>24.25</v>
      </c>
      <c r="C116" s="7">
        <f t="shared" si="11"/>
        <v>0</v>
      </c>
      <c r="D116" s="13">
        <v>1</v>
      </c>
      <c r="E116" s="14">
        <f t="shared" si="12"/>
        <v>0.11494929178084633</v>
      </c>
      <c r="F116" s="14">
        <f t="shared" si="13"/>
        <v>0.11478237848634858</v>
      </c>
    </row>
    <row r="117" spans="2:6" x14ac:dyDescent="0.2">
      <c r="B117" s="15">
        <v>24.5</v>
      </c>
      <c r="C117" s="7">
        <f t="shared" si="11"/>
        <v>0</v>
      </c>
      <c r="D117" s="13">
        <v>1</v>
      </c>
      <c r="E117" s="14">
        <f t="shared" si="12"/>
        <v>0.11377796888978974</v>
      </c>
      <c r="F117" s="14">
        <f t="shared" si="13"/>
        <v>0.11362537134829115</v>
      </c>
    </row>
    <row r="118" spans="2:6" x14ac:dyDescent="0.2">
      <c r="B118" s="15">
        <v>24.75</v>
      </c>
      <c r="C118" s="7">
        <f t="shared" si="11"/>
        <v>0</v>
      </c>
      <c r="D118" s="13">
        <v>1</v>
      </c>
      <c r="E118" s="14">
        <f t="shared" si="12"/>
        <v>0.11263017077769051</v>
      </c>
      <c r="F118" s="14">
        <f t="shared" si="13"/>
        <v>0.11249066116138653</v>
      </c>
    </row>
    <row r="119" spans="2:6" x14ac:dyDescent="0.2">
      <c r="B119" s="15">
        <v>25</v>
      </c>
      <c r="C119" s="7">
        <f t="shared" si="11"/>
        <v>0</v>
      </c>
      <c r="D119" s="13">
        <v>1</v>
      </c>
      <c r="E119" s="14">
        <f t="shared" si="12"/>
        <v>0.11150520344505062</v>
      </c>
      <c r="F119" s="14">
        <f t="shared" si="13"/>
        <v>0.11137765923398309</v>
      </c>
    </row>
    <row r="120" spans="2:6" x14ac:dyDescent="0.2">
      <c r="B120" s="15">
        <v>25.25</v>
      </c>
      <c r="C120" s="7">
        <f t="shared" si="11"/>
        <v>0</v>
      </c>
      <c r="D120" s="13">
        <v>1</v>
      </c>
      <c r="E120" s="14">
        <f t="shared" si="12"/>
        <v>0.11040239938022975</v>
      </c>
      <c r="F120" s="14">
        <f t="shared" si="13"/>
        <v>0.11028579433028542</v>
      </c>
    </row>
    <row r="121" spans="2:6" x14ac:dyDescent="0.2">
      <c r="B121" s="15">
        <v>25.5</v>
      </c>
      <c r="C121" s="7">
        <f t="shared" si="11"/>
        <v>0</v>
      </c>
      <c r="D121" s="13">
        <v>1</v>
      </c>
      <c r="E121" s="14">
        <f t="shared" si="12"/>
        <v>0.10932111634571591</v>
      </c>
      <c r="F121" s="14">
        <f t="shared" si="13"/>
        <v>0.10921451223127812</v>
      </c>
    </row>
    <row r="122" spans="2:6" x14ac:dyDescent="0.2">
      <c r="B122" s="15">
        <v>25.75</v>
      </c>
      <c r="C122" s="7">
        <f t="shared" si="11"/>
        <v>0</v>
      </c>
      <c r="D122" s="13">
        <v>1</v>
      </c>
      <c r="E122" s="14">
        <f t="shared" si="12"/>
        <v>0.10826073622790505</v>
      </c>
      <c r="F122" s="14">
        <f t="shared" si="13"/>
        <v>0.10816327529271837</v>
      </c>
    </row>
    <row r="123" spans="2:6" x14ac:dyDescent="0.2">
      <c r="B123" s="15">
        <v>26</v>
      </c>
      <c r="C123" s="7">
        <f t="shared" si="11"/>
        <v>0</v>
      </c>
      <c r="D123" s="13">
        <v>1</v>
      </c>
      <c r="E123" s="14">
        <f t="shared" si="12"/>
        <v>0.10722066394672636</v>
      </c>
      <c r="F123" s="14">
        <f t="shared" si="13"/>
        <v>0.10713156200223241</v>
      </c>
    </row>
    <row r="124" spans="2:6" x14ac:dyDescent="0.2">
      <c r="B124" s="15">
        <v>26.25</v>
      </c>
      <c r="C124" s="7">
        <f t="shared" si="11"/>
        <v>0</v>
      </c>
      <c r="D124" s="13">
        <v>1</v>
      </c>
      <c r="E124" s="14">
        <f t="shared" si="12"/>
        <v>0.10620032642167654</v>
      </c>
      <c r="F124" s="14">
        <f t="shared" si="13"/>
        <v>0.10611886653728905</v>
      </c>
    </row>
    <row r="125" spans="2:6" x14ac:dyDescent="0.2">
      <c r="B125" s="15">
        <v>26.5</v>
      </c>
      <c r="C125" s="7">
        <f t="shared" si="11"/>
        <v>0</v>
      </c>
      <c r="D125" s="13">
        <v>1</v>
      </c>
      <c r="E125" s="14">
        <f t="shared" si="12"/>
        <v>0.10519917159103928</v>
      </c>
      <c r="F125" s="14">
        <f t="shared" si="13"/>
        <v>0.10512469832558913</v>
      </c>
    </row>
    <row r="126" spans="2:6" x14ac:dyDescent="0.2">
      <c r="B126" s="15">
        <v>26.75</v>
      </c>
      <c r="C126" s="7">
        <f t="shared" si="11"/>
        <v>0</v>
      </c>
      <c r="D126" s="13">
        <v>1</v>
      </c>
      <c r="E126" s="14">
        <f t="shared" si="12"/>
        <v>0.10421666748126418</v>
      </c>
      <c r="F126" s="14">
        <f t="shared" si="13"/>
        <v>0.10414858160919951</v>
      </c>
    </row>
    <row r="127" spans="2:6" x14ac:dyDescent="0.2">
      <c r="B127" s="15">
        <v>27</v>
      </c>
      <c r="C127" s="7">
        <f t="shared" si="11"/>
        <v>0</v>
      </c>
      <c r="D127" s="13">
        <v>1</v>
      </c>
      <c r="E127" s="14">
        <f t="shared" si="12"/>
        <v>0.10325230132366513</v>
      </c>
      <c r="F127" s="14">
        <f t="shared" si="13"/>
        <v>0.1031900550135727</v>
      </c>
    </row>
    <row r="128" spans="2:6" x14ac:dyDescent="0.2">
      <c r="B128" s="15">
        <v>27.25</v>
      </c>
      <c r="C128" s="7">
        <f t="shared" si="11"/>
        <v>0</v>
      </c>
      <c r="D128" s="13">
        <v>1</v>
      </c>
      <c r="E128" s="14">
        <f t="shared" si="12"/>
        <v>0.10230557871577181</v>
      </c>
      <c r="F128" s="14">
        <f t="shared" si="13"/>
        <v>0.10224867112242494</v>
      </c>
    </row>
    <row r="129" spans="2:6" x14ac:dyDescent="0.2">
      <c r="B129" s="15">
        <v>27.5</v>
      </c>
      <c r="C129" s="7">
        <f t="shared" si="11"/>
        <v>0</v>
      </c>
      <c r="D129" s="13">
        <v>1</v>
      </c>
      <c r="E129" s="14">
        <f t="shared" si="12"/>
        <v>0.10137602282482978</v>
      </c>
      <c r="F129" s="14">
        <f t="shared" si="13"/>
        <v>0.10132399605929583</v>
      </c>
    </row>
    <row r="130" spans="2:6" x14ac:dyDescent="0.2">
      <c r="B130" s="15">
        <v>27.75</v>
      </c>
      <c r="C130" s="7">
        <f t="shared" si="11"/>
        <v>0</v>
      </c>
      <c r="D130" s="13">
        <v>1</v>
      </c>
      <c r="E130" s="14">
        <f t="shared" si="12"/>
        <v>0.10046317363109705</v>
      </c>
      <c r="F130" s="14">
        <f t="shared" si="13"/>
        <v>0.10041560907647908</v>
      </c>
    </row>
    <row r="131" spans="2:6" x14ac:dyDescent="0.2">
      <c r="B131" s="15">
        <v>28</v>
      </c>
      <c r="C131" s="7">
        <f t="shared" si="11"/>
        <v>0</v>
      </c>
      <c r="D131" s="13">
        <v>1</v>
      </c>
      <c r="E131" s="14">
        <f t="shared" si="12"/>
        <v>9.9566587208726534E-2</v>
      </c>
      <c r="F131" s="14">
        <f t="shared" si="13"/>
        <v>9.9523102151894971E-2</v>
      </c>
    </row>
    <row r="132" spans="2:6" x14ac:dyDescent="0.2">
      <c r="B132" s="15">
        <v>28.25</v>
      </c>
      <c r="C132" s="7">
        <f t="shared" si="11"/>
        <v>0</v>
      </c>
      <c r="D132" s="13">
        <v>1</v>
      </c>
      <c r="E132" s="14">
        <f t="shared" si="12"/>
        <v>9.8685835042157208E-2</v>
      </c>
      <c r="F132" s="14">
        <f t="shared" si="13"/>
        <v>9.8646079594369843E-2</v>
      </c>
    </row>
    <row r="133" spans="2:6" x14ac:dyDescent="0.2">
      <c r="B133" s="15">
        <v>28.5</v>
      </c>
      <c r="C133" s="7">
        <f t="shared" si="11"/>
        <v>0</v>
      </c>
      <c r="D133" s="13">
        <v>1</v>
      </c>
      <c r="E133" s="14">
        <f t="shared" si="12"/>
        <v>9.7820503376060672E-2</v>
      </c>
      <c r="F133" s="14">
        <f t="shared" si="13"/>
        <v>9.7784157657693646E-2</v>
      </c>
    </row>
    <row r="134" spans="2:6" x14ac:dyDescent="0.2">
      <c r="B134" s="15">
        <v>28.75</v>
      </c>
      <c r="C134" s="7">
        <f t="shared" si="11"/>
        <v>0</v>
      </c>
      <c r="D134" s="13">
        <v>1</v>
      </c>
      <c r="E134" s="14">
        <f t="shared" si="12"/>
        <v>9.6970192597007107E-2</v>
      </c>
      <c r="F134" s="14">
        <f t="shared" si="13"/>
        <v>9.693696416374481E-2</v>
      </c>
    </row>
    <row r="135" spans="2:6" x14ac:dyDescent="0.2">
      <c r="B135" s="15">
        <v>29</v>
      </c>
      <c r="C135" s="7">
        <f t="shared" si="11"/>
        <v>0</v>
      </c>
      <c r="D135" s="13">
        <v>1</v>
      </c>
      <c r="E135" s="14">
        <f t="shared" si="12"/>
        <v>9.6134516645122847E-2</v>
      </c>
      <c r="F135" s="14">
        <f t="shared" si="13"/>
        <v>9.6104138134897321E-2</v>
      </c>
    </row>
    <row r="136" spans="2:6" x14ac:dyDescent="0.2">
      <c r="B136" s="15">
        <v>29.25</v>
      </c>
      <c r="C136" s="7">
        <f t="shared" si="11"/>
        <v>0</v>
      </c>
      <c r="D136" s="13">
        <v>1</v>
      </c>
      <c r="E136" s="14">
        <f t="shared" si="12"/>
        <v>9.531310245411502E-2</v>
      </c>
      <c r="F136" s="14">
        <f t="shared" si="13"/>
        <v>9.528532943586171E-2</v>
      </c>
    </row>
    <row r="137" spans="2:6" x14ac:dyDescent="0.2">
      <c r="B137" s="15">
        <v>29.5</v>
      </c>
      <c r="C137" s="7">
        <f t="shared" si="11"/>
        <v>0</v>
      </c>
      <c r="D137" s="13">
        <v>1</v>
      </c>
      <c r="E137" s="14">
        <f t="shared" si="12"/>
        <v>9.4505589418133307E-2</v>
      </c>
      <c r="F137" s="14">
        <f t="shared" si="13"/>
        <v>9.4480198425053924E-2</v>
      </c>
    </row>
    <row r="138" spans="2:6" x14ac:dyDescent="0.2">
      <c r="B138" s="15">
        <v>29.75</v>
      </c>
      <c r="C138" s="7">
        <f t="shared" si="11"/>
        <v>0</v>
      </c>
      <c r="D138" s="13">
        <v>1</v>
      </c>
      <c r="E138" s="14">
        <f t="shared" si="12"/>
        <v>9.3711628884029952E-2</v>
      </c>
      <c r="F138" s="14">
        <f t="shared" si="13"/>
        <v>9.3688415615537576E-2</v>
      </c>
    </row>
    <row r="139" spans="2:6" x14ac:dyDescent="0.2">
      <c r="B139" s="15">
        <v>30</v>
      </c>
      <c r="C139" s="7">
        <f t="shared" si="11"/>
        <v>0</v>
      </c>
      <c r="D139" s="13">
        <v>1</v>
      </c>
      <c r="E139" s="14">
        <f t="shared" si="12"/>
        <v>9.2930883667661987E-2</v>
      </c>
      <c r="F139" s="14">
        <f t="shared" si="13"/>
        <v>9.2909661345541142E-2</v>
      </c>
    </row>
  </sheetData>
  <scenarios current="2" show="2">
    <scenario name="use_all"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all_except_20"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key"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 name="use_key_except_30"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s>
  <mergeCells count="1">
    <mergeCell ref="C3:C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1</xdr:col>
                    <xdr:colOff>101600</xdr:colOff>
                    <xdr:row>2</xdr:row>
                    <xdr:rowOff>76200</xdr:rowOff>
                  </from>
                  <to>
                    <xdr:col>1</xdr:col>
                    <xdr:colOff>787400</xdr:colOff>
                    <xdr:row>3</xdr:row>
                    <xdr:rowOff>114300</xdr:rowOff>
                  </to>
                </anchor>
              </controlPr>
            </control>
          </mc:Choice>
        </mc:AlternateContent>
        <mc:AlternateContent xmlns:mc="http://schemas.openxmlformats.org/markup-compatibility/2006">
          <mc:Choice Requires="x14">
            <control shapeId="3076" r:id="rId5" name="Drop Down 4">
              <controlPr defaultSize="0" autoLine="0" autoPict="0">
                <anchor moveWithCells="1">
                  <from>
                    <xdr:col>10</xdr:col>
                    <xdr:colOff>190500</xdr:colOff>
                    <xdr:row>3</xdr:row>
                    <xdr:rowOff>63500</xdr:rowOff>
                  </from>
                  <to>
                    <xdr:col>10</xdr:col>
                    <xdr:colOff>876300</xdr:colOff>
                    <xdr:row>4</xdr:row>
                    <xdr:rowOff>101600</xdr:rowOff>
                  </to>
                </anchor>
              </controlPr>
            </control>
          </mc:Choice>
        </mc:AlternateContent>
        <mc:AlternateContent xmlns:mc="http://schemas.openxmlformats.org/markup-compatibility/2006">
          <mc:Choice Requires="x14">
            <control shapeId="3078" r:id="rId6" name="Button 6">
              <controlPr defaultSize="0" print="0" autoFill="0" autoPict="0" macro="[0]!fit_curve" altText="fit curve">
                <anchor moveWithCells="1" sizeWithCells="1">
                  <from>
                    <xdr:col>15</xdr:col>
                    <xdr:colOff>63500</xdr:colOff>
                    <xdr:row>2</xdr:row>
                    <xdr:rowOff>63500</xdr:rowOff>
                  </from>
                  <to>
                    <xdr:col>15</xdr:col>
                    <xdr:colOff>762000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55E6071B-4000-5C41-AC63-3110824D179D}">
            <x14:iconSet showValue="0" custom="1">
              <x14:cfvo type="percent">
                <xm:f>0</xm:f>
              </x14:cfvo>
              <x14:cfvo type="percent">
                <xm:f>1</xm:f>
              </x14:cfvo>
              <x14:cfvo type="percent">
                <xm:f>1</xm:f>
              </x14:cfvo>
              <x14:cfIcon iconSet="NoIcons" iconId="0"/>
              <x14:cfIcon iconSet="3TrafficLights1" iconId="1"/>
              <x14:cfIcon iconSet="3TrafficLights1" iconId="2"/>
            </x14:iconSet>
          </x14:cfRule>
          <xm:sqref>F7:F15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I1:Y172"/>
  <sheetViews>
    <sheetView showGridLines="0" tabSelected="1" workbookViewId="0">
      <selection activeCell="T3" sqref="T3"/>
    </sheetView>
  </sheetViews>
  <sheetFormatPr baseColWidth="10" defaultColWidth="10.83203125" defaultRowHeight="15" x14ac:dyDescent="0.2"/>
  <cols>
    <col min="1" max="1" width="10.83203125" style="1"/>
    <col min="2" max="2" width="12.6640625" style="1" bestFit="1" customWidth="1"/>
    <col min="3" max="5" width="10.83203125" style="1"/>
    <col min="6" max="6" width="11.83203125" style="1" bestFit="1" customWidth="1"/>
    <col min="7" max="8" width="10.83203125" style="1"/>
    <col min="9" max="9" width="4" style="1" customWidth="1"/>
    <col min="10" max="10" width="12.5" style="1" customWidth="1"/>
    <col min="11" max="12" width="10.83203125" style="1"/>
    <col min="13" max="15" width="11.5"/>
    <col min="16" max="17" width="10.83203125" style="1"/>
    <col min="18" max="18" width="10.83203125" style="1" bestFit="1" customWidth="1"/>
    <col min="19" max="19" width="10.83203125" style="1"/>
    <col min="20" max="20" width="6" style="1" bestFit="1" customWidth="1"/>
    <col min="21" max="21" width="10.83203125" style="1"/>
    <col min="22" max="25" width="11.5" customWidth="1"/>
    <col min="26" max="16384" width="10.83203125" style="1"/>
  </cols>
  <sheetData>
    <row r="1" spans="9:25" x14ac:dyDescent="0.2">
      <c r="M1" s="1"/>
      <c r="N1" s="1"/>
      <c r="O1" s="1"/>
      <c r="V1" s="1"/>
      <c r="W1" s="1"/>
      <c r="X1" s="1"/>
      <c r="Y1" s="1"/>
    </row>
    <row r="2" spans="9:25" x14ac:dyDescent="0.2">
      <c r="M2" s="1"/>
      <c r="N2" s="1"/>
      <c r="O2" s="1"/>
      <c r="V2" s="1"/>
      <c r="W2" s="1"/>
      <c r="X2" s="1"/>
      <c r="Y2" s="1"/>
    </row>
    <row r="3" spans="9:25" x14ac:dyDescent="0.2">
      <c r="J3" s="23"/>
      <c r="K3" s="23" t="s">
        <v>27</v>
      </c>
      <c r="L3" s="23" t="s">
        <v>28</v>
      </c>
      <c r="M3" s="23" t="s">
        <v>3</v>
      </c>
      <c r="N3" s="23" t="s">
        <v>27</v>
      </c>
      <c r="O3" s="23" t="s">
        <v>28</v>
      </c>
      <c r="P3" s="23" t="s">
        <v>31</v>
      </c>
      <c r="Q3" s="23" t="s">
        <v>30</v>
      </c>
      <c r="V3" s="1"/>
      <c r="W3" s="1"/>
      <c r="X3" s="1"/>
      <c r="Y3" s="1"/>
    </row>
    <row r="4" spans="9:25" x14ac:dyDescent="0.2">
      <c r="J4" s="9" t="s">
        <v>5</v>
      </c>
      <c r="K4" s="12">
        <f>beta_0</f>
        <v>0</v>
      </c>
      <c r="L4" s="12">
        <v>-1.1977703887341725E-4</v>
      </c>
      <c r="M4" s="9">
        <v>0.25</v>
      </c>
      <c r="N4" s="7">
        <f>beta_0+beta_1*((1-EXP(-lambda*M4))/(lambda*M4))+beta_2*((1-EXP(-lambda*M4))/(lambda*M4)-EXP(-lambda*M4))</f>
        <v>0</v>
      </c>
      <c r="O4" s="29">
        <v>0</v>
      </c>
      <c r="P4" s="7">
        <f>beta_0_scen+beta_1_scen*((1-EXP(-lambda*M4))/(lambda*M4))+beta_2_scen*((1-EXP(-lambda*M4))/(lambda*M4)-EXP(-lambda*M4))</f>
        <v>-4.2442821175750613E-6</v>
      </c>
      <c r="Q4" s="7">
        <f>P4-O4</f>
        <v>-4.2442821175750613E-6</v>
      </c>
      <c r="V4" s="1"/>
      <c r="W4" s="1"/>
      <c r="X4" s="1"/>
      <c r="Y4" s="1"/>
    </row>
    <row r="5" spans="9:25" x14ac:dyDescent="0.2">
      <c r="J5" s="9" t="s">
        <v>6</v>
      </c>
      <c r="K5" s="12">
        <f>beta_1</f>
        <v>0</v>
      </c>
      <c r="L5" s="12">
        <v>1.0815895777169522E-4</v>
      </c>
      <c r="M5" s="9">
        <v>2</v>
      </c>
      <c r="N5" s="7">
        <f>beta_0+beta_1*((1-EXP(-lambda*M5))/(lambda*M5))+beta_2*((1-EXP(-lambda*M5))/(lambda*M5)-EXP(-lambda*M5))</f>
        <v>0</v>
      </c>
      <c r="O5" s="29">
        <v>0</v>
      </c>
      <c r="P5" s="7">
        <f>beta_0_scen+beta_1_scen*((1-EXP(-lambda*M5))/(lambda*M5))+beta_2_scen*((1-EXP(-lambda*M5))/(lambda*M5)-EXP(-lambda*M5))</f>
        <v>2.194415639342129E-5</v>
      </c>
      <c r="Q5" s="7">
        <f>P5-O5</f>
        <v>2.194415639342129E-5</v>
      </c>
      <c r="V5" s="1"/>
      <c r="W5" s="1"/>
      <c r="X5" s="1"/>
      <c r="Y5" s="1"/>
    </row>
    <row r="6" spans="9:25" x14ac:dyDescent="0.2">
      <c r="J6" s="9" t="s">
        <v>7</v>
      </c>
      <c r="K6" s="12">
        <f>beta_2</f>
        <v>0</v>
      </c>
      <c r="L6" s="12">
        <v>2.8599721762103666E-4</v>
      </c>
      <c r="M6" s="9">
        <v>5</v>
      </c>
      <c r="N6" s="7">
        <f>beta_0+beta_1*((1-EXP(-lambda*M6))/(lambda*M6))+beta_2*((1-EXP(-lambda*M6))/(lambda*M6)-EXP(-lambda*M6))</f>
        <v>0</v>
      </c>
      <c r="O6" s="29">
        <v>0</v>
      </c>
      <c r="P6" s="7">
        <f>beta_0_scen+beta_1_scen*((1-EXP(-lambda*M6))/(lambda*M6))+beta_2_scen*((1-EXP(-lambda*M6))/(lambda*M6)-EXP(-lambda*M6))</f>
        <v>1.584603021264159E-5</v>
      </c>
      <c r="Q6" s="7">
        <f>P6-O6</f>
        <v>1.584603021264159E-5</v>
      </c>
      <c r="S6" s="1" t="s">
        <v>29</v>
      </c>
      <c r="V6" s="1"/>
      <c r="W6" s="1"/>
      <c r="X6" s="1"/>
      <c r="Y6" s="1"/>
    </row>
    <row r="7" spans="9:25" x14ac:dyDescent="0.2">
      <c r="J7" s="9" t="s">
        <v>8</v>
      </c>
      <c r="K7" s="12">
        <f>lambda</f>
        <v>0.3586819</v>
      </c>
      <c r="L7" s="6"/>
      <c r="M7" s="9">
        <v>10</v>
      </c>
      <c r="N7" s="7">
        <f>beta_0+beta_1*((1-EXP(-lambda*M7))/(lambda*M7))+beta_2*((1-EXP(-lambda*M7))/(lambda*M7)-EXP(-lambda*M7))</f>
        <v>0</v>
      </c>
      <c r="O7" s="29">
        <v>0</v>
      </c>
      <c r="P7" s="7">
        <f>beta_0_scen+beta_1_scen*((1-EXP(-lambda*M7))/(lambda*M7))+beta_2_scen*((1-EXP(-lambda*M7))/(lambda*M7)-EXP(-lambda*M7))</f>
        <v>-2.0847503239057561E-5</v>
      </c>
      <c r="Q7" s="7">
        <f>P7-O7</f>
        <v>-2.0847503239057561E-5</v>
      </c>
      <c r="S7" s="2">
        <f>SUMSQ(Q4:Q8)</f>
        <v>1.1852749953149656E-9</v>
      </c>
      <c r="V7" s="1"/>
      <c r="W7" s="1"/>
      <c r="X7" s="1"/>
      <c r="Y7" s="1"/>
    </row>
    <row r="8" spans="9:25" x14ac:dyDescent="0.2">
      <c r="J8" s="9" t="s">
        <v>32</v>
      </c>
      <c r="K8" s="6">
        <f>hump_mat</f>
        <v>5</v>
      </c>
      <c r="L8" s="6"/>
      <c r="M8" s="6"/>
      <c r="N8" s="7"/>
      <c r="O8" s="6"/>
      <c r="P8" s="7"/>
      <c r="Q8" s="7"/>
      <c r="V8" s="1"/>
      <c r="W8" s="1"/>
      <c r="X8" s="1"/>
      <c r="Y8" s="1"/>
    </row>
    <row r="9" spans="9:25" x14ac:dyDescent="0.2">
      <c r="M9" s="1"/>
      <c r="N9" s="1"/>
      <c r="O9" s="1"/>
      <c r="V9" s="1"/>
      <c r="W9" s="1"/>
      <c r="X9" s="1"/>
      <c r="Y9" s="1"/>
    </row>
    <row r="10" spans="9:25" x14ac:dyDescent="0.2">
      <c r="M10" s="1"/>
      <c r="N10" s="1"/>
      <c r="O10" s="1"/>
      <c r="V10" s="1"/>
      <c r="W10" s="1"/>
      <c r="X10" s="1"/>
      <c r="Y10" s="1"/>
    </row>
    <row r="11" spans="9:25" x14ac:dyDescent="0.2">
      <c r="J11" s="30" t="s">
        <v>44</v>
      </c>
      <c r="K11" s="31" t="s">
        <v>47</v>
      </c>
      <c r="L11" s="31" t="s">
        <v>64</v>
      </c>
      <c r="M11" s="31" t="s">
        <v>65</v>
      </c>
      <c r="N11" s="31" t="s">
        <v>66</v>
      </c>
      <c r="O11" s="31" t="s">
        <v>67</v>
      </c>
      <c r="P11" s="30" t="s">
        <v>4</v>
      </c>
      <c r="Q11" s="31" t="s">
        <v>48</v>
      </c>
      <c r="R11" s="30" t="s">
        <v>26</v>
      </c>
      <c r="S11" s="30" t="s">
        <v>45</v>
      </c>
      <c r="T11" s="30" t="s">
        <v>25</v>
      </c>
      <c r="U11" s="30" t="s">
        <v>46</v>
      </c>
      <c r="V11" s="1"/>
      <c r="W11" s="1"/>
      <c r="X11" s="1"/>
      <c r="Y11" s="1"/>
    </row>
    <row r="12" spans="9:25" x14ac:dyDescent="0.2">
      <c r="I12" s="4">
        <v>0</v>
      </c>
      <c r="J12" s="15">
        <v>0.25</v>
      </c>
      <c r="K12" s="7">
        <f>J12-1/12</f>
        <v>0.16666666666666669</v>
      </c>
      <c r="L12" s="15">
        <f>beta_0+beta_1*((1-EXP(-lambda*J12))/(lambda*J12))+beta_2*((1-EXP(-lambda*J12))/(lambda*J12)-EXP(-lambda*J12))</f>
        <v>0</v>
      </c>
      <c r="M12" s="15">
        <f>beta_0_scen+beta_1_scen*((1-EXP(-lambda*J12))/(lambda*J12))+beta_2_scen*((1-EXP(-lambda*J12))/(lambda*J12)-EXP(-lambda*J12))</f>
        <v>-4.2442821175750613E-6</v>
      </c>
      <c r="N12" s="15">
        <f>beta_0+beta_1*((1-EXP(-lambda*K12))/(lambda*K12))+beta_2*((1-EXP(-lambda*K12))/(lambda*K12)-EXP(-lambda*K12))</f>
        <v>0</v>
      </c>
      <c r="O12" s="15">
        <f>beta_0_scen+beta_1_scen*((1-EXP(-lambda*K12))/(lambda*K12))+beta_2_scen*((1-EXP(-lambda*K12))/(lambda*K12)-EXP(-lambda*K12))</f>
        <v>-6.5721686502211763E-6</v>
      </c>
      <c r="P12" s="7">
        <f t="shared" ref="P12:P43" si="0">L12+$I12*(M12-L12)/12</f>
        <v>0</v>
      </c>
      <c r="Q12" s="7">
        <f>N12+$I12*(O12-N12)/12</f>
        <v>0</v>
      </c>
      <c r="R12" s="43">
        <f>P12%/12</f>
        <v>0</v>
      </c>
      <c r="S12" s="44">
        <f ca="1">PRICE(TODAY(),TODAY()+K12*365.25,P12%,Q12%,100,2)/100-1</f>
        <v>0</v>
      </c>
      <c r="T12" s="49">
        <f ca="1">(1+R12+S12)^12-1</f>
        <v>0</v>
      </c>
      <c r="U12" s="32">
        <v>0</v>
      </c>
      <c r="V12" s="1"/>
      <c r="W12" s="1" t="s">
        <v>44</v>
      </c>
      <c r="X12" s="1" t="s">
        <v>62</v>
      </c>
      <c r="Y12" s="1" t="s">
        <v>63</v>
      </c>
    </row>
    <row r="13" spans="9:25" x14ac:dyDescent="0.2">
      <c r="I13" s="4">
        <v>1</v>
      </c>
      <c r="J13" s="7">
        <f t="shared" ref="J13:O13" si="1">J12</f>
        <v>0.25</v>
      </c>
      <c r="K13" s="7">
        <f t="shared" si="1"/>
        <v>0.16666666666666669</v>
      </c>
      <c r="L13" s="7">
        <f t="shared" si="1"/>
        <v>0</v>
      </c>
      <c r="M13" s="7">
        <f t="shared" si="1"/>
        <v>-4.2442821175750613E-6</v>
      </c>
      <c r="N13" s="7">
        <f t="shared" si="1"/>
        <v>0</v>
      </c>
      <c r="O13" s="7">
        <f t="shared" si="1"/>
        <v>-6.5721686502211763E-6</v>
      </c>
      <c r="P13" s="7">
        <f t="shared" si="0"/>
        <v>-3.5369017646458846E-7</v>
      </c>
      <c r="Q13" s="7">
        <f t="shared" ref="Q13:Q24" si="2">N13+$I13*(O13-N13)/12</f>
        <v>-5.4768072085176469E-7</v>
      </c>
      <c r="R13" s="76">
        <f>P12%/12</f>
        <v>0</v>
      </c>
      <c r="S13" s="77" t="e">
        <f ca="1">PRICE(TODAY(),TODAY()+K13*365.25,P12%,Q13%,100,2)/100-1</f>
        <v>#NUM!</v>
      </c>
      <c r="T13" s="32" t="e">
        <f ca="1">R13+S13</f>
        <v>#NUM!</v>
      </c>
      <c r="U13" s="32" t="e">
        <f ca="1">(1+U12)*(1+T13)-1</f>
        <v>#NUM!</v>
      </c>
      <c r="V13" s="1"/>
      <c r="W13" s="9">
        <v>0.25</v>
      </c>
      <c r="X13" s="40">
        <f ca="1">T12</f>
        <v>0</v>
      </c>
      <c r="Y13" s="41" t="e">
        <f ca="1">U24</f>
        <v>#NUM!</v>
      </c>
    </row>
    <row r="14" spans="9:25" x14ac:dyDescent="0.2">
      <c r="I14" s="4">
        <v>2</v>
      </c>
      <c r="J14" s="7">
        <f t="shared" ref="J14:J24" si="3">J13</f>
        <v>0.25</v>
      </c>
      <c r="K14" s="7">
        <f t="shared" ref="K14:O24" si="4">K13</f>
        <v>0.16666666666666669</v>
      </c>
      <c r="L14" s="7">
        <f t="shared" si="4"/>
        <v>0</v>
      </c>
      <c r="M14" s="7">
        <f t="shared" si="4"/>
        <v>-4.2442821175750613E-6</v>
      </c>
      <c r="N14" s="7">
        <f t="shared" si="4"/>
        <v>0</v>
      </c>
      <c r="O14" s="7">
        <f t="shared" si="4"/>
        <v>-6.5721686502211763E-6</v>
      </c>
      <c r="P14" s="7">
        <f t="shared" si="0"/>
        <v>-7.0738035292917691E-7</v>
      </c>
      <c r="Q14" s="7">
        <f t="shared" si="2"/>
        <v>-1.0953614417035294E-6</v>
      </c>
      <c r="R14" s="76">
        <f t="shared" ref="R14:R24" si="5">P13%/12</f>
        <v>-2.9474181372049038E-10</v>
      </c>
      <c r="S14" s="77" t="e">
        <f t="shared" ref="S14:S24" ca="1" si="6">PRICE(TODAY(),TODAY()+K14*365.25,P13%,Q14%,100,2)/100-1</f>
        <v>#NUM!</v>
      </c>
      <c r="T14" s="32" t="e">
        <f t="shared" ref="T14:T24" ca="1" si="7">R14+S14</f>
        <v>#NUM!</v>
      </c>
      <c r="U14" s="32" t="e">
        <f t="shared" ref="U14:U24" ca="1" si="8">(1+U13)*(1+T14)-1</f>
        <v>#NUM!</v>
      </c>
      <c r="V14" s="1"/>
      <c r="W14" s="9">
        <v>1</v>
      </c>
      <c r="X14" s="42">
        <f ca="1">T25</f>
        <v>0</v>
      </c>
      <c r="Y14" s="41">
        <f ca="1">U37</f>
        <v>2.7889382137047392E-8</v>
      </c>
    </row>
    <row r="15" spans="9:25" x14ac:dyDescent="0.2">
      <c r="I15" s="4">
        <v>3</v>
      </c>
      <c r="J15" s="7">
        <f t="shared" si="3"/>
        <v>0.25</v>
      </c>
      <c r="K15" s="7">
        <f t="shared" si="4"/>
        <v>0.16666666666666669</v>
      </c>
      <c r="L15" s="7">
        <f t="shared" si="4"/>
        <v>0</v>
      </c>
      <c r="M15" s="7">
        <f t="shared" si="4"/>
        <v>-4.2442821175750613E-6</v>
      </c>
      <c r="N15" s="7">
        <f t="shared" si="4"/>
        <v>0</v>
      </c>
      <c r="O15" s="7">
        <f t="shared" si="4"/>
        <v>-6.5721686502211763E-6</v>
      </c>
      <c r="P15" s="7">
        <f t="shared" si="0"/>
        <v>-1.0610705293937653E-6</v>
      </c>
      <c r="Q15" s="7">
        <f t="shared" si="2"/>
        <v>-1.6430421625552941E-6</v>
      </c>
      <c r="R15" s="76">
        <f t="shared" si="5"/>
        <v>-5.8948362744098076E-10</v>
      </c>
      <c r="S15" s="77" t="e">
        <f t="shared" ca="1" si="6"/>
        <v>#NUM!</v>
      </c>
      <c r="T15" s="32" t="e">
        <f t="shared" ca="1" si="7"/>
        <v>#NUM!</v>
      </c>
      <c r="U15" s="32" t="e">
        <f t="shared" ca="1" si="8"/>
        <v>#NUM!</v>
      </c>
      <c r="V15" s="1"/>
      <c r="W15" s="9">
        <v>2</v>
      </c>
      <c r="X15" s="41">
        <f ca="1">T38</f>
        <v>0</v>
      </c>
      <c r="Y15" s="41">
        <f ca="1">U50</f>
        <v>-2.5789875779391735E-7</v>
      </c>
    </row>
    <row r="16" spans="9:25" x14ac:dyDescent="0.2">
      <c r="I16" s="4">
        <v>4</v>
      </c>
      <c r="J16" s="7">
        <f t="shared" si="3"/>
        <v>0.25</v>
      </c>
      <c r="K16" s="7">
        <f t="shared" si="4"/>
        <v>0.16666666666666669</v>
      </c>
      <c r="L16" s="7">
        <f t="shared" si="4"/>
        <v>0</v>
      </c>
      <c r="M16" s="7">
        <f t="shared" si="4"/>
        <v>-4.2442821175750613E-6</v>
      </c>
      <c r="N16" s="7">
        <f t="shared" si="4"/>
        <v>0</v>
      </c>
      <c r="O16" s="7">
        <f t="shared" si="4"/>
        <v>-6.5721686502211763E-6</v>
      </c>
      <c r="P16" s="7">
        <f t="shared" si="0"/>
        <v>-1.4147607058583538E-6</v>
      </c>
      <c r="Q16" s="7">
        <f t="shared" si="2"/>
        <v>-2.1907228834070588E-6</v>
      </c>
      <c r="R16" s="76">
        <f t="shared" si="5"/>
        <v>-8.8422544116147109E-10</v>
      </c>
      <c r="S16" s="77" t="e">
        <f t="shared" ca="1" si="6"/>
        <v>#NUM!</v>
      </c>
      <c r="T16" s="32" t="e">
        <f t="shared" ca="1" si="7"/>
        <v>#NUM!</v>
      </c>
      <c r="U16" s="32" t="e">
        <f t="shared" ca="1" si="8"/>
        <v>#NUM!</v>
      </c>
      <c r="V16" s="1"/>
      <c r="W16" s="9">
        <v>3</v>
      </c>
      <c r="X16" s="41">
        <f ca="1">T51</f>
        <v>0</v>
      </c>
      <c r="Y16" s="41">
        <f ca="1">U63</f>
        <v>-6.0034780424711442E-7</v>
      </c>
    </row>
    <row r="17" spans="9:25" x14ac:dyDescent="0.2">
      <c r="I17" s="4">
        <v>5</v>
      </c>
      <c r="J17" s="7">
        <f t="shared" si="3"/>
        <v>0.25</v>
      </c>
      <c r="K17" s="7">
        <f t="shared" si="4"/>
        <v>0.16666666666666669</v>
      </c>
      <c r="L17" s="7">
        <f t="shared" si="4"/>
        <v>0</v>
      </c>
      <c r="M17" s="7">
        <f t="shared" si="4"/>
        <v>-4.2442821175750613E-6</v>
      </c>
      <c r="N17" s="7">
        <f t="shared" si="4"/>
        <v>0</v>
      </c>
      <c r="O17" s="7">
        <f t="shared" si="4"/>
        <v>-6.5721686502211763E-6</v>
      </c>
      <c r="P17" s="7">
        <f t="shared" si="0"/>
        <v>-1.7684508823229421E-6</v>
      </c>
      <c r="Q17" s="7">
        <f t="shared" si="2"/>
        <v>-2.7384036042588239E-6</v>
      </c>
      <c r="R17" s="76">
        <f t="shared" si="5"/>
        <v>-1.1789672548819615E-9</v>
      </c>
      <c r="S17" s="77" t="e">
        <f t="shared" ca="1" si="6"/>
        <v>#NUM!</v>
      </c>
      <c r="T17" s="32" t="e">
        <f t="shared" ca="1" si="7"/>
        <v>#NUM!</v>
      </c>
      <c r="U17" s="32" t="e">
        <f t="shared" ca="1" si="8"/>
        <v>#NUM!</v>
      </c>
      <c r="V17" s="1"/>
      <c r="W17" s="9">
        <v>4</v>
      </c>
      <c r="X17" s="41">
        <f ca="1">T64</f>
        <v>0</v>
      </c>
      <c r="Y17" s="41">
        <f ca="1">U76</f>
        <v>-8.3055226984818376E-7</v>
      </c>
    </row>
    <row r="18" spans="9:25" x14ac:dyDescent="0.2">
      <c r="I18" s="4">
        <v>6</v>
      </c>
      <c r="J18" s="7">
        <f t="shared" si="3"/>
        <v>0.25</v>
      </c>
      <c r="K18" s="7">
        <f t="shared" si="4"/>
        <v>0.16666666666666669</v>
      </c>
      <c r="L18" s="7">
        <f t="shared" si="4"/>
        <v>0</v>
      </c>
      <c r="M18" s="7">
        <f t="shared" si="4"/>
        <v>-4.2442821175750613E-6</v>
      </c>
      <c r="N18" s="7">
        <f t="shared" si="4"/>
        <v>0</v>
      </c>
      <c r="O18" s="7">
        <f t="shared" si="4"/>
        <v>-6.5721686502211763E-6</v>
      </c>
      <c r="P18" s="7">
        <f t="shared" si="0"/>
        <v>-2.1221410587875306E-6</v>
      </c>
      <c r="Q18" s="7">
        <f t="shared" si="2"/>
        <v>-3.2860843251105882E-6</v>
      </c>
      <c r="R18" s="76">
        <f t="shared" si="5"/>
        <v>-1.4737090686024517E-9</v>
      </c>
      <c r="S18" s="77" t="e">
        <f t="shared" ca="1" si="6"/>
        <v>#NUM!</v>
      </c>
      <c r="T18" s="32" t="e">
        <f t="shared" ca="1" si="7"/>
        <v>#NUM!</v>
      </c>
      <c r="U18" s="32" t="e">
        <f t="shared" ca="1" si="8"/>
        <v>#NUM!</v>
      </c>
      <c r="V18" s="1"/>
      <c r="W18" s="9">
        <v>5</v>
      </c>
      <c r="X18" s="41">
        <f ca="1">T77</f>
        <v>0</v>
      </c>
      <c r="Y18" s="41">
        <f ca="1">U89</f>
        <v>-8.7627411793356202E-7</v>
      </c>
    </row>
    <row r="19" spans="9:25" x14ac:dyDescent="0.2">
      <c r="I19" s="4">
        <v>7</v>
      </c>
      <c r="J19" s="7">
        <f t="shared" si="3"/>
        <v>0.25</v>
      </c>
      <c r="K19" s="7">
        <f t="shared" si="4"/>
        <v>0.16666666666666669</v>
      </c>
      <c r="L19" s="7">
        <f t="shared" si="4"/>
        <v>0</v>
      </c>
      <c r="M19" s="7">
        <f t="shared" si="4"/>
        <v>-4.2442821175750613E-6</v>
      </c>
      <c r="N19" s="7">
        <f t="shared" si="4"/>
        <v>0</v>
      </c>
      <c r="O19" s="7">
        <f t="shared" si="4"/>
        <v>-6.5721686502211763E-6</v>
      </c>
      <c r="P19" s="7">
        <f t="shared" si="0"/>
        <v>-2.4758312352521189E-6</v>
      </c>
      <c r="Q19" s="7">
        <f t="shared" si="2"/>
        <v>-3.8337650459623529E-6</v>
      </c>
      <c r="R19" s="76">
        <f t="shared" si="5"/>
        <v>-1.7684508823229422E-9</v>
      </c>
      <c r="S19" s="77" t="e">
        <f t="shared" ca="1" si="6"/>
        <v>#NUM!</v>
      </c>
      <c r="T19" s="32" t="e">
        <f t="shared" ca="1" si="7"/>
        <v>#NUM!</v>
      </c>
      <c r="U19" s="32" t="e">
        <f t="shared" ca="1" si="8"/>
        <v>#NUM!</v>
      </c>
      <c r="V19" s="1"/>
      <c r="W19" s="9">
        <v>6</v>
      </c>
      <c r="X19" s="41">
        <f ca="1">T90</f>
        <v>0</v>
      </c>
      <c r="Y19" s="41">
        <f ca="1">U102</f>
        <v>-7.1901526843554109E-7</v>
      </c>
    </row>
    <row r="20" spans="9:25" x14ac:dyDescent="0.2">
      <c r="I20" s="4">
        <v>8</v>
      </c>
      <c r="J20" s="7">
        <f t="shared" si="3"/>
        <v>0.25</v>
      </c>
      <c r="K20" s="7">
        <f t="shared" si="4"/>
        <v>0.16666666666666669</v>
      </c>
      <c r="L20" s="7">
        <f t="shared" si="4"/>
        <v>0</v>
      </c>
      <c r="M20" s="7">
        <f t="shared" si="4"/>
        <v>-4.2442821175750613E-6</v>
      </c>
      <c r="N20" s="7">
        <f t="shared" si="4"/>
        <v>0</v>
      </c>
      <c r="O20" s="7">
        <f t="shared" si="4"/>
        <v>-6.5721686502211763E-6</v>
      </c>
      <c r="P20" s="7">
        <f t="shared" si="0"/>
        <v>-2.8295214117167076E-6</v>
      </c>
      <c r="Q20" s="7">
        <f t="shared" si="2"/>
        <v>-4.3814457668141176E-6</v>
      </c>
      <c r="R20" s="76">
        <f t="shared" si="5"/>
        <v>-2.0631926960434324E-9</v>
      </c>
      <c r="S20" s="77" t="e">
        <f t="shared" ca="1" si="6"/>
        <v>#NUM!</v>
      </c>
      <c r="T20" s="32" t="e">
        <f t="shared" ca="1" si="7"/>
        <v>#NUM!</v>
      </c>
      <c r="U20" s="32" t="e">
        <f t="shared" ca="1" si="8"/>
        <v>#NUM!</v>
      </c>
      <c r="V20" s="1"/>
      <c r="W20" s="9">
        <v>7</v>
      </c>
      <c r="X20" s="41">
        <f ca="1">T103</f>
        <v>0</v>
      </c>
      <c r="Y20" s="41">
        <f ca="1">U115</f>
        <v>-3.6818540305461056E-7</v>
      </c>
    </row>
    <row r="21" spans="9:25" x14ac:dyDescent="0.2">
      <c r="I21" s="4">
        <v>9</v>
      </c>
      <c r="J21" s="7">
        <f t="shared" si="3"/>
        <v>0.25</v>
      </c>
      <c r="K21" s="7">
        <f t="shared" si="4"/>
        <v>0.16666666666666669</v>
      </c>
      <c r="L21" s="7">
        <f t="shared" si="4"/>
        <v>0</v>
      </c>
      <c r="M21" s="7">
        <f t="shared" si="4"/>
        <v>-4.2442821175750613E-6</v>
      </c>
      <c r="N21" s="7">
        <f t="shared" si="4"/>
        <v>0</v>
      </c>
      <c r="O21" s="7">
        <f t="shared" si="4"/>
        <v>-6.5721686502211763E-6</v>
      </c>
      <c r="P21" s="7">
        <f t="shared" si="0"/>
        <v>-3.1832115881812964E-6</v>
      </c>
      <c r="Q21" s="7">
        <f t="shared" si="2"/>
        <v>-4.9291264876658822E-6</v>
      </c>
      <c r="R21" s="76">
        <f t="shared" si="5"/>
        <v>-2.357934509763923E-9</v>
      </c>
      <c r="S21" s="77" t="e">
        <f t="shared" ca="1" si="6"/>
        <v>#NUM!</v>
      </c>
      <c r="T21" s="32" t="e">
        <f t="shared" ca="1" si="7"/>
        <v>#NUM!</v>
      </c>
      <c r="U21" s="32" t="e">
        <f t="shared" ca="1" si="8"/>
        <v>#NUM!</v>
      </c>
      <c r="V21" s="1"/>
      <c r="W21" s="9">
        <v>8</v>
      </c>
      <c r="X21" s="41">
        <f ca="1">T116</f>
        <v>0</v>
      </c>
      <c r="Y21" s="41" t="e">
        <f ca="1">U128</f>
        <v>#NUM!</v>
      </c>
    </row>
    <row r="22" spans="9:25" x14ac:dyDescent="0.2">
      <c r="I22" s="4">
        <v>10</v>
      </c>
      <c r="J22" s="7">
        <f t="shared" si="3"/>
        <v>0.25</v>
      </c>
      <c r="K22" s="7">
        <f t="shared" si="4"/>
        <v>0.16666666666666669</v>
      </c>
      <c r="L22" s="7">
        <f t="shared" si="4"/>
        <v>0</v>
      </c>
      <c r="M22" s="7">
        <f t="shared" si="4"/>
        <v>-4.2442821175750613E-6</v>
      </c>
      <c r="N22" s="7">
        <f t="shared" si="4"/>
        <v>0</v>
      </c>
      <c r="O22" s="7">
        <f t="shared" si="4"/>
        <v>-6.5721686502211763E-6</v>
      </c>
      <c r="P22" s="7">
        <f t="shared" si="0"/>
        <v>-3.5369017646458842E-6</v>
      </c>
      <c r="Q22" s="7">
        <f t="shared" si="2"/>
        <v>-5.4768072085176478E-6</v>
      </c>
      <c r="R22" s="76">
        <f t="shared" si="5"/>
        <v>-2.6526763234844137E-9</v>
      </c>
      <c r="S22" s="77" t="e">
        <f t="shared" ca="1" si="6"/>
        <v>#NUM!</v>
      </c>
      <c r="T22" s="32" t="e">
        <f t="shared" ca="1" si="7"/>
        <v>#NUM!</v>
      </c>
      <c r="U22" s="32" t="e">
        <f t="shared" ca="1" si="8"/>
        <v>#NUM!</v>
      </c>
      <c r="V22" s="1"/>
      <c r="W22" s="9">
        <v>9</v>
      </c>
      <c r="X22" s="41">
        <f ca="1">T129</f>
        <v>0</v>
      </c>
      <c r="Y22" s="41" t="e">
        <f ca="1">U141</f>
        <v>#NUM!</v>
      </c>
    </row>
    <row r="23" spans="9:25" x14ac:dyDescent="0.2">
      <c r="I23" s="4">
        <v>11</v>
      </c>
      <c r="J23" s="7">
        <f t="shared" si="3"/>
        <v>0.25</v>
      </c>
      <c r="K23" s="7">
        <f t="shared" si="4"/>
        <v>0.16666666666666669</v>
      </c>
      <c r="L23" s="7">
        <f t="shared" si="4"/>
        <v>0</v>
      </c>
      <c r="M23" s="7">
        <f t="shared" si="4"/>
        <v>-4.2442821175750613E-6</v>
      </c>
      <c r="N23" s="7">
        <f t="shared" si="4"/>
        <v>0</v>
      </c>
      <c r="O23" s="7">
        <f t="shared" si="4"/>
        <v>-6.5721686502211763E-6</v>
      </c>
      <c r="P23" s="7">
        <f t="shared" si="0"/>
        <v>-3.8905919411104725E-6</v>
      </c>
      <c r="Q23" s="7">
        <f t="shared" si="2"/>
        <v>-6.0244879293694116E-6</v>
      </c>
      <c r="R23" s="76">
        <f t="shared" si="5"/>
        <v>-2.9474181372049035E-9</v>
      </c>
      <c r="S23" s="77" t="e">
        <f t="shared" ca="1" si="6"/>
        <v>#NUM!</v>
      </c>
      <c r="T23" s="32" t="e">
        <f t="shared" ca="1" si="7"/>
        <v>#NUM!</v>
      </c>
      <c r="U23" s="32" t="e">
        <f t="shared" ca="1" si="8"/>
        <v>#NUM!</v>
      </c>
      <c r="V23" s="1"/>
      <c r="W23" s="9">
        <v>10</v>
      </c>
      <c r="X23" s="41">
        <f ca="1">T142</f>
        <v>0</v>
      </c>
      <c r="Y23" s="41" t="e">
        <f ca="1">U154</f>
        <v>#NUM!</v>
      </c>
    </row>
    <row r="24" spans="9:25" x14ac:dyDescent="0.2">
      <c r="I24" s="4">
        <v>12</v>
      </c>
      <c r="J24" s="7">
        <f t="shared" si="3"/>
        <v>0.25</v>
      </c>
      <c r="K24" s="7">
        <f t="shared" si="4"/>
        <v>0.16666666666666669</v>
      </c>
      <c r="L24" s="7">
        <f t="shared" si="4"/>
        <v>0</v>
      </c>
      <c r="M24" s="7">
        <f t="shared" si="4"/>
        <v>-4.2442821175750613E-6</v>
      </c>
      <c r="N24" s="7">
        <f t="shared" si="4"/>
        <v>0</v>
      </c>
      <c r="O24" s="7">
        <f t="shared" si="4"/>
        <v>-6.5721686502211763E-6</v>
      </c>
      <c r="P24" s="7">
        <f t="shared" si="0"/>
        <v>-4.2442821175750613E-6</v>
      </c>
      <c r="Q24" s="7">
        <f t="shared" si="2"/>
        <v>-6.5721686502211763E-6</v>
      </c>
      <c r="R24" s="76">
        <f t="shared" si="5"/>
        <v>-3.2421599509253937E-9</v>
      </c>
      <c r="S24" s="77" t="e">
        <f t="shared" ca="1" si="6"/>
        <v>#NUM!</v>
      </c>
      <c r="T24" s="32" t="e">
        <f t="shared" ca="1" si="7"/>
        <v>#NUM!</v>
      </c>
      <c r="U24" s="33" t="e">
        <f t="shared" ca="1" si="8"/>
        <v>#NUM!</v>
      </c>
      <c r="V24" s="1"/>
      <c r="W24" s="1"/>
      <c r="X24" s="1"/>
      <c r="Y24" s="1"/>
    </row>
    <row r="25" spans="9:25" x14ac:dyDescent="0.2">
      <c r="I25" s="4">
        <v>0</v>
      </c>
      <c r="J25" s="46">
        <v>1</v>
      </c>
      <c r="K25" s="45">
        <f>J25-1/12</f>
        <v>0.91666666666666663</v>
      </c>
      <c r="L25" s="46">
        <f>beta_0+beta_1*((1-EXP(-lambda*J25))/(lambda*J25))+beta_2*((1-EXP(-lambda*J25))/(lambda*J25)-EXP(-lambda*J25))</f>
        <v>0</v>
      </c>
      <c r="M25" s="46">
        <f>beta_0_scen+beta_1_scen*((1-EXP(-lambda*J25))/(lambda*J25))+beta_2_scen*((1-EXP(-lambda*J25))/(lambda*J25)-EXP(-lambda*J25))</f>
        <v>1.16390912381031E-5</v>
      </c>
      <c r="N25" s="46">
        <f>beta_0+beta_1*((1-EXP(-lambda*K25))/(lambda*K25))+beta_2*((1-EXP(-lambda*K25))/(lambda*K25)-EXP(-lambda*K25))</f>
        <v>0</v>
      </c>
      <c r="O25" s="46">
        <f>beta_0_scen+beta_1_scen*((1-EXP(-lambda*K25))/(lambda*K25))+beta_2_scen*((1-EXP(-lambda*K25))/(lambda*K25)-EXP(-lambda*K25))</f>
        <v>1.0277001569219537E-5</v>
      </c>
      <c r="P25" s="45">
        <f t="shared" si="0"/>
        <v>0</v>
      </c>
      <c r="Q25" s="45">
        <f>N25+$I25*(O25-N25)/12</f>
        <v>0</v>
      </c>
      <c r="R25" s="50">
        <f>P25%/12</f>
        <v>0</v>
      </c>
      <c r="S25" s="51">
        <f ca="1">PRICE(TODAY(),TODAY()+K25*365.25,P25%,Q25%,100,2)/100-1</f>
        <v>0</v>
      </c>
      <c r="T25" s="52">
        <f ca="1">(1+R25+S25)^12-1</f>
        <v>0</v>
      </c>
      <c r="U25" s="47">
        <v>0</v>
      </c>
      <c r="V25" s="1"/>
      <c r="W25" s="1"/>
      <c r="X25" s="1"/>
      <c r="Y25" s="1"/>
    </row>
    <row r="26" spans="9:25" x14ac:dyDescent="0.2">
      <c r="I26" s="4">
        <v>1</v>
      </c>
      <c r="J26" s="45">
        <f t="shared" ref="J26:O26" si="9">J25</f>
        <v>1</v>
      </c>
      <c r="K26" s="45">
        <f t="shared" si="9"/>
        <v>0.91666666666666663</v>
      </c>
      <c r="L26" s="45">
        <f t="shared" si="9"/>
        <v>0</v>
      </c>
      <c r="M26" s="45">
        <f t="shared" si="9"/>
        <v>1.16390912381031E-5</v>
      </c>
      <c r="N26" s="45">
        <f t="shared" si="9"/>
        <v>0</v>
      </c>
      <c r="O26" s="45">
        <f t="shared" si="9"/>
        <v>1.0277001569219537E-5</v>
      </c>
      <c r="P26" s="45">
        <f t="shared" si="0"/>
        <v>9.6992426984192499E-7</v>
      </c>
      <c r="Q26" s="45">
        <f t="shared" ref="Q26:Q37" si="10">N26+$I26*(O26-N26)/12</f>
        <v>8.5641679743496139E-7</v>
      </c>
      <c r="R26" s="78">
        <f>P25%/12</f>
        <v>0</v>
      </c>
      <c r="S26" s="79">
        <f ca="1">PRICE(TODAY(),TODAY()+K26*365.25,P25%,Q26%,100,2)/100-1</f>
        <v>-7.8266978453811475E-9</v>
      </c>
      <c r="T26" s="47">
        <f ca="1">R26+S26</f>
        <v>-7.8266978453811475E-9</v>
      </c>
      <c r="U26" s="47">
        <f ca="1">(1+U25)*(1+T26)-1</f>
        <v>-7.8266978453811475E-9</v>
      </c>
      <c r="V26" s="1"/>
      <c r="W26" s="1"/>
      <c r="X26" s="1"/>
      <c r="Y26" s="1"/>
    </row>
    <row r="27" spans="9:25" x14ac:dyDescent="0.2">
      <c r="I27" s="4">
        <v>2</v>
      </c>
      <c r="J27" s="45">
        <f t="shared" ref="J27:O37" si="11">J26</f>
        <v>1</v>
      </c>
      <c r="K27" s="45">
        <f t="shared" si="11"/>
        <v>0.91666666666666663</v>
      </c>
      <c r="L27" s="45">
        <f t="shared" si="11"/>
        <v>0</v>
      </c>
      <c r="M27" s="45">
        <f t="shared" si="11"/>
        <v>1.16390912381031E-5</v>
      </c>
      <c r="N27" s="45">
        <f t="shared" si="11"/>
        <v>0</v>
      </c>
      <c r="O27" s="45">
        <f t="shared" si="11"/>
        <v>1.0277001569219537E-5</v>
      </c>
      <c r="P27" s="45">
        <f t="shared" si="0"/>
        <v>1.93984853968385E-6</v>
      </c>
      <c r="Q27" s="45">
        <f t="shared" si="10"/>
        <v>1.7128335948699228E-6</v>
      </c>
      <c r="R27" s="78">
        <f t="shared" ref="R27:R37" si="12">P26%/12</f>
        <v>8.0827022486827088E-10</v>
      </c>
      <c r="S27" s="79">
        <f t="shared" ref="S27:S37" ca="1" si="13">PRICE(TODAY(),TODAY()+K27*365.25,P26%,Q27%,100,2)/100-1</f>
        <v>-6.7893658473039409E-9</v>
      </c>
      <c r="T27" s="47">
        <f t="shared" ref="T27:T37" ca="1" si="14">R27+S27</f>
        <v>-5.98109562243567E-9</v>
      </c>
      <c r="U27" s="47">
        <f t="shared" ref="U27:U37" ca="1" si="15">(1+U26)*(1+T27)-1</f>
        <v>-1.3807793464160056E-8</v>
      </c>
      <c r="V27" s="1"/>
      <c r="W27" s="1"/>
      <c r="X27" s="1"/>
      <c r="Y27" s="1"/>
    </row>
    <row r="28" spans="9:25" x14ac:dyDescent="0.2">
      <c r="I28" s="4">
        <v>3</v>
      </c>
      <c r="J28" s="45">
        <f t="shared" si="11"/>
        <v>1</v>
      </c>
      <c r="K28" s="45">
        <f t="shared" si="11"/>
        <v>0.91666666666666663</v>
      </c>
      <c r="L28" s="45">
        <f t="shared" si="11"/>
        <v>0</v>
      </c>
      <c r="M28" s="45">
        <f t="shared" si="11"/>
        <v>1.16390912381031E-5</v>
      </c>
      <c r="N28" s="45">
        <f t="shared" si="11"/>
        <v>0</v>
      </c>
      <c r="O28" s="45">
        <f t="shared" si="11"/>
        <v>1.0277001569219537E-5</v>
      </c>
      <c r="P28" s="45">
        <f t="shared" si="0"/>
        <v>2.909772809525775E-6</v>
      </c>
      <c r="Q28" s="45">
        <f t="shared" si="10"/>
        <v>2.5692503923048842E-6</v>
      </c>
      <c r="R28" s="78">
        <f t="shared" si="12"/>
        <v>1.6165404497365418E-9</v>
      </c>
      <c r="S28" s="79">
        <f t="shared" ca="1" si="13"/>
        <v>-5.7520337382044318E-9</v>
      </c>
      <c r="T28" s="47">
        <f t="shared" ca="1" si="14"/>
        <v>-4.13549328846789E-9</v>
      </c>
      <c r="U28" s="47">
        <f t="shared" ca="1" si="15"/>
        <v>-1.7943286634292122E-8</v>
      </c>
      <c r="V28" s="1"/>
      <c r="W28" s="1"/>
      <c r="X28" s="1"/>
      <c r="Y28" s="1"/>
    </row>
    <row r="29" spans="9:25" x14ac:dyDescent="0.2">
      <c r="I29" s="4">
        <v>4</v>
      </c>
      <c r="J29" s="45">
        <f t="shared" si="11"/>
        <v>1</v>
      </c>
      <c r="K29" s="45">
        <f t="shared" si="11"/>
        <v>0.91666666666666663</v>
      </c>
      <c r="L29" s="45">
        <f t="shared" si="11"/>
        <v>0</v>
      </c>
      <c r="M29" s="45">
        <f t="shared" si="11"/>
        <v>1.16390912381031E-5</v>
      </c>
      <c r="N29" s="45">
        <f t="shared" si="11"/>
        <v>0</v>
      </c>
      <c r="O29" s="45">
        <f t="shared" si="11"/>
        <v>1.0277001569219537E-5</v>
      </c>
      <c r="P29" s="45">
        <f t="shared" si="0"/>
        <v>3.8796970793677E-6</v>
      </c>
      <c r="Q29" s="45">
        <f t="shared" si="10"/>
        <v>3.4256671897398455E-6</v>
      </c>
      <c r="R29" s="78">
        <f t="shared" si="12"/>
        <v>2.4248106746048122E-9</v>
      </c>
      <c r="S29" s="79">
        <f t="shared" ca="1" si="13"/>
        <v>-4.7147011850157128E-9</v>
      </c>
      <c r="T29" s="47">
        <f t="shared" ca="1" si="14"/>
        <v>-2.2898905104109006E-9</v>
      </c>
      <c r="U29" s="47">
        <f t="shared" ca="1" si="15"/>
        <v>-2.0233177133732738E-8</v>
      </c>
      <c r="V29" s="1"/>
      <c r="W29" s="1"/>
      <c r="X29" s="1"/>
      <c r="Y29" s="1"/>
    </row>
    <row r="30" spans="9:25" x14ac:dyDescent="0.2">
      <c r="I30" s="4">
        <v>5</v>
      </c>
      <c r="J30" s="45">
        <f t="shared" si="11"/>
        <v>1</v>
      </c>
      <c r="K30" s="45">
        <f t="shared" si="11"/>
        <v>0.91666666666666663</v>
      </c>
      <c r="L30" s="45">
        <f t="shared" si="11"/>
        <v>0</v>
      </c>
      <c r="M30" s="45">
        <f t="shared" si="11"/>
        <v>1.16390912381031E-5</v>
      </c>
      <c r="N30" s="45">
        <f t="shared" si="11"/>
        <v>0</v>
      </c>
      <c r="O30" s="45">
        <f t="shared" si="11"/>
        <v>1.0277001569219537E-5</v>
      </c>
      <c r="P30" s="45">
        <f t="shared" si="0"/>
        <v>4.8496213492096249E-6</v>
      </c>
      <c r="Q30" s="45">
        <f t="shared" si="10"/>
        <v>4.2820839871748069E-6</v>
      </c>
      <c r="R30" s="78">
        <f t="shared" si="12"/>
        <v>3.2330808994730835E-9</v>
      </c>
      <c r="S30" s="79">
        <f t="shared" ca="1" si="13"/>
        <v>-3.6773690759162037E-9</v>
      </c>
      <c r="T30" s="47">
        <f t="shared" ca="1" si="14"/>
        <v>-4.4428817644312014E-10</v>
      </c>
      <c r="U30" s="47">
        <f t="shared" ca="1" si="15"/>
        <v>-2.0677465295548814E-8</v>
      </c>
      <c r="V30" s="1"/>
      <c r="W30" s="1"/>
      <c r="X30" s="1"/>
      <c r="Y30" s="1"/>
    </row>
    <row r="31" spans="9:25" x14ac:dyDescent="0.2">
      <c r="I31" s="4">
        <v>6</v>
      </c>
      <c r="J31" s="45">
        <f t="shared" si="11"/>
        <v>1</v>
      </c>
      <c r="K31" s="45">
        <f t="shared" si="11"/>
        <v>0.91666666666666663</v>
      </c>
      <c r="L31" s="45">
        <f t="shared" si="11"/>
        <v>0</v>
      </c>
      <c r="M31" s="45">
        <f t="shared" si="11"/>
        <v>1.16390912381031E-5</v>
      </c>
      <c r="N31" s="45">
        <f t="shared" si="11"/>
        <v>0</v>
      </c>
      <c r="O31" s="45">
        <f t="shared" si="11"/>
        <v>1.0277001569219537E-5</v>
      </c>
      <c r="P31" s="45">
        <f t="shared" si="0"/>
        <v>5.8195456190515499E-6</v>
      </c>
      <c r="Q31" s="45">
        <f t="shared" si="10"/>
        <v>5.1385007846097683E-6</v>
      </c>
      <c r="R31" s="78">
        <f t="shared" si="12"/>
        <v>4.0413511243413544E-9</v>
      </c>
      <c r="S31" s="79">
        <f t="shared" ca="1" si="13"/>
        <v>-2.640037077838997E-9</v>
      </c>
      <c r="T31" s="47">
        <f t="shared" ca="1" si="14"/>
        <v>1.4013140465023574E-9</v>
      </c>
      <c r="U31" s="47">
        <f t="shared" ca="1" si="15"/>
        <v>-1.9276151341784953E-8</v>
      </c>
      <c r="V31" s="1"/>
      <c r="W31" s="1"/>
      <c r="X31" s="1"/>
      <c r="Y31" s="1"/>
    </row>
    <row r="32" spans="9:25" x14ac:dyDescent="0.2">
      <c r="I32" s="4">
        <v>7</v>
      </c>
      <c r="J32" s="45">
        <f t="shared" si="11"/>
        <v>1</v>
      </c>
      <c r="K32" s="45">
        <f t="shared" si="11"/>
        <v>0.91666666666666663</v>
      </c>
      <c r="L32" s="45">
        <f t="shared" si="11"/>
        <v>0</v>
      </c>
      <c r="M32" s="45">
        <f t="shared" si="11"/>
        <v>1.16390912381031E-5</v>
      </c>
      <c r="N32" s="45">
        <f t="shared" si="11"/>
        <v>0</v>
      </c>
      <c r="O32" s="45">
        <f t="shared" si="11"/>
        <v>1.0277001569219537E-5</v>
      </c>
      <c r="P32" s="45">
        <f t="shared" si="0"/>
        <v>6.7894698888934758E-6</v>
      </c>
      <c r="Q32" s="45">
        <f t="shared" si="10"/>
        <v>5.9949175820447297E-6</v>
      </c>
      <c r="R32" s="78">
        <f t="shared" si="12"/>
        <v>4.8496213492096244E-9</v>
      </c>
      <c r="S32" s="79">
        <f t="shared" ca="1" si="13"/>
        <v>-1.6027048577171854E-9</v>
      </c>
      <c r="T32" s="47">
        <f t="shared" ca="1" si="14"/>
        <v>3.246916491492439E-9</v>
      </c>
      <c r="U32" s="47">
        <f t="shared" ca="1" si="15"/>
        <v>-1.6029234939374248E-8</v>
      </c>
      <c r="V32" s="1"/>
      <c r="W32" s="1"/>
      <c r="X32" s="1"/>
      <c r="Y32" s="1"/>
    </row>
    <row r="33" spans="9:25" x14ac:dyDescent="0.2">
      <c r="I33" s="4">
        <v>8</v>
      </c>
      <c r="J33" s="45">
        <f t="shared" si="11"/>
        <v>1</v>
      </c>
      <c r="K33" s="45">
        <f t="shared" si="11"/>
        <v>0.91666666666666663</v>
      </c>
      <c r="L33" s="45">
        <f t="shared" si="11"/>
        <v>0</v>
      </c>
      <c r="M33" s="45">
        <f t="shared" si="11"/>
        <v>1.16390912381031E-5</v>
      </c>
      <c r="N33" s="45">
        <f t="shared" si="11"/>
        <v>0</v>
      </c>
      <c r="O33" s="45">
        <f t="shared" si="11"/>
        <v>1.0277001569219537E-5</v>
      </c>
      <c r="P33" s="45">
        <f t="shared" si="0"/>
        <v>7.7593941587353999E-6</v>
      </c>
      <c r="Q33" s="45">
        <f t="shared" si="10"/>
        <v>6.8513343794796911E-6</v>
      </c>
      <c r="R33" s="78">
        <f t="shared" si="12"/>
        <v>5.6578915740778961E-9</v>
      </c>
      <c r="S33" s="79">
        <f t="shared" ca="1" si="13"/>
        <v>-5.6537285963997874E-10</v>
      </c>
      <c r="T33" s="47">
        <f t="shared" ca="1" si="14"/>
        <v>5.0925187144379174E-9</v>
      </c>
      <c r="U33" s="47">
        <f t="shared" ca="1" si="15"/>
        <v>-1.0936716421383608E-8</v>
      </c>
      <c r="V33" s="1"/>
      <c r="W33" s="1"/>
      <c r="X33" s="1"/>
      <c r="Y33" s="1"/>
    </row>
    <row r="34" spans="9:25" x14ac:dyDescent="0.2">
      <c r="I34" s="4">
        <v>9</v>
      </c>
      <c r="J34" s="45">
        <f t="shared" si="11"/>
        <v>1</v>
      </c>
      <c r="K34" s="45">
        <f t="shared" si="11"/>
        <v>0.91666666666666663</v>
      </c>
      <c r="L34" s="45">
        <f t="shared" si="11"/>
        <v>0</v>
      </c>
      <c r="M34" s="45">
        <f t="shared" si="11"/>
        <v>1.16390912381031E-5</v>
      </c>
      <c r="N34" s="45">
        <f t="shared" si="11"/>
        <v>0</v>
      </c>
      <c r="O34" s="45">
        <f t="shared" si="11"/>
        <v>1.0277001569219537E-5</v>
      </c>
      <c r="P34" s="45">
        <f t="shared" si="0"/>
        <v>8.7293184285773249E-6</v>
      </c>
      <c r="Q34" s="45">
        <f t="shared" si="10"/>
        <v>7.7077511769146525E-6</v>
      </c>
      <c r="R34" s="78">
        <f t="shared" si="12"/>
        <v>6.466161798946167E-9</v>
      </c>
      <c r="S34" s="79">
        <f t="shared" ca="1" si="13"/>
        <v>4.7195936048183285E-10</v>
      </c>
      <c r="T34" s="47">
        <f t="shared" ca="1" si="14"/>
        <v>6.9381211594279999E-9</v>
      </c>
      <c r="U34" s="47">
        <f t="shared" ca="1" si="15"/>
        <v>-3.9985953437238209E-9</v>
      </c>
      <c r="V34" s="1"/>
      <c r="W34" s="1"/>
      <c r="X34" s="1"/>
      <c r="Y34" s="1"/>
    </row>
    <row r="35" spans="9:25" x14ac:dyDescent="0.2">
      <c r="I35" s="4">
        <v>10</v>
      </c>
      <c r="J35" s="45">
        <f t="shared" si="11"/>
        <v>1</v>
      </c>
      <c r="K35" s="45">
        <f t="shared" si="11"/>
        <v>0.91666666666666663</v>
      </c>
      <c r="L35" s="45">
        <f t="shared" si="11"/>
        <v>0</v>
      </c>
      <c r="M35" s="45">
        <f t="shared" si="11"/>
        <v>1.16390912381031E-5</v>
      </c>
      <c r="N35" s="45">
        <f t="shared" si="11"/>
        <v>0</v>
      </c>
      <c r="O35" s="45">
        <f t="shared" si="11"/>
        <v>1.0277001569219537E-5</v>
      </c>
      <c r="P35" s="45">
        <f t="shared" si="0"/>
        <v>9.6992426984192499E-6</v>
      </c>
      <c r="Q35" s="45">
        <f t="shared" si="10"/>
        <v>8.5641679743496139E-6</v>
      </c>
      <c r="R35" s="78">
        <f t="shared" si="12"/>
        <v>7.2744320238144379E-9</v>
      </c>
      <c r="S35" s="79">
        <f t="shared" ca="1" si="13"/>
        <v>1.5092915806036444E-9</v>
      </c>
      <c r="T35" s="47">
        <f t="shared" ca="1" si="14"/>
        <v>8.7837236044180832E-9</v>
      </c>
      <c r="U35" s="47">
        <f t="shared" ca="1" si="15"/>
        <v>4.7851280715605071E-9</v>
      </c>
      <c r="V35" s="1"/>
      <c r="W35" s="1"/>
      <c r="X35" s="1"/>
      <c r="Y35" s="1"/>
    </row>
    <row r="36" spans="9:25" x14ac:dyDescent="0.2">
      <c r="I36" s="4">
        <v>11</v>
      </c>
      <c r="J36" s="45">
        <f t="shared" si="11"/>
        <v>1</v>
      </c>
      <c r="K36" s="45">
        <f t="shared" si="11"/>
        <v>0.91666666666666663</v>
      </c>
      <c r="L36" s="45">
        <f t="shared" si="11"/>
        <v>0</v>
      </c>
      <c r="M36" s="45">
        <f t="shared" si="11"/>
        <v>1.16390912381031E-5</v>
      </c>
      <c r="N36" s="45">
        <f t="shared" si="11"/>
        <v>0</v>
      </c>
      <c r="O36" s="45">
        <f t="shared" si="11"/>
        <v>1.0277001569219537E-5</v>
      </c>
      <c r="P36" s="45">
        <f t="shared" si="0"/>
        <v>1.0669166968261175E-5</v>
      </c>
      <c r="Q36" s="45">
        <f t="shared" si="10"/>
        <v>9.4205847717845753E-6</v>
      </c>
      <c r="R36" s="78">
        <f t="shared" si="12"/>
        <v>8.0827022486827088E-9</v>
      </c>
      <c r="S36" s="79">
        <f t="shared" ca="1" si="13"/>
        <v>2.5466235786808511E-9</v>
      </c>
      <c r="T36" s="47">
        <f t="shared" ca="1" si="14"/>
        <v>1.062932582736356E-8</v>
      </c>
      <c r="U36" s="47">
        <f t="shared" ca="1" si="15"/>
        <v>1.5414453935491679E-8</v>
      </c>
      <c r="V36" s="1"/>
      <c r="W36" s="1"/>
      <c r="X36" s="1"/>
      <c r="Y36" s="1"/>
    </row>
    <row r="37" spans="9:25" x14ac:dyDescent="0.2">
      <c r="I37" s="4">
        <v>12</v>
      </c>
      <c r="J37" s="45">
        <f t="shared" si="11"/>
        <v>1</v>
      </c>
      <c r="K37" s="45">
        <f t="shared" si="11"/>
        <v>0.91666666666666663</v>
      </c>
      <c r="L37" s="45">
        <f t="shared" si="11"/>
        <v>0</v>
      </c>
      <c r="M37" s="45">
        <f t="shared" si="11"/>
        <v>1.16390912381031E-5</v>
      </c>
      <c r="N37" s="45">
        <f t="shared" si="11"/>
        <v>0</v>
      </c>
      <c r="O37" s="45">
        <f t="shared" si="11"/>
        <v>1.0277001569219537E-5</v>
      </c>
      <c r="P37" s="45">
        <f t="shared" si="0"/>
        <v>1.16390912381031E-5</v>
      </c>
      <c r="Q37" s="45">
        <f t="shared" si="10"/>
        <v>1.0277001569219537E-5</v>
      </c>
      <c r="R37" s="78">
        <f t="shared" si="12"/>
        <v>8.8909724735509788E-9</v>
      </c>
      <c r="S37" s="79">
        <f t="shared" ca="1" si="13"/>
        <v>3.5839555767580578E-9</v>
      </c>
      <c r="T37" s="47">
        <f t="shared" ca="1" si="14"/>
        <v>1.2474928050309037E-8</v>
      </c>
      <c r="U37" s="48">
        <f t="shared" ca="1" si="15"/>
        <v>2.7889382137047392E-8</v>
      </c>
      <c r="V37" s="1"/>
      <c r="W37" s="1"/>
      <c r="X37" s="1"/>
      <c r="Y37" s="1"/>
    </row>
    <row r="38" spans="9:25" x14ac:dyDescent="0.2">
      <c r="I38" s="4">
        <v>0</v>
      </c>
      <c r="J38" s="15">
        <v>2</v>
      </c>
      <c r="K38" s="7">
        <f>J38-1/12</f>
        <v>1.9166666666666667</v>
      </c>
      <c r="L38" s="15">
        <f>beta_0+beta_1*((1-EXP(-lambda*J38))/(lambda*J38))+beta_2*((1-EXP(-lambda*J38))/(lambda*J38)-EXP(-lambda*J38))</f>
        <v>0</v>
      </c>
      <c r="M38" s="15">
        <f>beta_0_scen+beta_1_scen*((1-EXP(-lambda*J38))/(lambda*J38))+beta_2_scen*((1-EXP(-lambda*J38))/(lambda*J38)-EXP(-lambda*J38))</f>
        <v>2.194415639342129E-5</v>
      </c>
      <c r="N38" s="15">
        <f>beta_0+beta_1*((1-EXP(-lambda*K38))/(lambda*K38))+beta_2*((1-EXP(-lambda*K38))/(lambda*K38)-EXP(-lambda*K38))</f>
        <v>0</v>
      </c>
      <c r="O38" s="15">
        <f>beta_0_scen+beta_1_scen*((1-EXP(-lambda*K38))/(lambda*K38))+beta_2_scen*((1-EXP(-lambda*K38))/(lambda*K38)-EXP(-lambda*K38))</f>
        <v>2.1449709593754826E-5</v>
      </c>
      <c r="P38" s="7">
        <f t="shared" si="0"/>
        <v>0</v>
      </c>
      <c r="Q38" s="7">
        <f>N38+$I38*(O38-N38)/12</f>
        <v>0</v>
      </c>
      <c r="R38" s="43">
        <f>P38%/12</f>
        <v>0</v>
      </c>
      <c r="S38" s="44">
        <f ca="1">PRICE(TODAY(),TODAY()+K38*365.25,P38%,Q38%,100,2)/100-1</f>
        <v>0</v>
      </c>
      <c r="T38" s="49">
        <f ca="1">(1+R38+S38)^12-1</f>
        <v>0</v>
      </c>
      <c r="U38" s="32">
        <v>0</v>
      </c>
      <c r="V38" s="1"/>
      <c r="W38" s="1"/>
      <c r="X38" s="1"/>
      <c r="Y38" s="1"/>
    </row>
    <row r="39" spans="9:25" x14ac:dyDescent="0.2">
      <c r="I39" s="4">
        <v>1</v>
      </c>
      <c r="J39" s="7">
        <f t="shared" ref="J39:O39" si="16">J38</f>
        <v>2</v>
      </c>
      <c r="K39" s="7">
        <f t="shared" si="16"/>
        <v>1.9166666666666667</v>
      </c>
      <c r="L39" s="7">
        <f t="shared" si="16"/>
        <v>0</v>
      </c>
      <c r="M39" s="7">
        <f t="shared" si="16"/>
        <v>2.194415639342129E-5</v>
      </c>
      <c r="N39" s="7">
        <f t="shared" si="16"/>
        <v>0</v>
      </c>
      <c r="O39" s="7">
        <f t="shared" si="16"/>
        <v>2.1449709593754826E-5</v>
      </c>
      <c r="P39" s="7">
        <f t="shared" si="0"/>
        <v>1.8286796994517742E-6</v>
      </c>
      <c r="Q39" s="7">
        <f t="shared" ref="Q39:Q50" si="17">N39+$I39*(O39-N39)/12</f>
        <v>1.7874757994795689E-6</v>
      </c>
      <c r="R39" s="76">
        <f>P38%/12</f>
        <v>0</v>
      </c>
      <c r="S39" s="77">
        <f ca="1">PRICE(TODAY(),TODAY()+K39*365.25,P38%,Q39%,100,2)/100-1</f>
        <v>-3.4210300259296389E-8</v>
      </c>
      <c r="T39" s="32">
        <f ca="1">R39+S39</f>
        <v>-3.4210300259296389E-8</v>
      </c>
      <c r="U39" s="32">
        <f ca="1">(1+U38)*(1+T39)-1</f>
        <v>-3.4210300259296389E-8</v>
      </c>
      <c r="V39" s="1"/>
      <c r="W39" s="1"/>
      <c r="X39" s="1"/>
      <c r="Y39" s="1"/>
    </row>
    <row r="40" spans="9:25" x14ac:dyDescent="0.2">
      <c r="I40" s="4">
        <v>2</v>
      </c>
      <c r="J40" s="7">
        <f t="shared" ref="J40:O50" si="18">J39</f>
        <v>2</v>
      </c>
      <c r="K40" s="7">
        <f t="shared" si="18"/>
        <v>1.9166666666666667</v>
      </c>
      <c r="L40" s="7">
        <f t="shared" si="18"/>
        <v>0</v>
      </c>
      <c r="M40" s="7">
        <f t="shared" si="18"/>
        <v>2.194415639342129E-5</v>
      </c>
      <c r="N40" s="7">
        <f t="shared" si="18"/>
        <v>0</v>
      </c>
      <c r="O40" s="7">
        <f t="shared" si="18"/>
        <v>2.1449709593754826E-5</v>
      </c>
      <c r="P40" s="7">
        <f t="shared" si="0"/>
        <v>3.6573593989035485E-6</v>
      </c>
      <c r="Q40" s="7">
        <f t="shared" si="17"/>
        <v>3.5749515989591378E-6</v>
      </c>
      <c r="R40" s="76">
        <f t="shared" ref="R40:R50" si="19">P39%/12</f>
        <v>1.5238997495431453E-9</v>
      </c>
      <c r="S40" s="77">
        <f t="shared" ref="S40:S50" ca="1" si="20">PRICE(TODAY(),TODAY()+K40*365.25,P39%,Q40%,100,2)/100-1</f>
        <v>-3.342170207254469E-8</v>
      </c>
      <c r="T40" s="32">
        <f t="shared" ref="T40:T50" ca="1" si="21">R40+S40</f>
        <v>-3.1897802323001544E-8</v>
      </c>
      <c r="U40" s="32">
        <f t="shared" ref="U40:U50" ca="1" si="22">(1+U39)*(1+T40)-1</f>
        <v>-6.6108101437478695E-8</v>
      </c>
      <c r="V40" s="1"/>
      <c r="W40" s="1"/>
      <c r="X40" s="1"/>
      <c r="Y40" s="1"/>
    </row>
    <row r="41" spans="9:25" x14ac:dyDescent="0.2">
      <c r="I41" s="4">
        <v>3</v>
      </c>
      <c r="J41" s="7">
        <f t="shared" si="18"/>
        <v>2</v>
      </c>
      <c r="K41" s="7">
        <f t="shared" si="18"/>
        <v>1.9166666666666667</v>
      </c>
      <c r="L41" s="7">
        <f t="shared" si="18"/>
        <v>0</v>
      </c>
      <c r="M41" s="7">
        <f t="shared" si="18"/>
        <v>2.194415639342129E-5</v>
      </c>
      <c r="N41" s="7">
        <f t="shared" si="18"/>
        <v>0</v>
      </c>
      <c r="O41" s="7">
        <f t="shared" si="18"/>
        <v>2.1449709593754826E-5</v>
      </c>
      <c r="P41" s="7">
        <f t="shared" si="0"/>
        <v>5.4860390983553225E-6</v>
      </c>
      <c r="Q41" s="7">
        <f t="shared" si="17"/>
        <v>5.3624273984387065E-6</v>
      </c>
      <c r="R41" s="76">
        <f t="shared" si="19"/>
        <v>3.0477994990862905E-9</v>
      </c>
      <c r="S41" s="77">
        <f t="shared" ca="1" si="20"/>
        <v>-3.2633104884993713E-8</v>
      </c>
      <c r="T41" s="32">
        <f t="shared" ca="1" si="21"/>
        <v>-2.9585305385907421E-8</v>
      </c>
      <c r="U41" s="32">
        <f t="shared" ca="1" si="22"/>
        <v>-9.5693404866814546E-8</v>
      </c>
      <c r="V41" s="1"/>
      <c r="W41" s="1"/>
      <c r="X41" s="1"/>
      <c r="Y41" s="1"/>
    </row>
    <row r="42" spans="9:25" x14ac:dyDescent="0.2">
      <c r="I42" s="4">
        <v>4</v>
      </c>
      <c r="J42" s="7">
        <f t="shared" si="18"/>
        <v>2</v>
      </c>
      <c r="K42" s="7">
        <f t="shared" si="18"/>
        <v>1.9166666666666667</v>
      </c>
      <c r="L42" s="7">
        <f t="shared" si="18"/>
        <v>0</v>
      </c>
      <c r="M42" s="7">
        <f t="shared" si="18"/>
        <v>2.194415639342129E-5</v>
      </c>
      <c r="N42" s="7">
        <f t="shared" si="18"/>
        <v>0</v>
      </c>
      <c r="O42" s="7">
        <f t="shared" si="18"/>
        <v>2.1449709593754826E-5</v>
      </c>
      <c r="P42" s="7">
        <f t="shared" si="0"/>
        <v>7.314718797807097E-6</v>
      </c>
      <c r="Q42" s="7">
        <f t="shared" si="17"/>
        <v>7.1499031979182756E-6</v>
      </c>
      <c r="R42" s="76">
        <f t="shared" si="19"/>
        <v>4.5716992486294358E-9</v>
      </c>
      <c r="S42" s="77">
        <f t="shared" ca="1" si="20"/>
        <v>-3.1844507808465039E-8</v>
      </c>
      <c r="T42" s="32">
        <f t="shared" ca="1" si="21"/>
        <v>-2.7272808559835604E-8</v>
      </c>
      <c r="U42" s="32">
        <f t="shared" ca="1" si="22"/>
        <v>-1.2296621076934855E-7</v>
      </c>
      <c r="V42" s="1"/>
      <c r="W42" s="1"/>
      <c r="X42" s="1"/>
      <c r="Y42" s="1"/>
    </row>
    <row r="43" spans="9:25" x14ac:dyDescent="0.2">
      <c r="I43" s="4">
        <v>5</v>
      </c>
      <c r="J43" s="7">
        <f t="shared" si="18"/>
        <v>2</v>
      </c>
      <c r="K43" s="7">
        <f t="shared" si="18"/>
        <v>1.9166666666666667</v>
      </c>
      <c r="L43" s="7">
        <f t="shared" si="18"/>
        <v>0</v>
      </c>
      <c r="M43" s="7">
        <f t="shared" si="18"/>
        <v>2.194415639342129E-5</v>
      </c>
      <c r="N43" s="7">
        <f t="shared" si="18"/>
        <v>0</v>
      </c>
      <c r="O43" s="7">
        <f t="shared" si="18"/>
        <v>2.1449709593754826E-5</v>
      </c>
      <c r="P43" s="7">
        <f t="shared" si="0"/>
        <v>9.1433984972588714E-6</v>
      </c>
      <c r="Q43" s="7">
        <f t="shared" si="17"/>
        <v>8.9373789973978447E-6</v>
      </c>
      <c r="R43" s="76">
        <f t="shared" si="19"/>
        <v>6.095598998172581E-9</v>
      </c>
      <c r="S43" s="77">
        <f t="shared" ca="1" si="20"/>
        <v>-3.1055910176824852E-8</v>
      </c>
      <c r="T43" s="32">
        <f t="shared" ca="1" si="21"/>
        <v>-2.4960311178652271E-8</v>
      </c>
      <c r="U43" s="32">
        <f t="shared" ca="1" si="22"/>
        <v>-1.479265188120138E-7</v>
      </c>
      <c r="V43" s="1"/>
      <c r="W43" s="1"/>
      <c r="X43" s="1"/>
      <c r="Y43" s="1"/>
    </row>
    <row r="44" spans="9:25" x14ac:dyDescent="0.2">
      <c r="I44" s="4">
        <v>6</v>
      </c>
      <c r="J44" s="7">
        <f t="shared" si="18"/>
        <v>2</v>
      </c>
      <c r="K44" s="7">
        <f t="shared" si="18"/>
        <v>1.9166666666666667</v>
      </c>
      <c r="L44" s="7">
        <f t="shared" si="18"/>
        <v>0</v>
      </c>
      <c r="M44" s="7">
        <f t="shared" si="18"/>
        <v>2.194415639342129E-5</v>
      </c>
      <c r="N44" s="7">
        <f t="shared" si="18"/>
        <v>0</v>
      </c>
      <c r="O44" s="7">
        <f t="shared" si="18"/>
        <v>2.1449709593754826E-5</v>
      </c>
      <c r="P44" s="7">
        <f t="shared" ref="P44:P75" si="23">L44+$I44*(M44-L44)/12</f>
        <v>1.0972078196710645E-5</v>
      </c>
      <c r="Q44" s="7">
        <f t="shared" si="17"/>
        <v>1.0724854796877413E-5</v>
      </c>
      <c r="R44" s="76">
        <f t="shared" si="19"/>
        <v>7.6194987477157255E-9</v>
      </c>
      <c r="S44" s="77">
        <f t="shared" ca="1" si="20"/>
        <v>-3.0267312212117758E-8</v>
      </c>
      <c r="T44" s="32">
        <f t="shared" ca="1" si="21"/>
        <v>-2.2647813464402035E-8</v>
      </c>
      <c r="U44" s="32">
        <f t="shared" ca="1" si="22"/>
        <v>-1.7057432899481029E-7</v>
      </c>
      <c r="V44" s="1"/>
      <c r="W44" s="1"/>
      <c r="X44" s="1"/>
      <c r="Y44" s="1"/>
    </row>
    <row r="45" spans="9:25" x14ac:dyDescent="0.2">
      <c r="I45" s="4">
        <v>7</v>
      </c>
      <c r="J45" s="7">
        <f t="shared" si="18"/>
        <v>2</v>
      </c>
      <c r="K45" s="7">
        <f t="shared" si="18"/>
        <v>1.9166666666666667</v>
      </c>
      <c r="L45" s="7">
        <f t="shared" si="18"/>
        <v>0</v>
      </c>
      <c r="M45" s="7">
        <f t="shared" si="18"/>
        <v>2.194415639342129E-5</v>
      </c>
      <c r="N45" s="7">
        <f t="shared" si="18"/>
        <v>0</v>
      </c>
      <c r="O45" s="7">
        <f t="shared" si="18"/>
        <v>2.1449709593754826E-5</v>
      </c>
      <c r="P45" s="7">
        <f t="shared" si="23"/>
        <v>1.2800757896162419E-5</v>
      </c>
      <c r="Q45" s="7">
        <f t="shared" si="17"/>
        <v>1.2512330596356981E-5</v>
      </c>
      <c r="R45" s="76">
        <f t="shared" si="19"/>
        <v>9.1433984972588715E-9</v>
      </c>
      <c r="S45" s="77">
        <f t="shared" ca="1" si="20"/>
        <v>-2.9478715246611387E-8</v>
      </c>
      <c r="T45" s="32">
        <f t="shared" ca="1" si="21"/>
        <v>-2.0335316749352517E-8</v>
      </c>
      <c r="U45" s="32">
        <f t="shared" ca="1" si="22"/>
        <v>-1.9090964231693874E-7</v>
      </c>
      <c r="V45" s="1"/>
      <c r="W45" s="1"/>
      <c r="X45" s="1"/>
      <c r="Y45" s="1"/>
    </row>
    <row r="46" spans="9:25" x14ac:dyDescent="0.2">
      <c r="I46" s="4">
        <v>8</v>
      </c>
      <c r="J46" s="7">
        <f t="shared" si="18"/>
        <v>2</v>
      </c>
      <c r="K46" s="7">
        <f t="shared" si="18"/>
        <v>1.9166666666666667</v>
      </c>
      <c r="L46" s="7">
        <f t="shared" si="18"/>
        <v>0</v>
      </c>
      <c r="M46" s="7">
        <f t="shared" si="18"/>
        <v>2.194415639342129E-5</v>
      </c>
      <c r="N46" s="7">
        <f t="shared" si="18"/>
        <v>0</v>
      </c>
      <c r="O46" s="7">
        <f t="shared" si="18"/>
        <v>2.1449709593754826E-5</v>
      </c>
      <c r="P46" s="7">
        <f t="shared" si="23"/>
        <v>1.4629437595614194E-5</v>
      </c>
      <c r="Q46" s="7">
        <f t="shared" si="17"/>
        <v>1.4299806395836551E-5</v>
      </c>
      <c r="R46" s="76">
        <f t="shared" si="19"/>
        <v>1.0667298246802016E-8</v>
      </c>
      <c r="S46" s="77">
        <f t="shared" ca="1" si="20"/>
        <v>-2.8690118281105015E-8</v>
      </c>
      <c r="T46" s="32">
        <f t="shared" ca="1" si="21"/>
        <v>-1.8022820034302999E-8</v>
      </c>
      <c r="U46" s="32">
        <f t="shared" ca="1" si="22"/>
        <v>-2.0893245888942147E-7</v>
      </c>
      <c r="V46" s="1"/>
      <c r="W46" s="1"/>
      <c r="X46" s="1"/>
      <c r="Y46" s="1"/>
    </row>
    <row r="47" spans="9:25" x14ac:dyDescent="0.2">
      <c r="I47" s="4">
        <v>9</v>
      </c>
      <c r="J47" s="7">
        <f t="shared" si="18"/>
        <v>2</v>
      </c>
      <c r="K47" s="7">
        <f t="shared" si="18"/>
        <v>1.9166666666666667</v>
      </c>
      <c r="L47" s="7">
        <f t="shared" si="18"/>
        <v>0</v>
      </c>
      <c r="M47" s="7">
        <f t="shared" si="18"/>
        <v>2.194415639342129E-5</v>
      </c>
      <c r="N47" s="7">
        <f t="shared" si="18"/>
        <v>0</v>
      </c>
      <c r="O47" s="7">
        <f t="shared" si="18"/>
        <v>2.1449709593754826E-5</v>
      </c>
      <c r="P47" s="7">
        <f t="shared" si="23"/>
        <v>1.6458117295065968E-5</v>
      </c>
      <c r="Q47" s="7">
        <f t="shared" si="17"/>
        <v>1.6087282195316119E-5</v>
      </c>
      <c r="R47" s="76">
        <f t="shared" si="19"/>
        <v>1.2191197996345162E-8</v>
      </c>
      <c r="S47" s="77">
        <f t="shared" ca="1" si="20"/>
        <v>-2.7901521204576341E-8</v>
      </c>
      <c r="T47" s="32">
        <f t="shared" ca="1" si="21"/>
        <v>-1.5710323208231179E-8</v>
      </c>
      <c r="U47" s="32">
        <f t="shared" ca="1" si="22"/>
        <v>-2.2464277871225846E-7</v>
      </c>
      <c r="V47" s="1"/>
      <c r="W47" s="1"/>
      <c r="X47" s="1"/>
      <c r="Y47" s="1"/>
    </row>
    <row r="48" spans="9:25" x14ac:dyDescent="0.2">
      <c r="I48" s="4">
        <v>10</v>
      </c>
      <c r="J48" s="7">
        <f t="shared" si="18"/>
        <v>2</v>
      </c>
      <c r="K48" s="7">
        <f t="shared" si="18"/>
        <v>1.9166666666666667</v>
      </c>
      <c r="L48" s="7">
        <f t="shared" si="18"/>
        <v>0</v>
      </c>
      <c r="M48" s="7">
        <f t="shared" si="18"/>
        <v>2.194415639342129E-5</v>
      </c>
      <c r="N48" s="7">
        <f t="shared" si="18"/>
        <v>0</v>
      </c>
      <c r="O48" s="7">
        <f t="shared" si="18"/>
        <v>2.1449709593754826E-5</v>
      </c>
      <c r="P48" s="7">
        <f t="shared" si="23"/>
        <v>1.8286796994517743E-5</v>
      </c>
      <c r="Q48" s="7">
        <f t="shared" si="17"/>
        <v>1.7874757994795689E-5</v>
      </c>
      <c r="R48" s="76">
        <f t="shared" si="19"/>
        <v>1.3715097745888306E-8</v>
      </c>
      <c r="S48" s="77">
        <f t="shared" ca="1" si="20"/>
        <v>-2.7112923350891549E-8</v>
      </c>
      <c r="T48" s="32">
        <f t="shared" ca="1" si="21"/>
        <v>-1.3397825605003243E-8</v>
      </c>
      <c r="U48" s="32">
        <f t="shared" ca="1" si="22"/>
        <v>-2.3804060134136051E-7</v>
      </c>
      <c r="V48" s="1"/>
      <c r="W48" s="1"/>
      <c r="X48" s="1"/>
      <c r="Y48" s="1"/>
    </row>
    <row r="49" spans="9:25" x14ac:dyDescent="0.2">
      <c r="I49" s="4">
        <v>11</v>
      </c>
      <c r="J49" s="7">
        <f t="shared" si="18"/>
        <v>2</v>
      </c>
      <c r="K49" s="7">
        <f t="shared" si="18"/>
        <v>1.9166666666666667</v>
      </c>
      <c r="L49" s="7">
        <f t="shared" si="18"/>
        <v>0</v>
      </c>
      <c r="M49" s="7">
        <f t="shared" si="18"/>
        <v>2.194415639342129E-5</v>
      </c>
      <c r="N49" s="7">
        <f t="shared" si="18"/>
        <v>0</v>
      </c>
      <c r="O49" s="7">
        <f t="shared" si="18"/>
        <v>2.1449709593754826E-5</v>
      </c>
      <c r="P49" s="7">
        <f t="shared" si="23"/>
        <v>2.0115476693969515E-5</v>
      </c>
      <c r="Q49" s="7">
        <f t="shared" si="17"/>
        <v>1.9662233794275256E-5</v>
      </c>
      <c r="R49" s="76">
        <f t="shared" si="19"/>
        <v>1.5238997495431451E-8</v>
      </c>
      <c r="S49" s="77">
        <f t="shared" ca="1" si="20"/>
        <v>-2.632432649640748E-8</v>
      </c>
      <c r="T49" s="32">
        <f t="shared" ca="1" si="21"/>
        <v>-1.1085329000976029E-8</v>
      </c>
      <c r="U49" s="32">
        <f t="shared" ca="1" si="22"/>
        <v>-2.4912592766490604E-7</v>
      </c>
      <c r="V49" s="1"/>
      <c r="W49" s="1"/>
      <c r="X49" s="1"/>
      <c r="Y49" s="1"/>
    </row>
    <row r="50" spans="9:25" x14ac:dyDescent="0.2">
      <c r="I50" s="4">
        <v>12</v>
      </c>
      <c r="J50" s="7">
        <f t="shared" si="18"/>
        <v>2</v>
      </c>
      <c r="K50" s="7">
        <f t="shared" si="18"/>
        <v>1.9166666666666667</v>
      </c>
      <c r="L50" s="7">
        <f t="shared" si="18"/>
        <v>0</v>
      </c>
      <c r="M50" s="7">
        <f t="shared" si="18"/>
        <v>2.194415639342129E-5</v>
      </c>
      <c r="N50" s="7">
        <f t="shared" si="18"/>
        <v>0</v>
      </c>
      <c r="O50" s="7">
        <f t="shared" si="18"/>
        <v>2.1449709593754826E-5</v>
      </c>
      <c r="P50" s="7">
        <f t="shared" si="23"/>
        <v>2.194415639342129E-5</v>
      </c>
      <c r="Q50" s="7">
        <f t="shared" si="17"/>
        <v>2.1449709593754826E-5</v>
      </c>
      <c r="R50" s="76">
        <f t="shared" si="19"/>
        <v>1.6762897244974597E-8</v>
      </c>
      <c r="S50" s="77">
        <f t="shared" ca="1" si="20"/>
        <v>-2.553572964192341E-8</v>
      </c>
      <c r="T50" s="32">
        <f t="shared" ca="1" si="21"/>
        <v>-8.7728323969488133E-9</v>
      </c>
      <c r="U50" s="33">
        <f t="shared" ca="1" si="22"/>
        <v>-2.5789875779391735E-7</v>
      </c>
      <c r="V50" s="1"/>
      <c r="W50" s="1"/>
      <c r="X50" s="1"/>
      <c r="Y50" s="1"/>
    </row>
    <row r="51" spans="9:25" x14ac:dyDescent="0.2">
      <c r="I51" s="4">
        <v>0</v>
      </c>
      <c r="J51" s="46">
        <v>3</v>
      </c>
      <c r="K51" s="45">
        <f>J51-1/12</f>
        <v>2.9166666666666665</v>
      </c>
      <c r="L51" s="46">
        <f>beta_0+beta_1*((1-EXP(-lambda*J51))/(lambda*J51))+beta_2*((1-EXP(-lambda*J51))/(lambda*J51)-EXP(-lambda*J51))</f>
        <v>0</v>
      </c>
      <c r="M51" s="46">
        <f>beta_0_scen+beta_1_scen*((1-EXP(-lambda*J51))/(lambda*J51))+beta_2_scen*((1-EXP(-lambda*J51))/(lambda*J51)-EXP(-lambda*J51))</f>
        <v>2.4128454163833423E-5</v>
      </c>
      <c r="N51" s="46">
        <f>beta_0+beta_1*((1-EXP(-lambda*K51))/(lambda*K51))+beta_2*((1-EXP(-lambda*K51))/(lambda*K51)-EXP(-lambda*K51))</f>
        <v>0</v>
      </c>
      <c r="O51" s="46">
        <f>beta_0_scen+beta_1_scen*((1-EXP(-lambda*K51))/(lambda*K51))+beta_2_scen*((1-EXP(-lambda*K51))/(lambda*K51)-EXP(-lambda*K51))</f>
        <v>2.4169955817898115E-5</v>
      </c>
      <c r="P51" s="45">
        <f t="shared" si="23"/>
        <v>0</v>
      </c>
      <c r="Q51" s="45">
        <f>N51+$I51*(O51-N51)/12</f>
        <v>0</v>
      </c>
      <c r="R51" s="50">
        <f>P51%/12</f>
        <v>0</v>
      </c>
      <c r="S51" s="51">
        <f ca="1">PRICE(TODAY(),TODAY()+K51*365.25,P51%,Q51%,100,2)/100-1</f>
        <v>0</v>
      </c>
      <c r="T51" s="52">
        <f ca="1">(1+R51+S51)^12-1</f>
        <v>0</v>
      </c>
      <c r="U51" s="47">
        <v>0</v>
      </c>
      <c r="V51" s="1"/>
      <c r="W51" s="1"/>
      <c r="X51" s="1"/>
      <c r="Y51" s="1"/>
    </row>
    <row r="52" spans="9:25" x14ac:dyDescent="0.2">
      <c r="I52" s="4">
        <v>1</v>
      </c>
      <c r="J52" s="45">
        <f t="shared" ref="J52:O52" si="24">J51</f>
        <v>3</v>
      </c>
      <c r="K52" s="45">
        <f t="shared" si="24"/>
        <v>2.9166666666666665</v>
      </c>
      <c r="L52" s="45">
        <f t="shared" si="24"/>
        <v>0</v>
      </c>
      <c r="M52" s="45">
        <f t="shared" si="24"/>
        <v>2.4128454163833423E-5</v>
      </c>
      <c r="N52" s="45">
        <f t="shared" si="24"/>
        <v>0</v>
      </c>
      <c r="O52" s="45">
        <f t="shared" si="24"/>
        <v>2.4169955817898115E-5</v>
      </c>
      <c r="P52" s="45">
        <f t="shared" si="23"/>
        <v>2.0107045136527852E-6</v>
      </c>
      <c r="Q52" s="45">
        <f t="shared" ref="Q52:Q63" si="25">N52+$I52*(O52-N52)/12</f>
        <v>2.0141629848248429E-6</v>
      </c>
      <c r="R52" s="78">
        <f>P51%/12</f>
        <v>0</v>
      </c>
      <c r="S52" s="79">
        <f ca="1">PRICE(TODAY(),TODAY()+K52*365.25,P51%,Q52%,100,2)/100-1</f>
        <v>-5.869046904027897E-8</v>
      </c>
      <c r="T52" s="47">
        <f ca="1">R52+S52</f>
        <v>-5.869046904027897E-8</v>
      </c>
      <c r="U52" s="47">
        <f ca="1">(1+U51)*(1+T52)-1</f>
        <v>-5.869046904027897E-8</v>
      </c>
      <c r="V52" s="1"/>
      <c r="W52" s="1"/>
      <c r="X52" s="1"/>
      <c r="Y52" s="1"/>
    </row>
    <row r="53" spans="9:25" x14ac:dyDescent="0.2">
      <c r="I53" s="4">
        <v>2</v>
      </c>
      <c r="J53" s="45">
        <f t="shared" ref="J53:O62" si="26">J52</f>
        <v>3</v>
      </c>
      <c r="K53" s="45">
        <f t="shared" si="26"/>
        <v>2.9166666666666665</v>
      </c>
      <c r="L53" s="45">
        <f t="shared" si="26"/>
        <v>0</v>
      </c>
      <c r="M53" s="45">
        <f t="shared" si="26"/>
        <v>2.4128454163833423E-5</v>
      </c>
      <c r="N53" s="45">
        <f t="shared" si="26"/>
        <v>0</v>
      </c>
      <c r="O53" s="45">
        <f t="shared" si="26"/>
        <v>2.4169955817898115E-5</v>
      </c>
      <c r="P53" s="45">
        <f t="shared" si="23"/>
        <v>4.0214090273055705E-6</v>
      </c>
      <c r="Q53" s="45">
        <f t="shared" si="25"/>
        <v>4.0283259696496858E-6</v>
      </c>
      <c r="R53" s="78">
        <f t="shared" ref="R53:R63" si="27">P52%/12</f>
        <v>1.6755870947106543E-9</v>
      </c>
      <c r="S53" s="79">
        <f t="shared" ref="S53:S63" ca="1" si="28">PRICE(TODAY(),TODAY()+K53*365.25,P52%,Q53%,100,2)/100-1</f>
        <v>-5.8791243873201893E-8</v>
      </c>
      <c r="T53" s="47">
        <f t="shared" ref="T53:T63" ca="1" si="29">R53+S53</f>
        <v>-5.7115656778491236E-8</v>
      </c>
      <c r="U53" s="47">
        <f t="shared" ref="U53:U63" ca="1" si="30">(1+U52)*(1+T53)-1</f>
        <v>-1.1580612246930855E-7</v>
      </c>
      <c r="V53" s="1"/>
      <c r="W53" s="1"/>
      <c r="X53" s="1"/>
      <c r="Y53" s="1"/>
    </row>
    <row r="54" spans="9:25" x14ac:dyDescent="0.2">
      <c r="I54" s="4">
        <v>3</v>
      </c>
      <c r="J54" s="45">
        <f t="shared" si="26"/>
        <v>3</v>
      </c>
      <c r="K54" s="45">
        <f t="shared" si="26"/>
        <v>2.9166666666666665</v>
      </c>
      <c r="L54" s="45">
        <f t="shared" si="26"/>
        <v>0</v>
      </c>
      <c r="M54" s="45">
        <f t="shared" si="26"/>
        <v>2.4128454163833423E-5</v>
      </c>
      <c r="N54" s="45">
        <f t="shared" si="26"/>
        <v>0</v>
      </c>
      <c r="O54" s="45">
        <f t="shared" si="26"/>
        <v>2.4169955817898115E-5</v>
      </c>
      <c r="P54" s="45">
        <f t="shared" si="23"/>
        <v>6.0321135409583557E-6</v>
      </c>
      <c r="Q54" s="45">
        <f t="shared" si="25"/>
        <v>6.0424889544745287E-6</v>
      </c>
      <c r="R54" s="78">
        <f t="shared" si="27"/>
        <v>3.3511741894213085E-9</v>
      </c>
      <c r="S54" s="79">
        <f t="shared" ca="1" si="28"/>
        <v>-5.8892017262834884E-8</v>
      </c>
      <c r="T54" s="47">
        <f t="shared" ca="1" si="29"/>
        <v>-5.5540843073413577E-8</v>
      </c>
      <c r="U54" s="47">
        <f t="shared" ca="1" si="30"/>
        <v>-1.7134695906584341E-7</v>
      </c>
      <c r="V54" s="1"/>
      <c r="W54" s="1"/>
      <c r="X54" s="1"/>
      <c r="Y54" s="1"/>
    </row>
    <row r="55" spans="9:25" x14ac:dyDescent="0.2">
      <c r="I55" s="4">
        <v>4</v>
      </c>
      <c r="J55" s="45">
        <f t="shared" si="26"/>
        <v>3</v>
      </c>
      <c r="K55" s="45">
        <f t="shared" si="26"/>
        <v>2.9166666666666665</v>
      </c>
      <c r="L55" s="45">
        <f t="shared" si="26"/>
        <v>0</v>
      </c>
      <c r="M55" s="45">
        <f t="shared" si="26"/>
        <v>2.4128454163833423E-5</v>
      </c>
      <c r="N55" s="45">
        <f t="shared" si="26"/>
        <v>0</v>
      </c>
      <c r="O55" s="45">
        <f t="shared" si="26"/>
        <v>2.4169955817898115E-5</v>
      </c>
      <c r="P55" s="45">
        <f t="shared" si="23"/>
        <v>8.042818054611141E-6</v>
      </c>
      <c r="Q55" s="45">
        <f t="shared" si="25"/>
        <v>8.0566519392993716E-6</v>
      </c>
      <c r="R55" s="78">
        <f t="shared" si="27"/>
        <v>5.0267612841319637E-9</v>
      </c>
      <c r="S55" s="79">
        <f t="shared" ca="1" si="28"/>
        <v>-5.8992790985534782E-8</v>
      </c>
      <c r="T55" s="47">
        <f t="shared" ca="1" si="29"/>
        <v>-5.3966029701402818E-8</v>
      </c>
      <c r="U55" s="47">
        <f t="shared" ca="1" si="30"/>
        <v>-2.2531297960703967E-7</v>
      </c>
      <c r="V55" s="1"/>
      <c r="W55" s="1"/>
      <c r="X55" s="1"/>
      <c r="Y55" s="1"/>
    </row>
    <row r="56" spans="9:25" x14ac:dyDescent="0.2">
      <c r="I56" s="4">
        <v>5</v>
      </c>
      <c r="J56" s="45">
        <f t="shared" si="26"/>
        <v>3</v>
      </c>
      <c r="K56" s="45">
        <f t="shared" si="26"/>
        <v>2.9166666666666665</v>
      </c>
      <c r="L56" s="45">
        <f t="shared" si="26"/>
        <v>0</v>
      </c>
      <c r="M56" s="45">
        <f t="shared" si="26"/>
        <v>2.4128454163833423E-5</v>
      </c>
      <c r="N56" s="45">
        <f t="shared" si="26"/>
        <v>0</v>
      </c>
      <c r="O56" s="45">
        <f t="shared" si="26"/>
        <v>2.4169955817898115E-5</v>
      </c>
      <c r="P56" s="45">
        <f t="shared" si="23"/>
        <v>1.0053522568263926E-5</v>
      </c>
      <c r="Q56" s="45">
        <f t="shared" si="25"/>
        <v>1.0070814924124215E-5</v>
      </c>
      <c r="R56" s="78">
        <f t="shared" si="27"/>
        <v>6.7023483788426171E-9</v>
      </c>
      <c r="S56" s="79">
        <f t="shared" ca="1" si="28"/>
        <v>-5.9093565707435403E-8</v>
      </c>
      <c r="T56" s="47">
        <f t="shared" ca="1" si="29"/>
        <v>-5.2391217328592789E-8</v>
      </c>
      <c r="U56" s="47">
        <f t="shared" ca="1" si="30"/>
        <v>-2.7770418520312035E-7</v>
      </c>
      <c r="V56" s="1"/>
      <c r="W56" s="1"/>
      <c r="X56" s="1"/>
      <c r="Y56" s="1"/>
    </row>
    <row r="57" spans="9:25" x14ac:dyDescent="0.2">
      <c r="I57" s="4">
        <v>6</v>
      </c>
      <c r="J57" s="45">
        <f t="shared" si="26"/>
        <v>3</v>
      </c>
      <c r="K57" s="45">
        <f t="shared" si="26"/>
        <v>2.9166666666666665</v>
      </c>
      <c r="L57" s="45">
        <f t="shared" si="26"/>
        <v>0</v>
      </c>
      <c r="M57" s="45">
        <f t="shared" si="26"/>
        <v>2.4128454163833423E-5</v>
      </c>
      <c r="N57" s="45">
        <f t="shared" si="26"/>
        <v>0</v>
      </c>
      <c r="O57" s="45">
        <f t="shared" si="26"/>
        <v>2.4169955817898115E-5</v>
      </c>
      <c r="P57" s="45">
        <f t="shared" si="23"/>
        <v>1.2064227081916711E-5</v>
      </c>
      <c r="Q57" s="45">
        <f t="shared" si="25"/>
        <v>1.2084977908949057E-5</v>
      </c>
      <c r="R57" s="78">
        <f t="shared" si="27"/>
        <v>8.3779354735532722E-9</v>
      </c>
      <c r="S57" s="79">
        <f t="shared" ca="1" si="28"/>
        <v>-5.9194339319112999E-8</v>
      </c>
      <c r="T57" s="47">
        <f t="shared" ca="1" si="29"/>
        <v>-5.0816403845559728E-8</v>
      </c>
      <c r="U57" s="47">
        <f t="shared" ca="1" si="30"/>
        <v>-3.2852057496590703E-7</v>
      </c>
      <c r="V57" s="1"/>
      <c r="W57" s="1"/>
      <c r="X57" s="1"/>
      <c r="Y57" s="1"/>
    </row>
    <row r="58" spans="9:25" x14ac:dyDescent="0.2">
      <c r="I58" s="4">
        <v>7</v>
      </c>
      <c r="J58" s="45">
        <f t="shared" si="26"/>
        <v>3</v>
      </c>
      <c r="K58" s="45">
        <f t="shared" si="26"/>
        <v>2.9166666666666665</v>
      </c>
      <c r="L58" s="45">
        <f t="shared" si="26"/>
        <v>0</v>
      </c>
      <c r="M58" s="45">
        <f t="shared" si="26"/>
        <v>2.4128454163833423E-5</v>
      </c>
      <c r="N58" s="45">
        <f t="shared" si="26"/>
        <v>0</v>
      </c>
      <c r="O58" s="45">
        <f t="shared" si="26"/>
        <v>2.4169955817898115E-5</v>
      </c>
      <c r="P58" s="45">
        <f t="shared" si="23"/>
        <v>1.4074931595569495E-5</v>
      </c>
      <c r="Q58" s="45">
        <f t="shared" si="25"/>
        <v>1.4099140893773899E-5</v>
      </c>
      <c r="R58" s="78">
        <f t="shared" si="27"/>
        <v>1.0053522568263927E-8</v>
      </c>
      <c r="S58" s="79">
        <f t="shared" ca="1" si="28"/>
        <v>-5.9295113041812897E-8</v>
      </c>
      <c r="T58" s="47">
        <f t="shared" ca="1" si="29"/>
        <v>-4.924159047354897E-8</v>
      </c>
      <c r="U58" s="47">
        <f t="shared" ca="1" si="30"/>
        <v>-3.7776214922846663E-7</v>
      </c>
      <c r="V58" s="1"/>
      <c r="W58" s="1"/>
      <c r="X58" s="1"/>
      <c r="Y58" s="1"/>
    </row>
    <row r="59" spans="9:25" x14ac:dyDescent="0.2">
      <c r="I59" s="4">
        <v>8</v>
      </c>
      <c r="J59" s="45">
        <f t="shared" si="26"/>
        <v>3</v>
      </c>
      <c r="K59" s="45">
        <f t="shared" si="26"/>
        <v>2.9166666666666665</v>
      </c>
      <c r="L59" s="45">
        <f t="shared" si="26"/>
        <v>0</v>
      </c>
      <c r="M59" s="45">
        <f t="shared" si="26"/>
        <v>2.4128454163833423E-5</v>
      </c>
      <c r="N59" s="45">
        <f t="shared" si="26"/>
        <v>0</v>
      </c>
      <c r="O59" s="45">
        <f t="shared" si="26"/>
        <v>2.4169955817898115E-5</v>
      </c>
      <c r="P59" s="45">
        <f t="shared" si="23"/>
        <v>1.6085636109222282E-5</v>
      </c>
      <c r="Q59" s="45">
        <f t="shared" si="25"/>
        <v>1.6113303878598743E-5</v>
      </c>
      <c r="R59" s="78">
        <f t="shared" si="27"/>
        <v>1.1729109662974579E-8</v>
      </c>
      <c r="S59" s="79">
        <f t="shared" ca="1" si="28"/>
        <v>-5.9395887985758122E-8</v>
      </c>
      <c r="T59" s="47">
        <f t="shared" ca="1" si="29"/>
        <v>-4.7666778322783545E-8</v>
      </c>
      <c r="U59" s="47">
        <f t="shared" ca="1" si="30"/>
        <v>-4.2542890954511137E-7</v>
      </c>
      <c r="V59" s="1"/>
      <c r="W59" s="1"/>
      <c r="X59" s="1"/>
      <c r="Y59" s="1"/>
    </row>
    <row r="60" spans="9:25" x14ac:dyDescent="0.2">
      <c r="I60" s="4">
        <v>9</v>
      </c>
      <c r="J60" s="45">
        <f t="shared" si="26"/>
        <v>3</v>
      </c>
      <c r="K60" s="45">
        <f t="shared" si="26"/>
        <v>2.9166666666666665</v>
      </c>
      <c r="L60" s="45">
        <f t="shared" si="26"/>
        <v>0</v>
      </c>
      <c r="M60" s="45">
        <f t="shared" si="26"/>
        <v>2.4128454163833423E-5</v>
      </c>
      <c r="N60" s="45">
        <f t="shared" si="26"/>
        <v>0</v>
      </c>
      <c r="O60" s="45">
        <f t="shared" si="26"/>
        <v>2.4169955817898115E-5</v>
      </c>
      <c r="P60" s="45">
        <f t="shared" si="23"/>
        <v>1.8096340622875067E-5</v>
      </c>
      <c r="Q60" s="45">
        <f t="shared" si="25"/>
        <v>1.8127466863423586E-5</v>
      </c>
      <c r="R60" s="78">
        <f t="shared" si="27"/>
        <v>1.3404696757685234E-8</v>
      </c>
      <c r="S60" s="79">
        <f t="shared" ca="1" si="28"/>
        <v>-5.9496661486413416E-8</v>
      </c>
      <c r="T60" s="47">
        <f t="shared" ca="1" si="29"/>
        <v>-4.6091964728728182E-8</v>
      </c>
      <c r="U60" s="47">
        <f t="shared" ca="1" si="30"/>
        <v>-4.7152085458357362E-7</v>
      </c>
      <c r="V60" s="1"/>
      <c r="W60" s="1"/>
      <c r="X60" s="1"/>
      <c r="Y60" s="1"/>
    </row>
    <row r="61" spans="9:25" x14ac:dyDescent="0.2">
      <c r="I61" s="4">
        <v>10</v>
      </c>
      <c r="J61" s="45">
        <f t="shared" si="26"/>
        <v>3</v>
      </c>
      <c r="K61" s="45">
        <f t="shared" si="26"/>
        <v>2.9166666666666665</v>
      </c>
      <c r="L61" s="45">
        <f t="shared" si="26"/>
        <v>0</v>
      </c>
      <c r="M61" s="45">
        <f t="shared" si="26"/>
        <v>2.4128454163833423E-5</v>
      </c>
      <c r="N61" s="45">
        <f t="shared" si="26"/>
        <v>0</v>
      </c>
      <c r="O61" s="45">
        <f t="shared" si="26"/>
        <v>2.4169955817898115E-5</v>
      </c>
      <c r="P61" s="45">
        <f t="shared" si="23"/>
        <v>2.0107045136527852E-5</v>
      </c>
      <c r="Q61" s="45">
        <f t="shared" si="25"/>
        <v>2.0141629848248429E-5</v>
      </c>
      <c r="R61" s="78">
        <f t="shared" si="27"/>
        <v>1.5080283852395888E-8</v>
      </c>
      <c r="S61" s="79">
        <f t="shared" ca="1" si="28"/>
        <v>-5.9597434987068709E-8</v>
      </c>
      <c r="T61" s="47">
        <f t="shared" ca="1" si="29"/>
        <v>-4.4517151134672818E-8</v>
      </c>
      <c r="U61" s="47">
        <f t="shared" ca="1" si="30"/>
        <v>-5.1603798478794261E-7</v>
      </c>
      <c r="V61" s="1"/>
      <c r="W61" s="1"/>
      <c r="X61" s="1"/>
      <c r="Y61" s="1"/>
    </row>
    <row r="62" spans="9:25" x14ac:dyDescent="0.2">
      <c r="I62" s="4">
        <v>11</v>
      </c>
      <c r="J62" s="45">
        <f t="shared" si="26"/>
        <v>3</v>
      </c>
      <c r="K62" s="45">
        <f t="shared" si="26"/>
        <v>2.9166666666666665</v>
      </c>
      <c r="L62" s="45">
        <f t="shared" si="26"/>
        <v>0</v>
      </c>
      <c r="M62" s="45">
        <f t="shared" si="26"/>
        <v>2.4128454163833423E-5</v>
      </c>
      <c r="N62" s="45">
        <f t="shared" si="26"/>
        <v>0</v>
      </c>
      <c r="O62" s="45">
        <f t="shared" si="26"/>
        <v>2.4169955817898115E-5</v>
      </c>
      <c r="P62" s="45">
        <f t="shared" si="23"/>
        <v>2.2117749650180638E-5</v>
      </c>
      <c r="Q62" s="45">
        <f t="shared" si="25"/>
        <v>2.2155792833073272E-5</v>
      </c>
      <c r="R62" s="78">
        <f t="shared" si="27"/>
        <v>1.6755870947106544E-8</v>
      </c>
      <c r="S62" s="79">
        <f t="shared" ca="1" si="28"/>
        <v>-5.9698210042036237E-8</v>
      </c>
      <c r="T62" s="47">
        <f t="shared" ca="1" si="29"/>
        <v>-4.2942339094929696E-8</v>
      </c>
      <c r="U62" s="47">
        <f t="shared" ca="1" si="30"/>
        <v>-5.5898030171253055E-7</v>
      </c>
      <c r="V62" s="1"/>
      <c r="W62" s="1"/>
      <c r="X62" s="1"/>
      <c r="Y62" s="1"/>
    </row>
    <row r="63" spans="9:25" x14ac:dyDescent="0.2">
      <c r="I63" s="4">
        <v>12</v>
      </c>
      <c r="J63" s="45">
        <f>J62</f>
        <v>3</v>
      </c>
      <c r="K63" s="45">
        <f>K62</f>
        <v>2.9166666666666665</v>
      </c>
      <c r="L63" s="45">
        <f t="shared" ref="L63:O63" si="31">L62</f>
        <v>0</v>
      </c>
      <c r="M63" s="45">
        <f t="shared" si="31"/>
        <v>2.4128454163833423E-5</v>
      </c>
      <c r="N63" s="45">
        <f t="shared" si="31"/>
        <v>0</v>
      </c>
      <c r="O63" s="45">
        <f t="shared" si="31"/>
        <v>2.4169955817898115E-5</v>
      </c>
      <c r="P63" s="45">
        <f t="shared" si="23"/>
        <v>2.4128454163833423E-5</v>
      </c>
      <c r="Q63" s="45">
        <f t="shared" si="25"/>
        <v>2.4169955817898115E-5</v>
      </c>
      <c r="R63" s="78">
        <f t="shared" si="27"/>
        <v>1.8431458041817198E-8</v>
      </c>
      <c r="S63" s="79">
        <f t="shared" ca="1" si="28"/>
        <v>-5.9798983653713833E-8</v>
      </c>
      <c r="T63" s="47">
        <f t="shared" ca="1" si="29"/>
        <v>-4.1367525611896635E-8</v>
      </c>
      <c r="U63" s="48">
        <f t="shared" ca="1" si="30"/>
        <v>-6.0034780424711442E-7</v>
      </c>
      <c r="V63" s="1"/>
      <c r="W63" s="1"/>
      <c r="X63" s="1"/>
      <c r="Y63" s="1"/>
    </row>
    <row r="64" spans="9:25" x14ac:dyDescent="0.2">
      <c r="I64" s="4">
        <v>0</v>
      </c>
      <c r="J64" s="15">
        <v>4</v>
      </c>
      <c r="K64" s="7">
        <f>J64-1/12</f>
        <v>3.9166666666666665</v>
      </c>
      <c r="L64" s="15">
        <f>beta_0+beta_1*((1-EXP(-lambda*J64))/(lambda*J64))+beta_2*((1-EXP(-lambda*J64))/(lambda*J64)-EXP(-lambda*J64))</f>
        <v>0</v>
      </c>
      <c r="M64" s="15">
        <f>beta_0_scen+beta_1_scen*((1-EXP(-lambda*J64))/(lambda*J64))+beta_2_scen*((1-EXP(-lambda*J64))/(lambda*J64)-EXP(-lambda*J64))</f>
        <v>2.1395348729785982E-5</v>
      </c>
      <c r="N64" s="15">
        <f>beta_0+beta_1*((1-EXP(-lambda*K64))/(lambda*K64))+beta_2*((1-EXP(-lambda*K64))/(lambda*K64)-EXP(-lambda*K64))</f>
        <v>0</v>
      </c>
      <c r="O64" s="15">
        <f>beta_0_scen+beta_1_scen*((1-EXP(-lambda*K64))/(lambda*K64))+beta_2_scen*((1-EXP(-lambda*K64))/(lambda*K64)-EXP(-lambda*K64))</f>
        <v>2.1753932353093391E-5</v>
      </c>
      <c r="P64" s="7">
        <f t="shared" si="23"/>
        <v>0</v>
      </c>
      <c r="Q64" s="7">
        <f>N64+$I64*(O64-N64)/12</f>
        <v>0</v>
      </c>
      <c r="R64" s="43">
        <f>P64%/12</f>
        <v>0</v>
      </c>
      <c r="S64" s="44">
        <f ca="1">PRICE(TODAY(),TODAY()+K64*365.25,P64%,Q64%,100,2)/100-1</f>
        <v>0</v>
      </c>
      <c r="T64" s="49">
        <f ca="1">(1+R64+S64)^12-1</f>
        <v>0</v>
      </c>
      <c r="U64" s="32">
        <v>0</v>
      </c>
      <c r="V64" s="1"/>
      <c r="W64" s="1"/>
      <c r="X64" s="1"/>
      <c r="Y64" s="1"/>
    </row>
    <row r="65" spans="9:25" x14ac:dyDescent="0.2">
      <c r="I65" s="4">
        <v>1</v>
      </c>
      <c r="J65" s="7">
        <f t="shared" ref="J65:O65" si="32">J64</f>
        <v>4</v>
      </c>
      <c r="K65" s="7">
        <f t="shared" si="32"/>
        <v>3.9166666666666665</v>
      </c>
      <c r="L65" s="7">
        <f t="shared" si="32"/>
        <v>0</v>
      </c>
      <c r="M65" s="7">
        <f t="shared" si="32"/>
        <v>2.1395348729785982E-5</v>
      </c>
      <c r="N65" s="7">
        <f t="shared" si="32"/>
        <v>0</v>
      </c>
      <c r="O65" s="7">
        <f t="shared" si="32"/>
        <v>2.1753932353093391E-5</v>
      </c>
      <c r="P65" s="7">
        <f t="shared" si="23"/>
        <v>1.7829457274821651E-6</v>
      </c>
      <c r="Q65" s="7">
        <f t="shared" ref="Q65:Q76" si="33">N65+$I65*(O65-N65)/12</f>
        <v>1.8128276960911159E-6</v>
      </c>
      <c r="R65" s="76">
        <f>P64%/12</f>
        <v>0</v>
      </c>
      <c r="S65" s="77">
        <f ca="1">PRICE(TODAY(),TODAY()+K65*365.25,P64%,Q65%,100,2)/100-1</f>
        <v>-7.0952059449957972E-8</v>
      </c>
      <c r="T65" s="32">
        <f ca="1">R65+S65</f>
        <v>-7.0952059449957972E-8</v>
      </c>
      <c r="U65" s="32">
        <f ca="1">(1+U64)*(1+T65)-1</f>
        <v>-7.0952059449957972E-8</v>
      </c>
      <c r="V65" s="1"/>
      <c r="W65" s="1"/>
      <c r="X65" s="1"/>
      <c r="Y65" s="1"/>
    </row>
    <row r="66" spans="9:25" x14ac:dyDescent="0.2">
      <c r="I66" s="4">
        <v>2</v>
      </c>
      <c r="J66" s="7">
        <f t="shared" ref="J66:O66" si="34">J65</f>
        <v>4</v>
      </c>
      <c r="K66" s="7">
        <f t="shared" si="34"/>
        <v>3.9166666666666665</v>
      </c>
      <c r="L66" s="7">
        <f t="shared" si="34"/>
        <v>0</v>
      </c>
      <c r="M66" s="7">
        <f t="shared" si="34"/>
        <v>2.1395348729785982E-5</v>
      </c>
      <c r="N66" s="7">
        <f t="shared" si="34"/>
        <v>0</v>
      </c>
      <c r="O66" s="7">
        <f t="shared" si="34"/>
        <v>2.1753932353093391E-5</v>
      </c>
      <c r="P66" s="7">
        <f t="shared" si="23"/>
        <v>3.5658914549643302E-6</v>
      </c>
      <c r="Q66" s="7">
        <f t="shared" si="33"/>
        <v>3.6256553921822318E-6</v>
      </c>
      <c r="R66" s="76">
        <f t="shared" ref="R66:R76" si="35">P65%/12</f>
        <v>1.4857881062351374E-9</v>
      </c>
      <c r="S66" s="77">
        <f t="shared" ref="S66:S76" ca="1" si="36">PRICE(TODAY(),TODAY()+K66*365.25,P65%,Q66%,100,2)/100-1</f>
        <v>-7.2121602467944967E-8</v>
      </c>
      <c r="T66" s="32">
        <f t="shared" ref="T66:T76" ca="1" si="37">R66+S66</f>
        <v>-7.0635814361709828E-8</v>
      </c>
      <c r="U66" s="32">
        <f t="shared" ref="U66:U76" ca="1" si="38">(1+U65)*(1+T66)-1</f>
        <v>-1.41587868762727E-7</v>
      </c>
      <c r="V66" s="1"/>
      <c r="W66" s="1"/>
      <c r="X66" s="1"/>
      <c r="Y66" s="1"/>
    </row>
    <row r="67" spans="9:25" x14ac:dyDescent="0.2">
      <c r="I67" s="4">
        <v>3</v>
      </c>
      <c r="J67" s="7">
        <f t="shared" ref="J67:O67" si="39">J66</f>
        <v>4</v>
      </c>
      <c r="K67" s="7">
        <f t="shared" si="39"/>
        <v>3.9166666666666665</v>
      </c>
      <c r="L67" s="7">
        <f t="shared" si="39"/>
        <v>0</v>
      </c>
      <c r="M67" s="7">
        <f t="shared" si="39"/>
        <v>2.1395348729785982E-5</v>
      </c>
      <c r="N67" s="7">
        <f t="shared" si="39"/>
        <v>0</v>
      </c>
      <c r="O67" s="7">
        <f t="shared" si="39"/>
        <v>2.1753932353093391E-5</v>
      </c>
      <c r="P67" s="7">
        <f t="shared" si="23"/>
        <v>5.3488371824464956E-6</v>
      </c>
      <c r="Q67" s="7">
        <f t="shared" si="33"/>
        <v>5.4384830882733479E-6</v>
      </c>
      <c r="R67" s="76">
        <f t="shared" si="35"/>
        <v>2.9715762124702749E-9</v>
      </c>
      <c r="S67" s="77">
        <f t="shared" ca="1" si="36"/>
        <v>-7.3291146929221895E-8</v>
      </c>
      <c r="T67" s="32">
        <f t="shared" ca="1" si="37"/>
        <v>-7.0319570716751616E-8</v>
      </c>
      <c r="U67" s="32">
        <f t="shared" ca="1" si="38"/>
        <v>-2.1190742949261931E-7</v>
      </c>
      <c r="V67" s="1"/>
      <c r="W67" s="1"/>
      <c r="X67" s="1"/>
      <c r="Y67" s="1"/>
    </row>
    <row r="68" spans="9:25" x14ac:dyDescent="0.2">
      <c r="I68" s="4">
        <v>4</v>
      </c>
      <c r="J68" s="7">
        <f t="shared" ref="J68:O68" si="40">J67</f>
        <v>4</v>
      </c>
      <c r="K68" s="7">
        <f t="shared" si="40"/>
        <v>3.9166666666666665</v>
      </c>
      <c r="L68" s="7">
        <f t="shared" si="40"/>
        <v>0</v>
      </c>
      <c r="M68" s="7">
        <f t="shared" si="40"/>
        <v>2.1395348729785982E-5</v>
      </c>
      <c r="N68" s="7">
        <f t="shared" si="40"/>
        <v>0</v>
      </c>
      <c r="O68" s="7">
        <f t="shared" si="40"/>
        <v>2.1753932353093391E-5</v>
      </c>
      <c r="P68" s="7">
        <f t="shared" si="23"/>
        <v>7.1317829099286605E-6</v>
      </c>
      <c r="Q68" s="7">
        <f t="shared" si="33"/>
        <v>7.2513107843644635E-6</v>
      </c>
      <c r="R68" s="76">
        <f t="shared" si="35"/>
        <v>4.4573643187054133E-9</v>
      </c>
      <c r="S68" s="77">
        <f t="shared" ca="1" si="36"/>
        <v>-7.4460691501521126E-8</v>
      </c>
      <c r="T68" s="32">
        <f t="shared" ca="1" si="37"/>
        <v>-7.0003327182815707E-8</v>
      </c>
      <c r="U68" s="32">
        <f t="shared" ca="1" si="38"/>
        <v>-2.8191074175065722E-7</v>
      </c>
      <c r="V68" s="1"/>
      <c r="W68" s="1"/>
      <c r="X68" s="1"/>
      <c r="Y68" s="1"/>
    </row>
    <row r="69" spans="9:25" x14ac:dyDescent="0.2">
      <c r="I69" s="4">
        <v>5</v>
      </c>
      <c r="J69" s="7">
        <f t="shared" ref="J69:O69" si="41">J68</f>
        <v>4</v>
      </c>
      <c r="K69" s="7">
        <f t="shared" si="41"/>
        <v>3.9166666666666665</v>
      </c>
      <c r="L69" s="7">
        <f t="shared" si="41"/>
        <v>0</v>
      </c>
      <c r="M69" s="7">
        <f t="shared" si="41"/>
        <v>2.1395348729785982E-5</v>
      </c>
      <c r="N69" s="7">
        <f t="shared" si="41"/>
        <v>0</v>
      </c>
      <c r="O69" s="7">
        <f t="shared" si="41"/>
        <v>2.1753932353093391E-5</v>
      </c>
      <c r="P69" s="7">
        <f t="shared" si="23"/>
        <v>8.9147286374108254E-6</v>
      </c>
      <c r="Q69" s="7">
        <f t="shared" si="33"/>
        <v>9.0641384804555792E-6</v>
      </c>
      <c r="R69" s="76">
        <f t="shared" si="35"/>
        <v>5.9431524249405497E-9</v>
      </c>
      <c r="S69" s="77">
        <f t="shared" ca="1" si="36"/>
        <v>-7.5630234297463517E-8</v>
      </c>
      <c r="T69" s="32">
        <f t="shared" ca="1" si="37"/>
        <v>-6.9687081872522971E-8</v>
      </c>
      <c r="U69" s="32">
        <f t="shared" ca="1" si="38"/>
        <v>-3.5159780398252849E-7</v>
      </c>
      <c r="V69" s="1"/>
      <c r="W69" s="1"/>
      <c r="X69" s="1"/>
      <c r="Y69" s="1"/>
    </row>
    <row r="70" spans="9:25" x14ac:dyDescent="0.2">
      <c r="I70" s="4">
        <v>6</v>
      </c>
      <c r="J70" s="7">
        <f t="shared" ref="J70:O70" si="42">J69</f>
        <v>4</v>
      </c>
      <c r="K70" s="7">
        <f t="shared" si="42"/>
        <v>3.9166666666666665</v>
      </c>
      <c r="L70" s="7">
        <f t="shared" si="42"/>
        <v>0</v>
      </c>
      <c r="M70" s="7">
        <f t="shared" si="42"/>
        <v>2.1395348729785982E-5</v>
      </c>
      <c r="N70" s="7">
        <f t="shared" si="42"/>
        <v>0</v>
      </c>
      <c r="O70" s="7">
        <f t="shared" si="42"/>
        <v>2.1753932353093391E-5</v>
      </c>
      <c r="P70" s="7">
        <f t="shared" si="23"/>
        <v>1.0697674364892991E-5</v>
      </c>
      <c r="Q70" s="7">
        <f t="shared" si="33"/>
        <v>1.0876966176546696E-5</v>
      </c>
      <c r="R70" s="76">
        <f t="shared" si="35"/>
        <v>7.4289405311756878E-9</v>
      </c>
      <c r="S70" s="77">
        <f t="shared" ca="1" si="36"/>
        <v>-7.679977853669584E-8</v>
      </c>
      <c r="T70" s="32">
        <f t="shared" ca="1" si="37"/>
        <v>-6.9370838005520154E-8</v>
      </c>
      <c r="U70" s="32">
        <f t="shared" ca="1" si="38"/>
        <v>-4.2096861752050074E-7</v>
      </c>
      <c r="V70" s="1"/>
      <c r="W70" s="1"/>
      <c r="X70" s="1"/>
      <c r="Y70" s="1"/>
    </row>
    <row r="71" spans="9:25" x14ac:dyDescent="0.2">
      <c r="I71" s="4">
        <v>7</v>
      </c>
      <c r="J71" s="7">
        <f t="shared" ref="J71:O71" si="43">J70</f>
        <v>4</v>
      </c>
      <c r="K71" s="7">
        <f t="shared" si="43"/>
        <v>3.9166666666666665</v>
      </c>
      <c r="L71" s="7">
        <f t="shared" si="43"/>
        <v>0</v>
      </c>
      <c r="M71" s="7">
        <f t="shared" si="43"/>
        <v>2.1395348729785982E-5</v>
      </c>
      <c r="N71" s="7">
        <f t="shared" si="43"/>
        <v>0</v>
      </c>
      <c r="O71" s="7">
        <f t="shared" si="43"/>
        <v>2.1753932353093391E-5</v>
      </c>
      <c r="P71" s="7">
        <f t="shared" si="23"/>
        <v>1.2480620092375155E-5</v>
      </c>
      <c r="Q71" s="7">
        <f t="shared" si="33"/>
        <v>1.2689793872637812E-5</v>
      </c>
      <c r="R71" s="76">
        <f t="shared" si="35"/>
        <v>8.9147286374108267E-9</v>
      </c>
      <c r="S71" s="77">
        <f t="shared" ca="1" si="36"/>
        <v>-7.7969322997972768E-8</v>
      </c>
      <c r="T71" s="32">
        <f t="shared" ca="1" si="37"/>
        <v>-6.9054594360561943E-8</v>
      </c>
      <c r="U71" s="32">
        <f t="shared" ca="1" si="38"/>
        <v>-4.9002318280866319E-7</v>
      </c>
      <c r="V71" s="1"/>
      <c r="W71" s="1"/>
      <c r="X71" s="1"/>
      <c r="Y71" s="1"/>
    </row>
    <row r="72" spans="9:25" x14ac:dyDescent="0.2">
      <c r="I72" s="4">
        <v>8</v>
      </c>
      <c r="J72" s="7">
        <f t="shared" ref="J72:O72" si="44">J71</f>
        <v>4</v>
      </c>
      <c r="K72" s="7">
        <f t="shared" si="44"/>
        <v>3.9166666666666665</v>
      </c>
      <c r="L72" s="7">
        <f t="shared" si="44"/>
        <v>0</v>
      </c>
      <c r="M72" s="7">
        <f t="shared" si="44"/>
        <v>2.1395348729785982E-5</v>
      </c>
      <c r="N72" s="7">
        <f t="shared" si="44"/>
        <v>0</v>
      </c>
      <c r="O72" s="7">
        <f t="shared" si="44"/>
        <v>2.1753932353093391E-5</v>
      </c>
      <c r="P72" s="7">
        <f t="shared" si="23"/>
        <v>1.4263565819857321E-5</v>
      </c>
      <c r="Q72" s="7">
        <f t="shared" si="33"/>
        <v>1.4502621568728927E-5</v>
      </c>
      <c r="R72" s="76">
        <f t="shared" si="35"/>
        <v>1.0400516743645963E-8</v>
      </c>
      <c r="S72" s="77">
        <f t="shared" ca="1" si="36"/>
        <v>-7.9138865349825949E-8</v>
      </c>
      <c r="T72" s="32">
        <f t="shared" ca="1" si="37"/>
        <v>-6.8738348606179984E-8</v>
      </c>
      <c r="U72" s="32">
        <f t="shared" ca="1" si="38"/>
        <v>-5.5876149773759209E-7</v>
      </c>
      <c r="V72" s="1"/>
      <c r="W72" s="1"/>
      <c r="X72" s="1"/>
      <c r="Y72" s="1"/>
    </row>
    <row r="73" spans="9:25" x14ac:dyDescent="0.2">
      <c r="I73" s="4">
        <v>9</v>
      </c>
      <c r="J73" s="7">
        <f t="shared" ref="J73:O73" si="45">J72</f>
        <v>4</v>
      </c>
      <c r="K73" s="7">
        <f t="shared" si="45"/>
        <v>3.9166666666666665</v>
      </c>
      <c r="L73" s="7">
        <f t="shared" si="45"/>
        <v>0</v>
      </c>
      <c r="M73" s="7">
        <f t="shared" si="45"/>
        <v>2.1395348729785982E-5</v>
      </c>
      <c r="N73" s="7">
        <f t="shared" si="45"/>
        <v>0</v>
      </c>
      <c r="O73" s="7">
        <f t="shared" si="45"/>
        <v>2.1753932353093391E-5</v>
      </c>
      <c r="P73" s="7">
        <f t="shared" si="23"/>
        <v>1.6046511547339487E-5</v>
      </c>
      <c r="Q73" s="7">
        <f t="shared" si="33"/>
        <v>1.6315449264820044E-5</v>
      </c>
      <c r="R73" s="76">
        <f t="shared" si="35"/>
        <v>1.1886304849881099E-8</v>
      </c>
      <c r="S73" s="77">
        <f t="shared" ca="1" si="36"/>
        <v>-8.0308409255991364E-8</v>
      </c>
      <c r="T73" s="32">
        <f t="shared" ca="1" si="37"/>
        <v>-6.842210440611026E-8</v>
      </c>
      <c r="U73" s="32">
        <f t="shared" ca="1" si="38"/>
        <v>-6.2718356397262198E-7</v>
      </c>
      <c r="V73" s="1"/>
      <c r="W73" s="1"/>
      <c r="X73" s="1"/>
      <c r="Y73" s="1"/>
    </row>
    <row r="74" spans="9:25" x14ac:dyDescent="0.2">
      <c r="I74" s="4">
        <v>10</v>
      </c>
      <c r="J74" s="7">
        <f t="shared" ref="J74:O74" si="46">J73</f>
        <v>4</v>
      </c>
      <c r="K74" s="7">
        <f t="shared" si="46"/>
        <v>3.9166666666666665</v>
      </c>
      <c r="L74" s="7">
        <f t="shared" si="46"/>
        <v>0</v>
      </c>
      <c r="M74" s="7">
        <f t="shared" si="46"/>
        <v>2.1395348729785982E-5</v>
      </c>
      <c r="N74" s="7">
        <f t="shared" si="46"/>
        <v>0</v>
      </c>
      <c r="O74" s="7">
        <f t="shared" si="46"/>
        <v>2.1753932353093391E-5</v>
      </c>
      <c r="P74" s="7">
        <f t="shared" si="23"/>
        <v>1.7829457274821651E-5</v>
      </c>
      <c r="Q74" s="7">
        <f t="shared" si="33"/>
        <v>1.8128276960911158E-5</v>
      </c>
      <c r="R74" s="76">
        <f t="shared" si="35"/>
        <v>1.3372092956116239E-8</v>
      </c>
      <c r="S74" s="77">
        <f t="shared" ca="1" si="36"/>
        <v>-8.147795360624599E-8</v>
      </c>
      <c r="T74" s="32">
        <f t="shared" ca="1" si="37"/>
        <v>-6.8105860650129746E-8</v>
      </c>
      <c r="U74" s="32">
        <f t="shared" ca="1" si="38"/>
        <v>-6.9528938184681977E-7</v>
      </c>
      <c r="V74" s="1"/>
      <c r="W74" s="1"/>
      <c r="X74" s="1"/>
      <c r="Y74" s="1"/>
    </row>
    <row r="75" spans="9:25" x14ac:dyDescent="0.2">
      <c r="I75" s="4">
        <v>11</v>
      </c>
      <c r="J75" s="7">
        <f t="shared" ref="J75:O75" si="47">J74</f>
        <v>4</v>
      </c>
      <c r="K75" s="7">
        <f t="shared" si="47"/>
        <v>3.9166666666666665</v>
      </c>
      <c r="L75" s="7">
        <f t="shared" si="47"/>
        <v>0</v>
      </c>
      <c r="M75" s="7">
        <f t="shared" si="47"/>
        <v>2.1395348729785982E-5</v>
      </c>
      <c r="N75" s="7">
        <f t="shared" si="47"/>
        <v>0</v>
      </c>
      <c r="O75" s="7">
        <f t="shared" si="47"/>
        <v>2.1753932353093391E-5</v>
      </c>
      <c r="P75" s="7">
        <f t="shared" si="23"/>
        <v>1.9612403002303815E-5</v>
      </c>
      <c r="Q75" s="7">
        <f t="shared" si="33"/>
        <v>1.9941104657002277E-5</v>
      </c>
      <c r="R75" s="76">
        <f t="shared" si="35"/>
        <v>1.4857881062351376E-8</v>
      </c>
      <c r="S75" s="77">
        <f t="shared" ca="1" si="36"/>
        <v>-8.2647497401389103E-8</v>
      </c>
      <c r="T75" s="32">
        <f t="shared" ca="1" si="37"/>
        <v>-6.7789616339037732E-8</v>
      </c>
      <c r="U75" s="32">
        <f t="shared" ca="1" si="38"/>
        <v>-7.6307895102711853E-7</v>
      </c>
      <c r="V75" s="1"/>
      <c r="W75" s="1"/>
      <c r="X75" s="1"/>
      <c r="Y75" s="1"/>
    </row>
    <row r="76" spans="9:25" x14ac:dyDescent="0.2">
      <c r="I76" s="4">
        <v>12</v>
      </c>
      <c r="J76" s="7">
        <f t="shared" ref="J76:O76" si="48">J75</f>
        <v>4</v>
      </c>
      <c r="K76" s="7">
        <f t="shared" si="48"/>
        <v>3.9166666666666665</v>
      </c>
      <c r="L76" s="7">
        <f t="shared" si="48"/>
        <v>0</v>
      </c>
      <c r="M76" s="7">
        <f t="shared" si="48"/>
        <v>2.1395348729785982E-5</v>
      </c>
      <c r="N76" s="7">
        <f t="shared" si="48"/>
        <v>0</v>
      </c>
      <c r="O76" s="7">
        <f t="shared" si="48"/>
        <v>2.1753932353093391E-5</v>
      </c>
      <c r="P76" s="7">
        <f t="shared" ref="P76:P107" si="49">L76+$I76*(M76-L76)/12</f>
        <v>2.1395348729785982E-5</v>
      </c>
      <c r="Q76" s="7">
        <f t="shared" si="33"/>
        <v>2.1753932353093391E-5</v>
      </c>
      <c r="R76" s="76">
        <f t="shared" si="35"/>
        <v>1.6343669168586514E-8</v>
      </c>
      <c r="S76" s="77">
        <f t="shared" ca="1" si="36"/>
        <v>-8.3817039531197679E-8</v>
      </c>
      <c r="T76" s="32">
        <f t="shared" ca="1" si="37"/>
        <v>-6.7473370362611169E-8</v>
      </c>
      <c r="U76" s="33">
        <f t="shared" ca="1" si="38"/>
        <v>-8.3055226984818376E-7</v>
      </c>
      <c r="V76" s="1"/>
      <c r="W76" s="1"/>
      <c r="X76" s="1"/>
      <c r="Y76" s="1"/>
    </row>
    <row r="77" spans="9:25" x14ac:dyDescent="0.2">
      <c r="I77" s="4">
        <v>0</v>
      </c>
      <c r="J77" s="46">
        <v>5</v>
      </c>
      <c r="K77" s="45">
        <f>J77-1/12</f>
        <v>4.916666666666667</v>
      </c>
      <c r="L77" s="46">
        <f>beta_0+beta_1*((1-EXP(-lambda*J77))/(lambda*J77))+beta_2*((1-EXP(-lambda*J77))/(lambda*J77)-EXP(-lambda*J77))</f>
        <v>0</v>
      </c>
      <c r="M77" s="46">
        <f>beta_0_scen+beta_1_scen*((1-EXP(-lambda*J77))/(lambda*J77))+beta_2_scen*((1-EXP(-lambda*J77))/(lambda*J77)-EXP(-lambda*J77))</f>
        <v>1.584603021264159E-5</v>
      </c>
      <c r="N77" s="46">
        <f>beta_0+beta_1*((1-EXP(-lambda*K77))/(lambda*K77))+beta_2*((1-EXP(-lambda*K77))/(lambda*K77)-EXP(-lambda*K77))</f>
        <v>0</v>
      </c>
      <c r="O77" s="46">
        <f>beta_0_scen+beta_1_scen*((1-EXP(-lambda*K77))/(lambda*K77))+beta_2_scen*((1-EXP(-lambda*K77))/(lambda*K77)-EXP(-lambda*K77))</f>
        <v>1.6379043827215593E-5</v>
      </c>
      <c r="P77" s="45">
        <f t="shared" si="49"/>
        <v>0</v>
      </c>
      <c r="Q77" s="45">
        <f>N77+$I77*(O77-N77)/12</f>
        <v>0</v>
      </c>
      <c r="R77" s="50">
        <f>P77%/12</f>
        <v>0</v>
      </c>
      <c r="S77" s="51">
        <f ca="1">PRICE(TODAY(),TODAY()+K77*365.25,P77%,Q77%,100,2)/100-1</f>
        <v>0</v>
      </c>
      <c r="T77" s="52">
        <f ca="1">(1+R77+S77)^12-1</f>
        <v>0</v>
      </c>
      <c r="U77" s="47">
        <v>0</v>
      </c>
      <c r="V77" s="1"/>
      <c r="W77" s="1"/>
      <c r="X77" s="1"/>
      <c r="Y77" s="1"/>
    </row>
    <row r="78" spans="9:25" x14ac:dyDescent="0.2">
      <c r="I78" s="4">
        <v>1</v>
      </c>
      <c r="J78" s="45">
        <f t="shared" ref="J78:O78" si="50">J77</f>
        <v>5</v>
      </c>
      <c r="K78" s="45">
        <f t="shared" si="50"/>
        <v>4.916666666666667</v>
      </c>
      <c r="L78" s="45">
        <f t="shared" si="50"/>
        <v>0</v>
      </c>
      <c r="M78" s="45">
        <f t="shared" si="50"/>
        <v>1.584603021264159E-5</v>
      </c>
      <c r="N78" s="45">
        <f t="shared" si="50"/>
        <v>0</v>
      </c>
      <c r="O78" s="45">
        <f t="shared" si="50"/>
        <v>1.6379043827215593E-5</v>
      </c>
      <c r="P78" s="45">
        <f t="shared" si="49"/>
        <v>1.3205025177201324E-6</v>
      </c>
      <c r="Q78" s="45">
        <f t="shared" ref="Q78:Q89" si="51">N78+$I78*(O78-N78)/12</f>
        <v>1.3649203189346327E-6</v>
      </c>
      <c r="R78" s="78">
        <f>P77%/12</f>
        <v>0</v>
      </c>
      <c r="S78" s="79">
        <f ca="1">PRICE(TODAY(),TODAY()+K78*365.25,P77%,Q78%,100,2)/100-1</f>
        <v>-6.7070664910851008E-8</v>
      </c>
      <c r="T78" s="47">
        <f ca="1">R78+S78</f>
        <v>-6.7070664910851008E-8</v>
      </c>
      <c r="U78" s="47">
        <f ca="1">(1+U77)*(1+T78)-1</f>
        <v>-6.7070664910851008E-8</v>
      </c>
      <c r="V78" s="1"/>
      <c r="W78" s="1"/>
      <c r="X78" s="1"/>
      <c r="Y78" s="1"/>
    </row>
    <row r="79" spans="9:25" x14ac:dyDescent="0.2">
      <c r="I79" s="4">
        <v>2</v>
      </c>
      <c r="J79" s="45">
        <f t="shared" ref="J79:O79" si="52">J78</f>
        <v>5</v>
      </c>
      <c r="K79" s="45">
        <f t="shared" si="52"/>
        <v>4.916666666666667</v>
      </c>
      <c r="L79" s="45">
        <f t="shared" si="52"/>
        <v>0</v>
      </c>
      <c r="M79" s="45">
        <f t="shared" si="52"/>
        <v>1.584603021264159E-5</v>
      </c>
      <c r="N79" s="45">
        <f t="shared" si="52"/>
        <v>0</v>
      </c>
      <c r="O79" s="45">
        <f t="shared" si="52"/>
        <v>1.6379043827215593E-5</v>
      </c>
      <c r="P79" s="45">
        <f t="shared" si="49"/>
        <v>2.6410050354402648E-6</v>
      </c>
      <c r="Q79" s="45">
        <f t="shared" si="51"/>
        <v>2.7298406378692655E-6</v>
      </c>
      <c r="R79" s="78">
        <f t="shared" ref="R79:R89" si="53">P78%/12</f>
        <v>1.100418764766777E-9</v>
      </c>
      <c r="S79" s="79">
        <f t="shared" ref="S79:S89" ca="1" si="54">PRICE(TODAY(),TODAY()+K79*365.25,P78%,Q79%,100,2)/100-1</f>
        <v>-6.9253303425220736E-8</v>
      </c>
      <c r="T79" s="47">
        <f t="shared" ref="T79:T89" ca="1" si="55">R79+S79</f>
        <v>-6.815288466045396E-8</v>
      </c>
      <c r="U79" s="47">
        <f t="shared" ref="U79:U88" ca="1" si="56">(1+U78)*(1+T79)-1</f>
        <v>-1.3522354502804035E-7</v>
      </c>
      <c r="V79" s="1"/>
      <c r="W79" s="1"/>
      <c r="X79" s="1"/>
      <c r="Y79" s="1"/>
    </row>
    <row r="80" spans="9:25" x14ac:dyDescent="0.2">
      <c r="I80" s="4">
        <v>3</v>
      </c>
      <c r="J80" s="45">
        <f t="shared" ref="J80:O80" si="57">J79</f>
        <v>5</v>
      </c>
      <c r="K80" s="45">
        <f t="shared" si="57"/>
        <v>4.916666666666667</v>
      </c>
      <c r="L80" s="45">
        <f t="shared" si="57"/>
        <v>0</v>
      </c>
      <c r="M80" s="45">
        <f t="shared" si="57"/>
        <v>1.584603021264159E-5</v>
      </c>
      <c r="N80" s="45">
        <f t="shared" si="57"/>
        <v>0</v>
      </c>
      <c r="O80" s="45">
        <f t="shared" si="57"/>
        <v>1.6379043827215593E-5</v>
      </c>
      <c r="P80" s="45">
        <f t="shared" si="49"/>
        <v>3.9615075531603974E-6</v>
      </c>
      <c r="Q80" s="45">
        <f t="shared" si="51"/>
        <v>4.0947609568038982E-6</v>
      </c>
      <c r="R80" s="78">
        <f t="shared" si="53"/>
        <v>2.2008375295335541E-9</v>
      </c>
      <c r="S80" s="79">
        <f t="shared" ca="1" si="54"/>
        <v>-7.1435943715947303E-8</v>
      </c>
      <c r="T80" s="47">
        <f t="shared" ca="1" si="55"/>
        <v>-6.9235106186413752E-8</v>
      </c>
      <c r="U80" s="47">
        <f t="shared" ca="1" si="56"/>
        <v>-2.0445864190588026E-7</v>
      </c>
      <c r="V80" s="1"/>
      <c r="W80" s="1"/>
      <c r="X80" s="1"/>
      <c r="Y80" s="1"/>
    </row>
    <row r="81" spans="9:25" x14ac:dyDescent="0.2">
      <c r="I81" s="4">
        <v>4</v>
      </c>
      <c r="J81" s="45">
        <f t="shared" ref="J81:O81" si="58">J80</f>
        <v>5</v>
      </c>
      <c r="K81" s="45">
        <f t="shared" si="58"/>
        <v>4.916666666666667</v>
      </c>
      <c r="L81" s="45">
        <f t="shared" si="58"/>
        <v>0</v>
      </c>
      <c r="M81" s="45">
        <f t="shared" si="58"/>
        <v>1.584603021264159E-5</v>
      </c>
      <c r="N81" s="45">
        <f t="shared" si="58"/>
        <v>0</v>
      </c>
      <c r="O81" s="45">
        <f t="shared" si="58"/>
        <v>1.6379043827215593E-5</v>
      </c>
      <c r="P81" s="45">
        <f t="shared" si="49"/>
        <v>5.2820100708805296E-6</v>
      </c>
      <c r="Q81" s="45">
        <f t="shared" si="51"/>
        <v>5.4596812757385309E-6</v>
      </c>
      <c r="R81" s="78">
        <f t="shared" si="53"/>
        <v>3.3012562943003313E-9</v>
      </c>
      <c r="S81" s="79">
        <f t="shared" ca="1" si="54"/>
        <v>-7.3618581675205519E-8</v>
      </c>
      <c r="T81" s="47">
        <f t="shared" ca="1" si="55"/>
        <v>-7.0317325380905192E-8</v>
      </c>
      <c r="U81" s="47">
        <f t="shared" ca="1" si="56"/>
        <v>-2.7477595299085777E-7</v>
      </c>
      <c r="V81" s="1"/>
      <c r="W81" s="1"/>
      <c r="X81" s="1"/>
      <c r="Y81" s="1"/>
    </row>
    <row r="82" spans="9:25" x14ac:dyDescent="0.2">
      <c r="I82" s="4">
        <v>5</v>
      </c>
      <c r="J82" s="45">
        <f t="shared" ref="J82:O82" si="59">J81</f>
        <v>5</v>
      </c>
      <c r="K82" s="45">
        <f t="shared" si="59"/>
        <v>4.916666666666667</v>
      </c>
      <c r="L82" s="45">
        <f t="shared" si="59"/>
        <v>0</v>
      </c>
      <c r="M82" s="45">
        <f t="shared" si="59"/>
        <v>1.584603021264159E-5</v>
      </c>
      <c r="N82" s="45">
        <f t="shared" si="59"/>
        <v>0</v>
      </c>
      <c r="O82" s="45">
        <f t="shared" si="59"/>
        <v>1.6379043827215593E-5</v>
      </c>
      <c r="P82" s="45">
        <f t="shared" si="49"/>
        <v>6.6025125886006626E-6</v>
      </c>
      <c r="Q82" s="45">
        <f t="shared" si="51"/>
        <v>6.8246015946731637E-6</v>
      </c>
      <c r="R82" s="78">
        <f t="shared" si="53"/>
        <v>4.4016750590671081E-9</v>
      </c>
      <c r="S82" s="79">
        <f t="shared" ca="1" si="54"/>
        <v>-7.580121941241913E-8</v>
      </c>
      <c r="T82" s="47">
        <f t="shared" ca="1" si="55"/>
        <v>-7.1399544353352027E-8</v>
      </c>
      <c r="U82" s="47">
        <f t="shared" ca="1" si="56"/>
        <v>-3.4617547772786139E-7</v>
      </c>
      <c r="V82" s="1"/>
      <c r="W82" s="1"/>
      <c r="X82" s="1"/>
      <c r="Y82" s="1"/>
    </row>
    <row r="83" spans="9:25" x14ac:dyDescent="0.2">
      <c r="I83" s="4">
        <v>6</v>
      </c>
      <c r="J83" s="45">
        <f t="shared" ref="J83:O83" si="60">J82</f>
        <v>5</v>
      </c>
      <c r="K83" s="45">
        <f t="shared" si="60"/>
        <v>4.916666666666667</v>
      </c>
      <c r="L83" s="45">
        <f t="shared" si="60"/>
        <v>0</v>
      </c>
      <c r="M83" s="45">
        <f t="shared" si="60"/>
        <v>1.584603021264159E-5</v>
      </c>
      <c r="N83" s="45">
        <f t="shared" si="60"/>
        <v>0</v>
      </c>
      <c r="O83" s="45">
        <f t="shared" si="60"/>
        <v>1.6379043827215593E-5</v>
      </c>
      <c r="P83" s="45">
        <f t="shared" si="49"/>
        <v>7.9230151063207948E-6</v>
      </c>
      <c r="Q83" s="45">
        <f t="shared" si="51"/>
        <v>8.1895219136077964E-6</v>
      </c>
      <c r="R83" s="78">
        <f t="shared" si="53"/>
        <v>5.5020938238338854E-9</v>
      </c>
      <c r="S83" s="79">
        <f t="shared" ca="1" si="54"/>
        <v>-7.798385714963274E-8</v>
      </c>
      <c r="T83" s="47">
        <f t="shared" ca="1" si="55"/>
        <v>-7.2481763325798849E-8</v>
      </c>
      <c r="U83" s="47">
        <f t="shared" ca="1" si="56"/>
        <v>-4.186572160058688E-7</v>
      </c>
      <c r="V83" s="1"/>
      <c r="W83" s="1"/>
      <c r="X83" s="1"/>
      <c r="Y83" s="1"/>
    </row>
    <row r="84" spans="9:25" x14ac:dyDescent="0.2">
      <c r="I84" s="4">
        <v>7</v>
      </c>
      <c r="J84" s="45">
        <f t="shared" ref="J84:O84" si="61">J83</f>
        <v>5</v>
      </c>
      <c r="K84" s="45">
        <f t="shared" si="61"/>
        <v>4.916666666666667</v>
      </c>
      <c r="L84" s="45">
        <f t="shared" si="61"/>
        <v>0</v>
      </c>
      <c r="M84" s="45">
        <f t="shared" si="61"/>
        <v>1.584603021264159E-5</v>
      </c>
      <c r="N84" s="45">
        <f t="shared" si="61"/>
        <v>0</v>
      </c>
      <c r="O84" s="45">
        <f t="shared" si="61"/>
        <v>1.6379043827215593E-5</v>
      </c>
      <c r="P84" s="45">
        <f t="shared" si="49"/>
        <v>9.2435176240409279E-6</v>
      </c>
      <c r="Q84" s="45">
        <f t="shared" si="51"/>
        <v>9.5544422325424291E-6</v>
      </c>
      <c r="R84" s="78">
        <f t="shared" si="53"/>
        <v>6.6025125886006626E-9</v>
      </c>
      <c r="S84" s="79">
        <f t="shared" ca="1" si="54"/>
        <v>-8.0166494997868654E-8</v>
      </c>
      <c r="T84" s="47">
        <f t="shared" ca="1" si="55"/>
        <v>-7.3563982409267987E-8</v>
      </c>
      <c r="U84" s="47">
        <f t="shared" ca="1" si="56"/>
        <v>-4.9222116771385771E-7</v>
      </c>
      <c r="V84" s="1"/>
      <c r="W84" s="1"/>
      <c r="X84" s="1"/>
      <c r="Y84" s="1"/>
    </row>
    <row r="85" spans="9:25" x14ac:dyDescent="0.2">
      <c r="I85" s="4">
        <v>8</v>
      </c>
      <c r="J85" s="45">
        <f t="shared" ref="J85:O85" si="62">J84</f>
        <v>5</v>
      </c>
      <c r="K85" s="45">
        <f t="shared" si="62"/>
        <v>4.916666666666667</v>
      </c>
      <c r="L85" s="45">
        <f t="shared" si="62"/>
        <v>0</v>
      </c>
      <c r="M85" s="45">
        <f t="shared" si="62"/>
        <v>1.584603021264159E-5</v>
      </c>
      <c r="N85" s="45">
        <f t="shared" si="62"/>
        <v>0</v>
      </c>
      <c r="O85" s="45">
        <f t="shared" si="62"/>
        <v>1.6379043827215593E-5</v>
      </c>
      <c r="P85" s="45">
        <f t="shared" si="49"/>
        <v>1.0564020141761059E-5</v>
      </c>
      <c r="Q85" s="45">
        <f t="shared" si="51"/>
        <v>1.0919362551477062E-5</v>
      </c>
      <c r="R85" s="78">
        <f t="shared" si="53"/>
        <v>7.7029313533674407E-9</v>
      </c>
      <c r="S85" s="79">
        <f t="shared" ca="1" si="54"/>
        <v>-8.2349134400416801E-8</v>
      </c>
      <c r="T85" s="47">
        <f t="shared" ca="1" si="55"/>
        <v>-7.4646203047049359E-8</v>
      </c>
      <c r="U85" s="47">
        <f t="shared" ca="1" si="56"/>
        <v>-5.6686733396205113E-7</v>
      </c>
      <c r="V85" s="1"/>
      <c r="W85" s="1"/>
      <c r="X85" s="1"/>
      <c r="Y85" s="1"/>
    </row>
    <row r="86" spans="9:25" x14ac:dyDescent="0.2">
      <c r="I86" s="4">
        <v>9</v>
      </c>
      <c r="J86" s="45">
        <f t="shared" ref="J86:O86" si="63">J85</f>
        <v>5</v>
      </c>
      <c r="K86" s="45">
        <f t="shared" si="63"/>
        <v>4.916666666666667</v>
      </c>
      <c r="L86" s="45">
        <f t="shared" si="63"/>
        <v>0</v>
      </c>
      <c r="M86" s="45">
        <f t="shared" si="63"/>
        <v>1.584603021264159E-5</v>
      </c>
      <c r="N86" s="45">
        <f t="shared" si="63"/>
        <v>0</v>
      </c>
      <c r="O86" s="45">
        <f t="shared" si="63"/>
        <v>1.6379043827215593E-5</v>
      </c>
      <c r="P86" s="45">
        <f t="shared" si="49"/>
        <v>1.1884522659481194E-5</v>
      </c>
      <c r="Q86" s="45">
        <f t="shared" si="51"/>
        <v>1.2284282870411693E-5</v>
      </c>
      <c r="R86" s="78">
        <f t="shared" si="53"/>
        <v>8.8033501181342163E-9</v>
      </c>
      <c r="S86" s="79">
        <f t="shared" ca="1" si="54"/>
        <v>-8.4531771693541202E-8</v>
      </c>
      <c r="T86" s="47">
        <f t="shared" ca="1" si="55"/>
        <v>-7.5728421575406984E-8</v>
      </c>
      <c r="U86" s="47">
        <f t="shared" ca="1" si="56"/>
        <v>-6.4259571253000303E-7</v>
      </c>
      <c r="V86" s="1"/>
      <c r="W86" s="1"/>
      <c r="X86" s="1"/>
      <c r="Y86" s="1"/>
    </row>
    <row r="87" spans="9:25" x14ac:dyDescent="0.2">
      <c r="I87" s="4">
        <v>10</v>
      </c>
      <c r="J87" s="45">
        <f t="shared" ref="J87:O87" si="64">J86</f>
        <v>5</v>
      </c>
      <c r="K87" s="45">
        <f t="shared" si="64"/>
        <v>4.916666666666667</v>
      </c>
      <c r="L87" s="45">
        <f t="shared" si="64"/>
        <v>0</v>
      </c>
      <c r="M87" s="45">
        <f t="shared" si="64"/>
        <v>1.584603021264159E-5</v>
      </c>
      <c r="N87" s="45">
        <f t="shared" si="64"/>
        <v>0</v>
      </c>
      <c r="O87" s="45">
        <f t="shared" si="64"/>
        <v>1.6379043827215593E-5</v>
      </c>
      <c r="P87" s="45">
        <f t="shared" si="49"/>
        <v>1.3205025177201325E-5</v>
      </c>
      <c r="Q87" s="45">
        <f t="shared" si="51"/>
        <v>1.3649203189346327E-5</v>
      </c>
      <c r="R87" s="78">
        <f t="shared" si="53"/>
        <v>9.9037688829009952E-9</v>
      </c>
      <c r="S87" s="79">
        <f t="shared" ca="1" si="54"/>
        <v>-8.6714408653598696E-8</v>
      </c>
      <c r="T87" s="47">
        <f t="shared" ca="1" si="55"/>
        <v>-7.6810639770697702E-8</v>
      </c>
      <c r="U87" s="47">
        <f t="shared" ca="1" si="56"/>
        <v>-7.1940630286260188E-7</v>
      </c>
      <c r="V87" s="1"/>
      <c r="W87" s="1"/>
      <c r="X87" s="1"/>
      <c r="Y87" s="1"/>
    </row>
    <row r="88" spans="9:25" x14ac:dyDescent="0.2">
      <c r="I88" s="4">
        <v>11</v>
      </c>
      <c r="J88" s="45">
        <f t="shared" ref="J88:O88" si="65">J87</f>
        <v>5</v>
      </c>
      <c r="K88" s="45">
        <f t="shared" si="65"/>
        <v>4.916666666666667</v>
      </c>
      <c r="L88" s="45">
        <f t="shared" si="65"/>
        <v>0</v>
      </c>
      <c r="M88" s="45">
        <f t="shared" si="65"/>
        <v>1.584603021264159E-5</v>
      </c>
      <c r="N88" s="45">
        <f t="shared" si="65"/>
        <v>0</v>
      </c>
      <c r="O88" s="45">
        <f t="shared" si="65"/>
        <v>1.6379043827215593E-5</v>
      </c>
      <c r="P88" s="45">
        <f t="shared" si="49"/>
        <v>1.4525527694921457E-5</v>
      </c>
      <c r="Q88" s="45">
        <f t="shared" si="51"/>
        <v>1.5014123508280962E-5</v>
      </c>
      <c r="R88" s="78">
        <f t="shared" si="53"/>
        <v>1.1004187647667771E-8</v>
      </c>
      <c r="S88" s="79">
        <f t="shared" ca="1" si="54"/>
        <v>-8.8897045502633887E-8</v>
      </c>
      <c r="T88" s="47">
        <f t="shared" ca="1" si="55"/>
        <v>-7.7892857854966118E-8</v>
      </c>
      <c r="U88" s="47">
        <f t="shared" ca="1" si="56"/>
        <v>-7.9729910462678077E-7</v>
      </c>
      <c r="V88" s="1"/>
      <c r="W88" s="1"/>
      <c r="X88" s="1"/>
      <c r="Y88" s="1"/>
    </row>
    <row r="89" spans="9:25" x14ac:dyDescent="0.2">
      <c r="I89" s="4">
        <v>12</v>
      </c>
      <c r="J89" s="45">
        <f>J88</f>
        <v>5</v>
      </c>
      <c r="K89" s="45">
        <f>K88</f>
        <v>4.916666666666667</v>
      </c>
      <c r="L89" s="45">
        <f t="shared" ref="L89:O89" si="66">L88</f>
        <v>0</v>
      </c>
      <c r="M89" s="45">
        <f t="shared" si="66"/>
        <v>1.584603021264159E-5</v>
      </c>
      <c r="N89" s="45">
        <f t="shared" si="66"/>
        <v>0</v>
      </c>
      <c r="O89" s="45">
        <f t="shared" si="66"/>
        <v>1.6379043827215593E-5</v>
      </c>
      <c r="P89" s="45">
        <f t="shared" si="49"/>
        <v>1.584603021264159E-5</v>
      </c>
      <c r="Q89" s="45">
        <f t="shared" si="51"/>
        <v>1.6379043827215593E-5</v>
      </c>
      <c r="R89" s="78">
        <f t="shared" si="53"/>
        <v>1.2104606412434546E-8</v>
      </c>
      <c r="S89" s="79">
        <f t="shared" ca="1" si="54"/>
        <v>-9.1079682684735985E-8</v>
      </c>
      <c r="T89" s="47">
        <f t="shared" ca="1" si="55"/>
        <v>-7.8975076272301441E-8</v>
      </c>
      <c r="U89" s="48">
        <f ca="1">(1+U88)*(1+T89)-1</f>
        <v>-8.7627411793356202E-7</v>
      </c>
      <c r="V89" s="1"/>
      <c r="W89" s="1"/>
      <c r="X89" s="1"/>
      <c r="Y89" s="1"/>
    </row>
    <row r="90" spans="9:25" x14ac:dyDescent="0.2">
      <c r="I90" s="4">
        <v>0</v>
      </c>
      <c r="J90" s="15">
        <v>6</v>
      </c>
      <c r="K90" s="7">
        <f>J90-1/12</f>
        <v>5.916666666666667</v>
      </c>
      <c r="L90" s="15">
        <f>beta_0+beta_1*((1-EXP(-lambda*J90))/(lambda*J90))+beta_2*((1-EXP(-lambda*J90))/(lambda*J90)-EXP(-lambda*J90))</f>
        <v>0</v>
      </c>
      <c r="M90" s="15">
        <f>beta_0_scen+beta_1_scen*((1-EXP(-lambda*J90))/(lambda*J90))+beta_2_scen*((1-EXP(-lambda*J90))/(lambda*J90)-EXP(-lambda*J90))</f>
        <v>8.8391754251310607E-6</v>
      </c>
      <c r="N90" s="15">
        <f>beta_0+beta_1*((1-EXP(-lambda*K90))/(lambda*K90))+beta_2*((1-EXP(-lambda*K90))/(lambda*K90)-EXP(-lambda*K90))</f>
        <v>0</v>
      </c>
      <c r="O90" s="15">
        <f>beta_0_scen+beta_1_scen*((1-EXP(-lambda*K90))/(lambda*K90))+beta_2_scen*((1-EXP(-lambda*K90))/(lambda*K90)-EXP(-lambda*K90))</f>
        <v>9.4551686700385042E-6</v>
      </c>
      <c r="P90" s="7">
        <f t="shared" si="49"/>
        <v>0</v>
      </c>
      <c r="Q90" s="7">
        <f>N90+$I90*(O90-N90)/12</f>
        <v>0</v>
      </c>
      <c r="R90" s="43">
        <f>P90%/12</f>
        <v>0</v>
      </c>
      <c r="S90" s="44">
        <f ca="1">PRICE(TODAY(),TODAY()+K90*365.25,P90%,Q90%,100,2)/100-1</f>
        <v>0</v>
      </c>
      <c r="T90" s="49">
        <f ca="1">(1+R90+S90)^12-1</f>
        <v>0</v>
      </c>
      <c r="U90" s="32">
        <v>0</v>
      </c>
      <c r="V90" s="1"/>
      <c r="W90" s="1"/>
      <c r="X90" s="1"/>
      <c r="Y90" s="1"/>
    </row>
    <row r="91" spans="9:25" x14ac:dyDescent="0.2">
      <c r="I91" s="4">
        <v>1</v>
      </c>
      <c r="J91" s="7">
        <f t="shared" ref="J91:O91" si="67">J90</f>
        <v>6</v>
      </c>
      <c r="K91" s="7">
        <f t="shared" si="67"/>
        <v>5.916666666666667</v>
      </c>
      <c r="L91" s="7">
        <f t="shared" si="67"/>
        <v>0</v>
      </c>
      <c r="M91" s="7">
        <f t="shared" si="67"/>
        <v>8.8391754251310607E-6</v>
      </c>
      <c r="N91" s="7">
        <f t="shared" si="67"/>
        <v>0</v>
      </c>
      <c r="O91" s="7">
        <f t="shared" si="67"/>
        <v>9.4551686700385042E-6</v>
      </c>
      <c r="P91" s="7">
        <f t="shared" si="49"/>
        <v>7.3659795209425502E-7</v>
      </c>
      <c r="Q91" s="7">
        <f t="shared" ref="Q91:Q102" si="68">N91+$I91*(O91-N91)/12</f>
        <v>7.8793072250320868E-7</v>
      </c>
      <c r="R91" s="76">
        <f>P90%/12</f>
        <v>0</v>
      </c>
      <c r="S91" s="77">
        <f ca="1">PRICE(TODAY(),TODAY()+K91*365.25,P90%,Q91%,100,2)/100-1</f>
        <v>-4.659734753609257E-8</v>
      </c>
      <c r="T91" s="32">
        <f ca="1">R91+S91</f>
        <v>-4.659734753609257E-8</v>
      </c>
      <c r="U91" s="32">
        <f ca="1">(1+U90)*(1+T91)-1</f>
        <v>-4.659734753609257E-8</v>
      </c>
      <c r="V91" s="1"/>
      <c r="W91" s="1"/>
      <c r="X91" s="1"/>
      <c r="Y91" s="1"/>
    </row>
    <row r="92" spans="9:25" x14ac:dyDescent="0.2">
      <c r="I92" s="4">
        <v>2</v>
      </c>
      <c r="J92" s="7">
        <f t="shared" ref="J92:O92" si="69">J91</f>
        <v>6</v>
      </c>
      <c r="K92" s="7">
        <f t="shared" si="69"/>
        <v>5.916666666666667</v>
      </c>
      <c r="L92" s="7">
        <f t="shared" si="69"/>
        <v>0</v>
      </c>
      <c r="M92" s="7">
        <f t="shared" si="69"/>
        <v>8.8391754251310607E-6</v>
      </c>
      <c r="N92" s="7">
        <f t="shared" si="69"/>
        <v>0</v>
      </c>
      <c r="O92" s="7">
        <f t="shared" si="69"/>
        <v>9.4551686700385042E-6</v>
      </c>
      <c r="P92" s="7">
        <f t="shared" si="49"/>
        <v>1.47319590418851E-6</v>
      </c>
      <c r="Q92" s="7">
        <f t="shared" si="68"/>
        <v>1.5758614450064174E-6</v>
      </c>
      <c r="R92" s="76">
        <f t="shared" ref="R92:R102" si="70">P91%/12</f>
        <v>6.1383162674521248E-10</v>
      </c>
      <c r="S92" s="77">
        <f t="shared" ref="S92:S102" ca="1" si="71">PRICE(TODAY(),TODAY()+K92*365.25,P91%,Q92%,100,2)/100-1</f>
        <v>-4.9633107734869952E-8</v>
      </c>
      <c r="T92" s="32">
        <f t="shared" ref="T92:T102" ca="1" si="72">R92+S92</f>
        <v>-4.9019276108124741E-8</v>
      </c>
      <c r="U92" s="32">
        <f t="shared" ref="U92:U102" ca="1" si="73">(1+U91)*(1+T92)-1</f>
        <v>-9.5616621287319958E-8</v>
      </c>
      <c r="V92" s="1"/>
      <c r="W92" s="1"/>
      <c r="X92" s="1"/>
      <c r="Y92" s="1"/>
    </row>
    <row r="93" spans="9:25" x14ac:dyDescent="0.2">
      <c r="I93" s="4">
        <v>3</v>
      </c>
      <c r="J93" s="7">
        <f t="shared" ref="J93:O93" si="74">J92</f>
        <v>6</v>
      </c>
      <c r="K93" s="7">
        <f t="shared" si="74"/>
        <v>5.916666666666667</v>
      </c>
      <c r="L93" s="7">
        <f t="shared" si="74"/>
        <v>0</v>
      </c>
      <c r="M93" s="7">
        <f t="shared" si="74"/>
        <v>8.8391754251310607E-6</v>
      </c>
      <c r="N93" s="7">
        <f t="shared" si="74"/>
        <v>0</v>
      </c>
      <c r="O93" s="7">
        <f t="shared" si="74"/>
        <v>9.4551686700385042E-6</v>
      </c>
      <c r="P93" s="7">
        <f t="shared" si="49"/>
        <v>2.2097938562827652E-6</v>
      </c>
      <c r="Q93" s="7">
        <f t="shared" si="68"/>
        <v>2.363792167509626E-6</v>
      </c>
      <c r="R93" s="76">
        <f t="shared" si="70"/>
        <v>1.227663253490425E-9</v>
      </c>
      <c r="S93" s="77">
        <f t="shared" ca="1" si="71"/>
        <v>-5.2668870598182593E-8</v>
      </c>
      <c r="T93" s="32">
        <f t="shared" ca="1" si="72"/>
        <v>-5.144120734469217E-8</v>
      </c>
      <c r="U93" s="32">
        <f t="shared" ca="1" si="73"/>
        <v>-1.4705782369617282E-7</v>
      </c>
      <c r="V93" s="1"/>
      <c r="W93" s="1"/>
      <c r="X93" s="1"/>
      <c r="Y93" s="1"/>
    </row>
    <row r="94" spans="9:25" x14ac:dyDescent="0.2">
      <c r="I94" s="4">
        <v>4</v>
      </c>
      <c r="J94" s="7">
        <f t="shared" ref="J94:O94" si="75">J93</f>
        <v>6</v>
      </c>
      <c r="K94" s="7">
        <f t="shared" si="75"/>
        <v>5.916666666666667</v>
      </c>
      <c r="L94" s="7">
        <f t="shared" si="75"/>
        <v>0</v>
      </c>
      <c r="M94" s="7">
        <f t="shared" si="75"/>
        <v>8.8391754251310607E-6</v>
      </c>
      <c r="N94" s="7">
        <f t="shared" si="75"/>
        <v>0</v>
      </c>
      <c r="O94" s="7">
        <f t="shared" si="75"/>
        <v>9.4551686700385042E-6</v>
      </c>
      <c r="P94" s="7">
        <f t="shared" si="49"/>
        <v>2.9463918083770201E-6</v>
      </c>
      <c r="Q94" s="7">
        <f t="shared" si="68"/>
        <v>3.1517228900128347E-6</v>
      </c>
      <c r="R94" s="76">
        <f t="shared" si="70"/>
        <v>1.8414948802356377E-9</v>
      </c>
      <c r="S94" s="77">
        <f t="shared" ca="1" si="71"/>
        <v>-5.5704630463893068E-8</v>
      </c>
      <c r="T94" s="32">
        <f t="shared" ca="1" si="72"/>
        <v>-5.3863135583657433E-8</v>
      </c>
      <c r="U94" s="32">
        <f t="shared" ca="1" si="73"/>
        <v>-2.0092095143198208E-7</v>
      </c>
      <c r="V94" s="1"/>
      <c r="W94" s="1"/>
      <c r="X94" s="1"/>
      <c r="Y94" s="1"/>
    </row>
    <row r="95" spans="9:25" x14ac:dyDescent="0.2">
      <c r="I95" s="4">
        <v>5</v>
      </c>
      <c r="J95" s="7">
        <f t="shared" ref="J95:O95" si="76">J94</f>
        <v>6</v>
      </c>
      <c r="K95" s="7">
        <f t="shared" si="76"/>
        <v>5.916666666666667</v>
      </c>
      <c r="L95" s="7">
        <f t="shared" si="76"/>
        <v>0</v>
      </c>
      <c r="M95" s="7">
        <f t="shared" si="76"/>
        <v>8.8391754251310607E-6</v>
      </c>
      <c r="N95" s="7">
        <f t="shared" si="76"/>
        <v>0</v>
      </c>
      <c r="O95" s="7">
        <f t="shared" si="76"/>
        <v>9.4551686700385042E-6</v>
      </c>
      <c r="P95" s="7">
        <f t="shared" si="49"/>
        <v>3.6829897604712754E-6</v>
      </c>
      <c r="Q95" s="7">
        <f t="shared" si="68"/>
        <v>3.9396536125160434E-6</v>
      </c>
      <c r="R95" s="76">
        <f t="shared" si="70"/>
        <v>2.4553265069808499E-9</v>
      </c>
      <c r="S95" s="77">
        <f t="shared" ca="1" si="71"/>
        <v>-5.8740392883116499E-8</v>
      </c>
      <c r="T95" s="32">
        <f t="shared" ca="1" si="72"/>
        <v>-5.6285066376135646E-8</v>
      </c>
      <c r="U95" s="32">
        <f t="shared" ca="1" si="73"/>
        <v>-2.5720600649314918E-7</v>
      </c>
      <c r="V95" s="1"/>
      <c r="W95" s="1"/>
      <c r="X95" s="1"/>
      <c r="Y95" s="1"/>
    </row>
    <row r="96" spans="9:25" x14ac:dyDescent="0.2">
      <c r="I96" s="4">
        <v>6</v>
      </c>
      <c r="J96" s="7">
        <f t="shared" ref="J96:O96" si="77">J95</f>
        <v>6</v>
      </c>
      <c r="K96" s="7">
        <f t="shared" si="77"/>
        <v>5.916666666666667</v>
      </c>
      <c r="L96" s="7">
        <f t="shared" si="77"/>
        <v>0</v>
      </c>
      <c r="M96" s="7">
        <f t="shared" si="77"/>
        <v>8.8391754251310607E-6</v>
      </c>
      <c r="N96" s="7">
        <f t="shared" si="77"/>
        <v>0</v>
      </c>
      <c r="O96" s="7">
        <f t="shared" si="77"/>
        <v>9.4551686700385042E-6</v>
      </c>
      <c r="P96" s="7">
        <f t="shared" si="49"/>
        <v>4.4195877125655303E-6</v>
      </c>
      <c r="Q96" s="7">
        <f t="shared" si="68"/>
        <v>4.7275843350192521E-6</v>
      </c>
      <c r="R96" s="76">
        <f t="shared" si="70"/>
        <v>3.0691581337260627E-9</v>
      </c>
      <c r="S96" s="77">
        <f t="shared" ca="1" si="71"/>
        <v>-6.1776152637804671E-8</v>
      </c>
      <c r="T96" s="32">
        <f t="shared" ca="1" si="72"/>
        <v>-5.8706994504078607E-8</v>
      </c>
      <c r="U96" s="32">
        <f t="shared" ca="1" si="73"/>
        <v>-3.1591298588207195E-7</v>
      </c>
      <c r="V96" s="1"/>
      <c r="W96" s="1"/>
      <c r="X96" s="1"/>
      <c r="Y96" s="1"/>
    </row>
    <row r="97" spans="9:25" x14ac:dyDescent="0.2">
      <c r="I97" s="4">
        <v>7</v>
      </c>
      <c r="J97" s="7">
        <f t="shared" ref="J97:O97" si="78">J96</f>
        <v>6</v>
      </c>
      <c r="K97" s="7">
        <f t="shared" si="78"/>
        <v>5.916666666666667</v>
      </c>
      <c r="L97" s="7">
        <f t="shared" si="78"/>
        <v>0</v>
      </c>
      <c r="M97" s="7">
        <f t="shared" si="78"/>
        <v>8.8391754251310607E-6</v>
      </c>
      <c r="N97" s="7">
        <f t="shared" si="78"/>
        <v>0</v>
      </c>
      <c r="O97" s="7">
        <f t="shared" si="78"/>
        <v>9.4551686700385042E-6</v>
      </c>
      <c r="P97" s="7">
        <f t="shared" si="49"/>
        <v>5.1561856646597857E-6</v>
      </c>
      <c r="Q97" s="7">
        <f t="shared" si="68"/>
        <v>5.5155150575224608E-6</v>
      </c>
      <c r="R97" s="76">
        <f t="shared" si="70"/>
        <v>3.6829897604712755E-9</v>
      </c>
      <c r="S97" s="77">
        <f t="shared" ca="1" si="71"/>
        <v>-6.4811914612938892E-8</v>
      </c>
      <c r="T97" s="32">
        <f t="shared" ca="1" si="72"/>
        <v>-6.1128924852467623E-8</v>
      </c>
      <c r="U97" s="32">
        <f t="shared" ca="1" si="73"/>
        <v>-3.7704189137510724E-7</v>
      </c>
      <c r="V97" s="1"/>
      <c r="W97" s="1"/>
      <c r="X97" s="1"/>
      <c r="Y97" s="1"/>
    </row>
    <row r="98" spans="9:25" x14ac:dyDescent="0.2">
      <c r="I98" s="4">
        <v>8</v>
      </c>
      <c r="J98" s="7">
        <f t="shared" ref="J98:O98" si="79">J97</f>
        <v>6</v>
      </c>
      <c r="K98" s="7">
        <f t="shared" si="79"/>
        <v>5.916666666666667</v>
      </c>
      <c r="L98" s="7">
        <f t="shared" si="79"/>
        <v>0</v>
      </c>
      <c r="M98" s="7">
        <f t="shared" si="79"/>
        <v>8.8391754251310607E-6</v>
      </c>
      <c r="N98" s="7">
        <f t="shared" si="79"/>
        <v>0</v>
      </c>
      <c r="O98" s="7">
        <f t="shared" si="79"/>
        <v>9.4551686700385042E-6</v>
      </c>
      <c r="P98" s="7">
        <f t="shared" si="49"/>
        <v>5.8927836167540402E-6</v>
      </c>
      <c r="Q98" s="7">
        <f t="shared" si="68"/>
        <v>6.3034457800256695E-6</v>
      </c>
      <c r="R98" s="76">
        <f t="shared" si="70"/>
        <v>4.2968213872164883E-9</v>
      </c>
      <c r="S98" s="77">
        <f t="shared" ca="1" si="71"/>
        <v>-6.7847673923537855E-8</v>
      </c>
      <c r="T98" s="32">
        <f t="shared" ca="1" si="72"/>
        <v>-6.355085253632136E-8</v>
      </c>
      <c r="U98" s="32">
        <f t="shared" ca="1" si="73"/>
        <v>-4.4059271997465288E-7</v>
      </c>
      <c r="V98" s="1"/>
      <c r="W98" s="1"/>
      <c r="X98" s="1"/>
      <c r="Y98" s="1"/>
    </row>
    <row r="99" spans="9:25" x14ac:dyDescent="0.2">
      <c r="I99" s="4">
        <v>9</v>
      </c>
      <c r="J99" s="7">
        <f t="shared" ref="J99:O99" si="80">J98</f>
        <v>6</v>
      </c>
      <c r="K99" s="7">
        <f t="shared" si="80"/>
        <v>5.916666666666667</v>
      </c>
      <c r="L99" s="7">
        <f t="shared" si="80"/>
        <v>0</v>
      </c>
      <c r="M99" s="7">
        <f t="shared" si="80"/>
        <v>8.8391754251310607E-6</v>
      </c>
      <c r="N99" s="7">
        <f t="shared" si="80"/>
        <v>0</v>
      </c>
      <c r="O99" s="7">
        <f t="shared" si="80"/>
        <v>9.4551686700385042E-6</v>
      </c>
      <c r="P99" s="7">
        <f t="shared" si="49"/>
        <v>6.6293815688482955E-6</v>
      </c>
      <c r="Q99" s="7">
        <f t="shared" si="68"/>
        <v>7.0913765025288781E-6</v>
      </c>
      <c r="R99" s="76">
        <f t="shared" si="70"/>
        <v>4.9106530139616998E-9</v>
      </c>
      <c r="S99" s="77">
        <f t="shared" ca="1" si="71"/>
        <v>-7.0883435898672076E-8</v>
      </c>
      <c r="T99" s="32">
        <f t="shared" ca="1" si="72"/>
        <v>-6.597278288471037E-8</v>
      </c>
      <c r="U99" s="32">
        <f t="shared" ca="1" si="73"/>
        <v>-5.0656547379013261E-7</v>
      </c>
      <c r="V99" s="1"/>
      <c r="W99" s="1"/>
      <c r="X99" s="1"/>
      <c r="Y99" s="1"/>
    </row>
    <row r="100" spans="9:25" x14ac:dyDescent="0.2">
      <c r="I100" s="4">
        <v>10</v>
      </c>
      <c r="J100" s="7">
        <f t="shared" ref="J100:O100" si="81">J99</f>
        <v>6</v>
      </c>
      <c r="K100" s="7">
        <f t="shared" si="81"/>
        <v>5.916666666666667</v>
      </c>
      <c r="L100" s="7">
        <f t="shared" si="81"/>
        <v>0</v>
      </c>
      <c r="M100" s="7">
        <f t="shared" si="81"/>
        <v>8.8391754251310607E-6</v>
      </c>
      <c r="N100" s="7">
        <f t="shared" si="81"/>
        <v>0</v>
      </c>
      <c r="O100" s="7">
        <f t="shared" si="81"/>
        <v>9.4551686700385042E-6</v>
      </c>
      <c r="P100" s="7">
        <f t="shared" si="49"/>
        <v>7.3659795209425508E-6</v>
      </c>
      <c r="Q100" s="7">
        <f t="shared" si="68"/>
        <v>7.8793072250320868E-6</v>
      </c>
      <c r="R100" s="76">
        <f t="shared" si="70"/>
        <v>5.524484640706913E-9</v>
      </c>
      <c r="S100" s="77">
        <f t="shared" ca="1" si="71"/>
        <v>-7.3919194765181828E-8</v>
      </c>
      <c r="T100" s="32">
        <f t="shared" ca="1" si="72"/>
        <v>-6.8394710124474911E-8</v>
      </c>
      <c r="U100" s="32">
        <f t="shared" ca="1" si="73"/>
        <v>-5.7496014926883277E-7</v>
      </c>
      <c r="V100" s="1"/>
      <c r="W100" s="1"/>
      <c r="X100" s="1"/>
      <c r="Y100" s="1"/>
    </row>
    <row r="101" spans="9:25" x14ac:dyDescent="0.2">
      <c r="I101" s="4">
        <v>11</v>
      </c>
      <c r="J101" s="7">
        <f t="shared" ref="J101:O101" si="82">J100</f>
        <v>6</v>
      </c>
      <c r="K101" s="7">
        <f t="shared" si="82"/>
        <v>5.916666666666667</v>
      </c>
      <c r="L101" s="7">
        <f t="shared" si="82"/>
        <v>0</v>
      </c>
      <c r="M101" s="7">
        <f t="shared" si="82"/>
        <v>8.8391754251310607E-6</v>
      </c>
      <c r="N101" s="7">
        <f t="shared" si="82"/>
        <v>0</v>
      </c>
      <c r="O101" s="7">
        <f t="shared" si="82"/>
        <v>9.4551686700385042E-6</v>
      </c>
      <c r="P101" s="7">
        <f t="shared" si="49"/>
        <v>8.1025774730368062E-6</v>
      </c>
      <c r="Q101" s="7">
        <f t="shared" si="68"/>
        <v>8.6672379475352955E-6</v>
      </c>
      <c r="R101" s="76">
        <f t="shared" si="70"/>
        <v>6.1383162674521254E-9</v>
      </c>
      <c r="S101" s="77">
        <f t="shared" ca="1" si="71"/>
        <v>-7.6954956407249142E-8</v>
      </c>
      <c r="T101" s="32">
        <f t="shared" ca="1" si="72"/>
        <v>-7.0816640139797013E-8</v>
      </c>
      <c r="U101" s="32">
        <f t="shared" ca="1" si="73"/>
        <v>-6.4577674863119938E-7</v>
      </c>
      <c r="V101" s="1"/>
      <c r="W101" s="1"/>
      <c r="X101" s="1"/>
      <c r="Y101" s="1"/>
    </row>
    <row r="102" spans="9:25" x14ac:dyDescent="0.2">
      <c r="I102" s="4">
        <v>12</v>
      </c>
      <c r="J102" s="7">
        <f t="shared" ref="J102:O102" si="83">J101</f>
        <v>6</v>
      </c>
      <c r="K102" s="7">
        <f t="shared" si="83"/>
        <v>5.916666666666667</v>
      </c>
      <c r="L102" s="7">
        <f t="shared" si="83"/>
        <v>0</v>
      </c>
      <c r="M102" s="7">
        <f t="shared" si="83"/>
        <v>8.8391754251310607E-6</v>
      </c>
      <c r="N102" s="7">
        <f t="shared" si="83"/>
        <v>0</v>
      </c>
      <c r="O102" s="7">
        <f t="shared" si="83"/>
        <v>9.4551686700385042E-6</v>
      </c>
      <c r="P102" s="7">
        <f t="shared" si="49"/>
        <v>8.8391754251310607E-6</v>
      </c>
      <c r="Q102" s="7">
        <f t="shared" si="68"/>
        <v>9.4551686700385042E-6</v>
      </c>
      <c r="R102" s="76">
        <f t="shared" si="70"/>
        <v>6.7521478941973378E-9</v>
      </c>
      <c r="S102" s="77">
        <f t="shared" ca="1" si="71"/>
        <v>-7.9990714940691987E-8</v>
      </c>
      <c r="T102" s="32">
        <f t="shared" ca="1" si="72"/>
        <v>-7.3238567046494647E-8</v>
      </c>
      <c r="U102" s="33">
        <f t="shared" ca="1" si="73"/>
        <v>-7.1901526843554109E-7</v>
      </c>
      <c r="V102" s="1"/>
      <c r="W102" s="1"/>
      <c r="X102" s="1"/>
      <c r="Y102" s="1"/>
    </row>
    <row r="103" spans="9:25" x14ac:dyDescent="0.2">
      <c r="I103" s="4">
        <v>0</v>
      </c>
      <c r="J103" s="46">
        <v>7</v>
      </c>
      <c r="K103" s="45">
        <f>J103-1/12</f>
        <v>6.916666666666667</v>
      </c>
      <c r="L103" s="46">
        <f>beta_0+beta_1*((1-EXP(-lambda*J103))/(lambda*J103))+beta_2*((1-EXP(-lambda*J103))/(lambda*J103)-EXP(-lambda*J103))</f>
        <v>0</v>
      </c>
      <c r="M103" s="46">
        <f>beta_0_scen+beta_1_scen*((1-EXP(-lambda*J103))/(lambda*J103))+beta_2_scen*((1-EXP(-lambda*J103))/(lambda*J103)-EXP(-lambda*J103))</f>
        <v>1.2362934528315601E-6</v>
      </c>
      <c r="N103" s="46">
        <f>beta_0+beta_1*((1-EXP(-lambda*K103))/(lambda*K103))+beta_2*((1-EXP(-lambda*K103))/(lambda*K103)-EXP(-lambda*K103))</f>
        <v>0</v>
      </c>
      <c r="O103" s="46">
        <f>beta_0_scen+beta_1_scen*((1-EXP(-lambda*K103))/(lambda*K103))+beta_2_scen*((1-EXP(-lambda*K103))/(lambda*K103)-EXP(-lambda*K103))</f>
        <v>1.877980338165202E-6</v>
      </c>
      <c r="P103" s="45">
        <f t="shared" si="49"/>
        <v>0</v>
      </c>
      <c r="Q103" s="45">
        <f>N103+$I103*(O103-N103)/12</f>
        <v>0</v>
      </c>
      <c r="R103" s="50">
        <f>P103%/12</f>
        <v>0</v>
      </c>
      <c r="S103" s="51">
        <f ca="1">PRICE(TODAY(),TODAY()+K103*365.25,P103%,Q103%,100,2)/100-1</f>
        <v>0</v>
      </c>
      <c r="T103" s="52">
        <f ca="1">(1+R103+S103)^12-1</f>
        <v>0</v>
      </c>
      <c r="U103" s="47">
        <v>0</v>
      </c>
      <c r="V103" s="1"/>
      <c r="W103" s="1"/>
      <c r="X103" s="1"/>
      <c r="Y103" s="1"/>
    </row>
    <row r="104" spans="9:25" x14ac:dyDescent="0.2">
      <c r="I104" s="4">
        <v>1</v>
      </c>
      <c r="J104" s="45">
        <f t="shared" ref="J104:O104" si="84">J103</f>
        <v>7</v>
      </c>
      <c r="K104" s="45">
        <f t="shared" si="84"/>
        <v>6.916666666666667</v>
      </c>
      <c r="L104" s="45">
        <f t="shared" si="84"/>
        <v>0</v>
      </c>
      <c r="M104" s="45">
        <f t="shared" si="84"/>
        <v>1.2362934528315601E-6</v>
      </c>
      <c r="N104" s="45">
        <f t="shared" si="84"/>
        <v>0</v>
      </c>
      <c r="O104" s="45">
        <f t="shared" si="84"/>
        <v>1.877980338165202E-6</v>
      </c>
      <c r="P104" s="45">
        <f t="shared" si="49"/>
        <v>1.0302445440263001E-7</v>
      </c>
      <c r="Q104" s="45">
        <f t="shared" ref="Q104:Q115" si="85">N104+$I104*(O104-N104)/12</f>
        <v>1.5649836151376684E-7</v>
      </c>
      <c r="R104" s="78">
        <f>P103%/12</f>
        <v>0</v>
      </c>
      <c r="S104" s="79">
        <f ca="1">PRICE(TODAY(),TODAY()+K104*365.25,P103%,Q104%,100,2)/100-1</f>
        <v>-1.082012335285043E-8</v>
      </c>
      <c r="T104" s="47">
        <f ca="1">R104+S104</f>
        <v>-1.082012335285043E-8</v>
      </c>
      <c r="U104" s="47">
        <f ca="1">(1+U103)*(1+T104)-1</f>
        <v>-1.082012335285043E-8</v>
      </c>
      <c r="V104" s="1"/>
      <c r="W104" s="1"/>
      <c r="X104" s="1"/>
      <c r="Y104" s="1"/>
    </row>
    <row r="105" spans="9:25" x14ac:dyDescent="0.2">
      <c r="I105" s="4">
        <v>2</v>
      </c>
      <c r="J105" s="45">
        <f t="shared" ref="J105:O105" si="86">J104</f>
        <v>7</v>
      </c>
      <c r="K105" s="45">
        <f t="shared" si="86"/>
        <v>6.916666666666667</v>
      </c>
      <c r="L105" s="45">
        <f t="shared" si="86"/>
        <v>0</v>
      </c>
      <c r="M105" s="45">
        <f t="shared" si="86"/>
        <v>1.2362934528315601E-6</v>
      </c>
      <c r="N105" s="45">
        <f t="shared" si="86"/>
        <v>0</v>
      </c>
      <c r="O105" s="45">
        <f t="shared" si="86"/>
        <v>1.877980338165202E-6</v>
      </c>
      <c r="P105" s="45">
        <f t="shared" si="49"/>
        <v>2.0604890880526001E-7</v>
      </c>
      <c r="Q105" s="45">
        <f t="shared" si="85"/>
        <v>3.1299672302753369E-7</v>
      </c>
      <c r="R105" s="78">
        <f t="shared" ref="R105:R115" si="87">P104%/12</f>
        <v>8.585371200219167E-11</v>
      </c>
      <c r="S105" s="79">
        <f t="shared" ref="S105:S115" ca="1" si="88">PRICE(TODAY(),TODAY()+K105*365.25,P104%,Q105%,100,2)/100-1</f>
        <v>-1.4517250290779771E-8</v>
      </c>
      <c r="T105" s="47">
        <f t="shared" ref="T105:T115" ca="1" si="89">R105+S105</f>
        <v>-1.4431396578777579E-8</v>
      </c>
      <c r="U105" s="47">
        <f t="shared" ref="U105:U114" ca="1" si="90">(1+U104)*(1+T105)-1</f>
        <v>-2.5251519875091333E-8</v>
      </c>
      <c r="V105" s="1"/>
      <c r="W105" s="1"/>
      <c r="X105" s="1"/>
      <c r="Y105" s="1"/>
    </row>
    <row r="106" spans="9:25" x14ac:dyDescent="0.2">
      <c r="I106" s="4">
        <v>3</v>
      </c>
      <c r="J106" s="45">
        <f t="shared" ref="J106:O106" si="91">J105</f>
        <v>7</v>
      </c>
      <c r="K106" s="45">
        <f t="shared" si="91"/>
        <v>6.916666666666667</v>
      </c>
      <c r="L106" s="45">
        <f t="shared" si="91"/>
        <v>0</v>
      </c>
      <c r="M106" s="45">
        <f t="shared" si="91"/>
        <v>1.2362934528315601E-6</v>
      </c>
      <c r="N106" s="45">
        <f t="shared" si="91"/>
        <v>0</v>
      </c>
      <c r="O106" s="45">
        <f t="shared" si="91"/>
        <v>1.877980338165202E-6</v>
      </c>
      <c r="P106" s="45">
        <f t="shared" si="49"/>
        <v>3.0907336320789002E-7</v>
      </c>
      <c r="Q106" s="45">
        <f t="shared" si="85"/>
        <v>4.694950845413005E-7</v>
      </c>
      <c r="R106" s="78">
        <f t="shared" si="87"/>
        <v>1.7170742400438334E-10</v>
      </c>
      <c r="S106" s="79">
        <f t="shared" ca="1" si="88"/>
        <v>-1.8214374342129247E-8</v>
      </c>
      <c r="T106" s="47">
        <f t="shared" ca="1" si="89"/>
        <v>-1.8042666918124863E-8</v>
      </c>
      <c r="U106" s="47">
        <f t="shared" ca="1" si="90"/>
        <v>-4.3294186347075936E-8</v>
      </c>
      <c r="V106" s="1"/>
      <c r="W106" s="1"/>
      <c r="X106" s="1"/>
      <c r="Y106" s="1"/>
    </row>
    <row r="107" spans="9:25" x14ac:dyDescent="0.2">
      <c r="I107" s="4">
        <v>4</v>
      </c>
      <c r="J107" s="45">
        <f t="shared" ref="J107:O107" si="92">J106</f>
        <v>7</v>
      </c>
      <c r="K107" s="45">
        <f t="shared" si="92"/>
        <v>6.916666666666667</v>
      </c>
      <c r="L107" s="45">
        <f t="shared" si="92"/>
        <v>0</v>
      </c>
      <c r="M107" s="45">
        <f t="shared" si="92"/>
        <v>1.2362934528315601E-6</v>
      </c>
      <c r="N107" s="45">
        <f t="shared" si="92"/>
        <v>0</v>
      </c>
      <c r="O107" s="45">
        <f t="shared" si="92"/>
        <v>1.877980338165202E-6</v>
      </c>
      <c r="P107" s="45">
        <f t="shared" si="49"/>
        <v>4.1209781761052003E-7</v>
      </c>
      <c r="Q107" s="45">
        <f t="shared" si="85"/>
        <v>6.2599344605506737E-7</v>
      </c>
      <c r="R107" s="78">
        <f t="shared" si="87"/>
        <v>2.5756113600657502E-10</v>
      </c>
      <c r="S107" s="79">
        <f t="shared" ca="1" si="88"/>
        <v>-2.1911501169036285E-8</v>
      </c>
      <c r="T107" s="47">
        <f t="shared" ca="1" si="89"/>
        <v>-2.165394003302971E-8</v>
      </c>
      <c r="U107" s="47">
        <f t="shared" ca="1" si="90"/>
        <v>-6.4948125544361801E-8</v>
      </c>
      <c r="V107" s="1"/>
      <c r="W107" s="1"/>
      <c r="X107" s="1"/>
      <c r="Y107" s="1"/>
    </row>
    <row r="108" spans="9:25" x14ac:dyDescent="0.2">
      <c r="I108" s="4">
        <v>5</v>
      </c>
      <c r="J108" s="45">
        <f t="shared" ref="J108:O108" si="93">J107</f>
        <v>7</v>
      </c>
      <c r="K108" s="45">
        <f t="shared" si="93"/>
        <v>6.916666666666667</v>
      </c>
      <c r="L108" s="45">
        <f t="shared" si="93"/>
        <v>0</v>
      </c>
      <c r="M108" s="45">
        <f t="shared" si="93"/>
        <v>1.2362934528315601E-6</v>
      </c>
      <c r="N108" s="45">
        <f t="shared" si="93"/>
        <v>0</v>
      </c>
      <c r="O108" s="45">
        <f t="shared" si="93"/>
        <v>1.877980338165202E-6</v>
      </c>
      <c r="P108" s="45">
        <f t="shared" ref="P108:P139" si="94">L108+$I108*(M108-L108)/12</f>
        <v>5.1512227201315003E-7</v>
      </c>
      <c r="Q108" s="45">
        <f t="shared" si="85"/>
        <v>7.8249180756883414E-7</v>
      </c>
      <c r="R108" s="78">
        <f t="shared" si="87"/>
        <v>3.4341484800876668E-10</v>
      </c>
      <c r="S108" s="79">
        <f t="shared" ca="1" si="88"/>
        <v>-2.5608627773898718E-8</v>
      </c>
      <c r="T108" s="47">
        <f t="shared" ca="1" si="89"/>
        <v>-2.5265212925889951E-8</v>
      </c>
      <c r="U108" s="47">
        <f t="shared" ca="1" si="90"/>
        <v>-9.0213336800815114E-8</v>
      </c>
      <c r="V108" s="1"/>
      <c r="W108" s="1"/>
      <c r="X108" s="1"/>
      <c r="Y108" s="1"/>
    </row>
    <row r="109" spans="9:25" x14ac:dyDescent="0.2">
      <c r="I109" s="4">
        <v>6</v>
      </c>
      <c r="J109" s="45">
        <f t="shared" ref="J109:O109" si="95">J108</f>
        <v>7</v>
      </c>
      <c r="K109" s="45">
        <f t="shared" si="95"/>
        <v>6.916666666666667</v>
      </c>
      <c r="L109" s="45">
        <f t="shared" si="95"/>
        <v>0</v>
      </c>
      <c r="M109" s="45">
        <f t="shared" si="95"/>
        <v>1.2362934528315601E-6</v>
      </c>
      <c r="N109" s="45">
        <f t="shared" si="95"/>
        <v>0</v>
      </c>
      <c r="O109" s="45">
        <f t="shared" si="95"/>
        <v>1.877980338165202E-6</v>
      </c>
      <c r="P109" s="45">
        <f t="shared" si="94"/>
        <v>6.1814672641578004E-7</v>
      </c>
      <c r="Q109" s="45">
        <f t="shared" si="85"/>
        <v>9.3899016908260101E-7</v>
      </c>
      <c r="R109" s="78">
        <f t="shared" si="87"/>
        <v>4.2926856001095839E-10</v>
      </c>
      <c r="S109" s="79">
        <f t="shared" ca="1" si="88"/>
        <v>-2.9305754600805756E-8</v>
      </c>
      <c r="T109" s="47">
        <f t="shared" ca="1" si="89"/>
        <v>-2.8876486040794797E-8</v>
      </c>
      <c r="U109" s="47">
        <f t="shared" ca="1" si="90"/>
        <v>-1.1908982033848048E-7</v>
      </c>
      <c r="V109" s="1"/>
      <c r="W109" s="1"/>
      <c r="X109" s="1"/>
      <c r="Y109" s="1"/>
    </row>
    <row r="110" spans="9:25" x14ac:dyDescent="0.2">
      <c r="I110" s="4">
        <v>7</v>
      </c>
      <c r="J110" s="45">
        <f t="shared" ref="J110:O110" si="96">J109</f>
        <v>7</v>
      </c>
      <c r="K110" s="45">
        <f t="shared" si="96"/>
        <v>6.916666666666667</v>
      </c>
      <c r="L110" s="45">
        <f t="shared" si="96"/>
        <v>0</v>
      </c>
      <c r="M110" s="45">
        <f t="shared" si="96"/>
        <v>1.2362934528315601E-6</v>
      </c>
      <c r="N110" s="45">
        <f t="shared" si="96"/>
        <v>0</v>
      </c>
      <c r="O110" s="45">
        <f t="shared" si="96"/>
        <v>1.877980338165202E-6</v>
      </c>
      <c r="P110" s="45">
        <f t="shared" si="94"/>
        <v>7.2117118081841005E-7</v>
      </c>
      <c r="Q110" s="45">
        <f t="shared" si="85"/>
        <v>1.0954885305963678E-6</v>
      </c>
      <c r="R110" s="78">
        <f t="shared" si="87"/>
        <v>5.1512227201315005E-10</v>
      </c>
      <c r="S110" s="79">
        <f t="shared" ca="1" si="88"/>
        <v>-3.3002881427712794E-8</v>
      </c>
      <c r="T110" s="47">
        <f t="shared" ca="1" si="89"/>
        <v>-3.2487759155699643E-8</v>
      </c>
      <c r="U110" s="47">
        <f t="shared" ca="1" si="90"/>
        <v>-1.5157757560224638E-7</v>
      </c>
      <c r="V110" s="1"/>
      <c r="W110" s="1"/>
      <c r="X110" s="1"/>
      <c r="Y110" s="1"/>
    </row>
    <row r="111" spans="9:25" x14ac:dyDescent="0.2">
      <c r="I111" s="4">
        <v>8</v>
      </c>
      <c r="J111" s="45">
        <f t="shared" ref="J111:O111" si="97">J110</f>
        <v>7</v>
      </c>
      <c r="K111" s="45">
        <f t="shared" si="97"/>
        <v>6.916666666666667</v>
      </c>
      <c r="L111" s="45">
        <f t="shared" si="97"/>
        <v>0</v>
      </c>
      <c r="M111" s="45">
        <f t="shared" si="97"/>
        <v>1.2362934528315601E-6</v>
      </c>
      <c r="N111" s="45">
        <f t="shared" si="97"/>
        <v>0</v>
      </c>
      <c r="O111" s="45">
        <f t="shared" si="97"/>
        <v>1.877980338165202E-6</v>
      </c>
      <c r="P111" s="45">
        <f t="shared" si="94"/>
        <v>8.2419563522104005E-7</v>
      </c>
      <c r="Q111" s="45">
        <f t="shared" si="85"/>
        <v>1.2519868921101347E-6</v>
      </c>
      <c r="R111" s="78">
        <f t="shared" si="87"/>
        <v>6.009759840153417E-10</v>
      </c>
      <c r="S111" s="79">
        <f t="shared" ca="1" si="88"/>
        <v>-3.6700008365642134E-8</v>
      </c>
      <c r="T111" s="47">
        <f t="shared" ca="1" si="89"/>
        <v>-3.6099032381626792E-8</v>
      </c>
      <c r="U111" s="47">
        <f t="shared" ca="1" si="90"/>
        <v>-1.8767660259211283E-7</v>
      </c>
      <c r="V111" s="1"/>
      <c r="W111" s="1"/>
      <c r="X111" s="1"/>
      <c r="Y111" s="1"/>
    </row>
    <row r="112" spans="9:25" x14ac:dyDescent="0.2">
      <c r="I112" s="4">
        <v>9</v>
      </c>
      <c r="J112" s="45">
        <f t="shared" ref="J112:O112" si="98">J111</f>
        <v>7</v>
      </c>
      <c r="K112" s="45">
        <f t="shared" si="98"/>
        <v>6.916666666666667</v>
      </c>
      <c r="L112" s="45">
        <f t="shared" si="98"/>
        <v>0</v>
      </c>
      <c r="M112" s="45">
        <f t="shared" si="98"/>
        <v>1.2362934528315601E-6</v>
      </c>
      <c r="N112" s="45">
        <f t="shared" si="98"/>
        <v>0</v>
      </c>
      <c r="O112" s="45">
        <f t="shared" si="98"/>
        <v>1.877980338165202E-6</v>
      </c>
      <c r="P112" s="45">
        <f t="shared" si="94"/>
        <v>9.2722008962367006E-7</v>
      </c>
      <c r="Q112" s="45">
        <f t="shared" si="85"/>
        <v>1.4084852536239015E-6</v>
      </c>
      <c r="R112" s="78">
        <f t="shared" si="87"/>
        <v>6.8682969601753336E-10</v>
      </c>
      <c r="S112" s="79">
        <f t="shared" ca="1" si="88"/>
        <v>-4.0397132083924703E-8</v>
      </c>
      <c r="T112" s="47">
        <f t="shared" ca="1" si="89"/>
        <v>-3.9710302387907169E-8</v>
      </c>
      <c r="U112" s="47">
        <f t="shared" ca="1" si="90"/>
        <v>-2.2738689753332153E-7</v>
      </c>
      <c r="V112" s="1"/>
      <c r="W112" s="1"/>
      <c r="X112" s="1"/>
      <c r="Y112" s="1"/>
    </row>
    <row r="113" spans="9:25" x14ac:dyDescent="0.2">
      <c r="I113" s="4">
        <v>10</v>
      </c>
      <c r="J113" s="45">
        <f t="shared" ref="J113:O113" si="99">J112</f>
        <v>7</v>
      </c>
      <c r="K113" s="45">
        <f t="shared" si="99"/>
        <v>6.916666666666667</v>
      </c>
      <c r="L113" s="45">
        <f t="shared" si="99"/>
        <v>0</v>
      </c>
      <c r="M113" s="45">
        <f t="shared" si="99"/>
        <v>1.2362934528315601E-6</v>
      </c>
      <c r="N113" s="45">
        <f t="shared" si="99"/>
        <v>0</v>
      </c>
      <c r="O113" s="45">
        <f t="shared" si="99"/>
        <v>1.877980338165202E-6</v>
      </c>
      <c r="P113" s="45">
        <f t="shared" si="94"/>
        <v>1.0302445440263001E-6</v>
      </c>
      <c r="Q113" s="45">
        <f t="shared" si="85"/>
        <v>1.5649836151376683E-6</v>
      </c>
      <c r="R113" s="78">
        <f t="shared" si="87"/>
        <v>7.7268340801972502E-10</v>
      </c>
      <c r="S113" s="79">
        <f t="shared" ca="1" si="88"/>
        <v>-4.4094258577764833E-8</v>
      </c>
      <c r="T113" s="47">
        <f t="shared" ca="1" si="89"/>
        <v>-4.3321575169745107E-8</v>
      </c>
      <c r="U113" s="47">
        <f t="shared" ca="1" si="90"/>
        <v>-2.7070846286836314E-7</v>
      </c>
      <c r="V113" s="1"/>
      <c r="W113" s="1"/>
      <c r="X113" s="1"/>
      <c r="Y113" s="1"/>
    </row>
    <row r="114" spans="9:25" x14ac:dyDescent="0.2">
      <c r="I114" s="4">
        <v>11</v>
      </c>
      <c r="J114" s="45">
        <f t="shared" ref="J114:O114" si="100">J113</f>
        <v>7</v>
      </c>
      <c r="K114" s="45">
        <f t="shared" si="100"/>
        <v>6.916666666666667</v>
      </c>
      <c r="L114" s="45">
        <f t="shared" si="100"/>
        <v>0</v>
      </c>
      <c r="M114" s="45">
        <f t="shared" si="100"/>
        <v>1.2362934528315601E-6</v>
      </c>
      <c r="N114" s="45">
        <f t="shared" si="100"/>
        <v>0</v>
      </c>
      <c r="O114" s="45">
        <f t="shared" si="100"/>
        <v>1.877980338165202E-6</v>
      </c>
      <c r="P114" s="45">
        <f t="shared" si="94"/>
        <v>1.1332689984289301E-6</v>
      </c>
      <c r="Q114" s="45">
        <f t="shared" si="85"/>
        <v>1.7214819766514353E-6</v>
      </c>
      <c r="R114" s="78">
        <f t="shared" si="87"/>
        <v>8.5853712002191678E-10</v>
      </c>
      <c r="S114" s="79">
        <f t="shared" ca="1" si="88"/>
        <v>-4.7791385182627266E-8</v>
      </c>
      <c r="T114" s="47">
        <f t="shared" ca="1" si="89"/>
        <v>-4.6932848062605349E-8</v>
      </c>
      <c r="U114" s="47">
        <f t="shared" ca="1" si="90"/>
        <v>-3.1764129826417076E-7</v>
      </c>
      <c r="V114" s="1"/>
      <c r="W114" s="1"/>
      <c r="X114" s="1"/>
      <c r="Y114" s="1"/>
    </row>
    <row r="115" spans="9:25" x14ac:dyDescent="0.2">
      <c r="I115" s="4">
        <v>12</v>
      </c>
      <c r="J115" s="45">
        <f>J114</f>
        <v>7</v>
      </c>
      <c r="K115" s="45">
        <f>K114</f>
        <v>6.916666666666667</v>
      </c>
      <c r="L115" s="45">
        <f t="shared" ref="L115:O115" si="101">L114</f>
        <v>0</v>
      </c>
      <c r="M115" s="45">
        <f t="shared" si="101"/>
        <v>1.2362934528315601E-6</v>
      </c>
      <c r="N115" s="45">
        <f t="shared" si="101"/>
        <v>0</v>
      </c>
      <c r="O115" s="45">
        <f t="shared" si="101"/>
        <v>1.877980338165202E-6</v>
      </c>
      <c r="P115" s="45">
        <f t="shared" si="94"/>
        <v>1.2362934528315601E-6</v>
      </c>
      <c r="Q115" s="45">
        <f t="shared" si="85"/>
        <v>1.877980338165202E-6</v>
      </c>
      <c r="R115" s="78">
        <f t="shared" si="87"/>
        <v>9.4439083202410833E-10</v>
      </c>
      <c r="S115" s="79">
        <f t="shared" ca="1" si="88"/>
        <v>-5.1488511676467397E-8</v>
      </c>
      <c r="T115" s="47">
        <f t="shared" ca="1" si="89"/>
        <v>-5.0544120844443287E-8</v>
      </c>
      <c r="U115" s="48">
        <f ca="1">(1+U114)*(1+T115)-1</f>
        <v>-3.6818540305461056E-7</v>
      </c>
      <c r="V115" s="1"/>
      <c r="W115" s="1"/>
      <c r="X115" s="1"/>
      <c r="Y115" s="1"/>
    </row>
    <row r="116" spans="9:25" x14ac:dyDescent="0.2">
      <c r="I116" s="4">
        <v>0</v>
      </c>
      <c r="J116" s="15">
        <v>8</v>
      </c>
      <c r="K116" s="7">
        <f>J116-1/12</f>
        <v>7.916666666666667</v>
      </c>
      <c r="L116" s="15">
        <f>beta_0+beta_1*((1-EXP(-lambda*J116))/(lambda*J116))+beta_2*((1-EXP(-lambda*J116))/(lambda*J116)-EXP(-lambda*J116))</f>
        <v>0</v>
      </c>
      <c r="M116" s="15">
        <f>beta_0_scen+beta_1_scen*((1-EXP(-lambda*J116))/(lambda*J116))+beta_2_scen*((1-EXP(-lambda*J116))/(lambda*J116)-EXP(-lambda*J116))</f>
        <v>-6.4314524834960317E-6</v>
      </c>
      <c r="N116" s="15">
        <f>beta_0+beta_1*((1-EXP(-lambda*K116))/(lambda*K116))+beta_2*((1-EXP(-lambda*K116))/(lambda*K116)-EXP(-lambda*K116))</f>
        <v>0</v>
      </c>
      <c r="O116" s="15">
        <f>beta_0_scen+beta_1_scen*((1-EXP(-lambda*K116))/(lambda*K116))+beta_2_scen*((1-EXP(-lambda*K116))/(lambda*K116)-EXP(-lambda*K116))</f>
        <v>-5.7987572703289644E-6</v>
      </c>
      <c r="P116" s="7">
        <f t="shared" si="94"/>
        <v>0</v>
      </c>
      <c r="Q116" s="7">
        <f>N116+$I116*(O116-N116)/12</f>
        <v>0</v>
      </c>
      <c r="R116" s="43">
        <f>P116%/12</f>
        <v>0</v>
      </c>
      <c r="S116" s="44">
        <f ca="1">PRICE(TODAY(),TODAY()+K116*365.25,P116%,Q116%,100,2)/100-1</f>
        <v>0</v>
      </c>
      <c r="T116" s="49">
        <f ca="1">(1+R116+S116)^12-1</f>
        <v>0</v>
      </c>
      <c r="U116" s="32">
        <v>0</v>
      </c>
      <c r="V116" s="1"/>
      <c r="W116" s="1"/>
      <c r="X116" s="1"/>
      <c r="Y116" s="1"/>
    </row>
    <row r="117" spans="9:25" x14ac:dyDescent="0.2">
      <c r="I117" s="4">
        <v>1</v>
      </c>
      <c r="J117" s="7">
        <f t="shared" ref="J117:O117" si="102">J116</f>
        <v>8</v>
      </c>
      <c r="K117" s="7">
        <f t="shared" si="102"/>
        <v>7.916666666666667</v>
      </c>
      <c r="L117" s="7">
        <f t="shared" si="102"/>
        <v>0</v>
      </c>
      <c r="M117" s="7">
        <f t="shared" si="102"/>
        <v>-6.4314524834960317E-6</v>
      </c>
      <c r="N117" s="7">
        <f t="shared" si="102"/>
        <v>0</v>
      </c>
      <c r="O117" s="7">
        <f t="shared" si="102"/>
        <v>-5.7987572703289644E-6</v>
      </c>
      <c r="P117" s="7">
        <f t="shared" si="94"/>
        <v>-5.3595437362466934E-7</v>
      </c>
      <c r="Q117" s="7">
        <f t="shared" ref="Q117:Q128" si="103">N117+$I117*(O117-N117)/12</f>
        <v>-4.8322977252741373E-7</v>
      </c>
      <c r="R117" s="76">
        <f>P116%/12</f>
        <v>0</v>
      </c>
      <c r="S117" s="77" t="e">
        <f ca="1">PRICE(TODAY(),TODAY()+K117*365.25,P116%,Q117%,100,2)/100-1</f>
        <v>#NUM!</v>
      </c>
      <c r="T117" s="32" t="e">
        <f ca="1">R117+S117</f>
        <v>#NUM!</v>
      </c>
      <c r="U117" s="32" t="e">
        <f ca="1">(1+U116)*(1+T117)-1</f>
        <v>#NUM!</v>
      </c>
      <c r="V117" s="1"/>
      <c r="W117" s="1"/>
      <c r="X117" s="1"/>
      <c r="Y117" s="1"/>
    </row>
    <row r="118" spans="9:25" x14ac:dyDescent="0.2">
      <c r="I118" s="4">
        <v>2</v>
      </c>
      <c r="J118" s="7">
        <f t="shared" ref="J118:O118" si="104">J117</f>
        <v>8</v>
      </c>
      <c r="K118" s="7">
        <f t="shared" si="104"/>
        <v>7.916666666666667</v>
      </c>
      <c r="L118" s="7">
        <f t="shared" si="104"/>
        <v>0</v>
      </c>
      <c r="M118" s="7">
        <f t="shared" si="104"/>
        <v>-6.4314524834960317E-6</v>
      </c>
      <c r="N118" s="7">
        <f t="shared" si="104"/>
        <v>0</v>
      </c>
      <c r="O118" s="7">
        <f t="shared" si="104"/>
        <v>-5.7987572703289644E-6</v>
      </c>
      <c r="P118" s="7">
        <f t="shared" si="94"/>
        <v>-1.0719087472493387E-6</v>
      </c>
      <c r="Q118" s="7">
        <f t="shared" si="103"/>
        <v>-9.6645954505482747E-7</v>
      </c>
      <c r="R118" s="76">
        <f t="shared" ref="R118:R128" si="105">P117%/12</f>
        <v>-4.4662864468722445E-10</v>
      </c>
      <c r="S118" s="77" t="e">
        <f t="shared" ref="S118:S128" ca="1" si="106">PRICE(TODAY(),TODAY()+K118*365.25,P117%,Q118%,100,2)/100-1</f>
        <v>#NUM!</v>
      </c>
      <c r="T118" s="32" t="e">
        <f t="shared" ref="T118:T128" ca="1" si="107">R118+S118</f>
        <v>#NUM!</v>
      </c>
      <c r="U118" s="32" t="e">
        <f t="shared" ref="U118:U128" ca="1" si="108">(1+U117)*(1+T118)-1</f>
        <v>#NUM!</v>
      </c>
      <c r="V118" s="1"/>
      <c r="W118" s="1"/>
      <c r="X118" s="1"/>
      <c r="Y118" s="1"/>
    </row>
    <row r="119" spans="9:25" x14ac:dyDescent="0.2">
      <c r="I119" s="4">
        <v>3</v>
      </c>
      <c r="J119" s="7">
        <f t="shared" ref="J119:O119" si="109">J118</f>
        <v>8</v>
      </c>
      <c r="K119" s="7">
        <f t="shared" si="109"/>
        <v>7.916666666666667</v>
      </c>
      <c r="L119" s="7">
        <f t="shared" si="109"/>
        <v>0</v>
      </c>
      <c r="M119" s="7">
        <f t="shared" si="109"/>
        <v>-6.4314524834960317E-6</v>
      </c>
      <c r="N119" s="7">
        <f t="shared" si="109"/>
        <v>0</v>
      </c>
      <c r="O119" s="7">
        <f t="shared" si="109"/>
        <v>-5.7987572703289644E-6</v>
      </c>
      <c r="P119" s="7">
        <f t="shared" si="94"/>
        <v>-1.6078631208740079E-6</v>
      </c>
      <c r="Q119" s="7">
        <f t="shared" si="103"/>
        <v>-1.4496893175822411E-6</v>
      </c>
      <c r="R119" s="76">
        <f t="shared" si="105"/>
        <v>-8.932572893744489E-10</v>
      </c>
      <c r="S119" s="77" t="e">
        <f t="shared" ca="1" si="106"/>
        <v>#NUM!</v>
      </c>
      <c r="T119" s="32" t="e">
        <f t="shared" ca="1" si="107"/>
        <v>#NUM!</v>
      </c>
      <c r="U119" s="32" t="e">
        <f t="shared" ca="1" si="108"/>
        <v>#NUM!</v>
      </c>
      <c r="V119" s="1"/>
      <c r="W119" s="1"/>
      <c r="X119" s="1"/>
      <c r="Y119" s="1"/>
    </row>
    <row r="120" spans="9:25" x14ac:dyDescent="0.2">
      <c r="I120" s="4">
        <v>4</v>
      </c>
      <c r="J120" s="7">
        <f t="shared" ref="J120:O120" si="110">J119</f>
        <v>8</v>
      </c>
      <c r="K120" s="7">
        <f t="shared" si="110"/>
        <v>7.916666666666667</v>
      </c>
      <c r="L120" s="7">
        <f t="shared" si="110"/>
        <v>0</v>
      </c>
      <c r="M120" s="7">
        <f t="shared" si="110"/>
        <v>-6.4314524834960317E-6</v>
      </c>
      <c r="N120" s="7">
        <f t="shared" si="110"/>
        <v>0</v>
      </c>
      <c r="O120" s="7">
        <f t="shared" si="110"/>
        <v>-5.7987572703289644E-6</v>
      </c>
      <c r="P120" s="7">
        <f t="shared" si="94"/>
        <v>-2.1438174944986774E-6</v>
      </c>
      <c r="Q120" s="7">
        <f t="shared" si="103"/>
        <v>-1.9329190901096549E-6</v>
      </c>
      <c r="R120" s="76">
        <f t="shared" si="105"/>
        <v>-1.3398859340616732E-9</v>
      </c>
      <c r="S120" s="77" t="e">
        <f t="shared" ca="1" si="106"/>
        <v>#NUM!</v>
      </c>
      <c r="T120" s="32" t="e">
        <f t="shared" ca="1" si="107"/>
        <v>#NUM!</v>
      </c>
      <c r="U120" s="32" t="e">
        <f t="shared" ca="1" si="108"/>
        <v>#NUM!</v>
      </c>
      <c r="V120" s="1"/>
      <c r="W120" s="1"/>
      <c r="X120" s="1"/>
      <c r="Y120" s="1"/>
    </row>
    <row r="121" spans="9:25" x14ac:dyDescent="0.2">
      <c r="I121" s="4">
        <v>5</v>
      </c>
      <c r="J121" s="7">
        <f t="shared" ref="J121:O121" si="111">J120</f>
        <v>8</v>
      </c>
      <c r="K121" s="7">
        <f t="shared" si="111"/>
        <v>7.916666666666667</v>
      </c>
      <c r="L121" s="7">
        <f t="shared" si="111"/>
        <v>0</v>
      </c>
      <c r="M121" s="7">
        <f t="shared" si="111"/>
        <v>-6.4314524834960317E-6</v>
      </c>
      <c r="N121" s="7">
        <f t="shared" si="111"/>
        <v>0</v>
      </c>
      <c r="O121" s="7">
        <f t="shared" si="111"/>
        <v>-5.7987572703289644E-6</v>
      </c>
      <c r="P121" s="7">
        <f t="shared" si="94"/>
        <v>-2.6797718681233464E-6</v>
      </c>
      <c r="Q121" s="7">
        <f t="shared" si="103"/>
        <v>-2.4161488626370683E-6</v>
      </c>
      <c r="R121" s="76">
        <f t="shared" si="105"/>
        <v>-1.7865145787488978E-9</v>
      </c>
      <c r="S121" s="77" t="e">
        <f t="shared" ca="1" si="106"/>
        <v>#NUM!</v>
      </c>
      <c r="T121" s="32" t="e">
        <f t="shared" ca="1" si="107"/>
        <v>#NUM!</v>
      </c>
      <c r="U121" s="32" t="e">
        <f t="shared" ca="1" si="108"/>
        <v>#NUM!</v>
      </c>
      <c r="V121" s="1"/>
      <c r="W121" s="1"/>
      <c r="X121" s="1"/>
      <c r="Y121" s="1"/>
    </row>
    <row r="122" spans="9:25" x14ac:dyDescent="0.2">
      <c r="I122" s="4">
        <v>6</v>
      </c>
      <c r="J122" s="7">
        <f t="shared" ref="J122:O122" si="112">J121</f>
        <v>8</v>
      </c>
      <c r="K122" s="7">
        <f t="shared" si="112"/>
        <v>7.916666666666667</v>
      </c>
      <c r="L122" s="7">
        <f t="shared" si="112"/>
        <v>0</v>
      </c>
      <c r="M122" s="7">
        <f t="shared" si="112"/>
        <v>-6.4314524834960317E-6</v>
      </c>
      <c r="N122" s="7">
        <f t="shared" si="112"/>
        <v>0</v>
      </c>
      <c r="O122" s="7">
        <f t="shared" si="112"/>
        <v>-5.7987572703289644E-6</v>
      </c>
      <c r="P122" s="7">
        <f t="shared" si="94"/>
        <v>-3.2157262417480158E-6</v>
      </c>
      <c r="Q122" s="7">
        <f t="shared" si="103"/>
        <v>-2.8993786351644822E-6</v>
      </c>
      <c r="R122" s="76">
        <f t="shared" si="105"/>
        <v>-2.2331432234361218E-9</v>
      </c>
      <c r="S122" s="77" t="e">
        <f t="shared" ca="1" si="106"/>
        <v>#NUM!</v>
      </c>
      <c r="T122" s="32" t="e">
        <f t="shared" ca="1" si="107"/>
        <v>#NUM!</v>
      </c>
      <c r="U122" s="32" t="e">
        <f t="shared" ca="1" si="108"/>
        <v>#NUM!</v>
      </c>
      <c r="V122" s="1"/>
      <c r="W122" s="1"/>
      <c r="X122" s="1"/>
      <c r="Y122" s="1"/>
    </row>
    <row r="123" spans="9:25" x14ac:dyDescent="0.2">
      <c r="I123" s="4">
        <v>7</v>
      </c>
      <c r="J123" s="7">
        <f t="shared" ref="J123:O123" si="113">J122</f>
        <v>8</v>
      </c>
      <c r="K123" s="7">
        <f t="shared" si="113"/>
        <v>7.916666666666667</v>
      </c>
      <c r="L123" s="7">
        <f t="shared" si="113"/>
        <v>0</v>
      </c>
      <c r="M123" s="7">
        <f t="shared" si="113"/>
        <v>-6.4314524834960317E-6</v>
      </c>
      <c r="N123" s="7">
        <f t="shared" si="113"/>
        <v>0</v>
      </c>
      <c r="O123" s="7">
        <f t="shared" si="113"/>
        <v>-5.7987572703289644E-6</v>
      </c>
      <c r="P123" s="7">
        <f t="shared" si="94"/>
        <v>-3.7516806153726853E-6</v>
      </c>
      <c r="Q123" s="7">
        <f t="shared" si="103"/>
        <v>-3.382608407691896E-6</v>
      </c>
      <c r="R123" s="76">
        <f t="shared" si="105"/>
        <v>-2.6797718681233464E-9</v>
      </c>
      <c r="S123" s="77" t="e">
        <f t="shared" ca="1" si="106"/>
        <v>#NUM!</v>
      </c>
      <c r="T123" s="32" t="e">
        <f t="shared" ca="1" si="107"/>
        <v>#NUM!</v>
      </c>
      <c r="U123" s="32" t="e">
        <f t="shared" ca="1" si="108"/>
        <v>#NUM!</v>
      </c>
      <c r="V123" s="1"/>
      <c r="W123" s="1"/>
      <c r="X123" s="1"/>
      <c r="Y123" s="1"/>
    </row>
    <row r="124" spans="9:25" x14ac:dyDescent="0.2">
      <c r="I124" s="4">
        <v>8</v>
      </c>
      <c r="J124" s="7">
        <f t="shared" ref="J124:O124" si="114">J123</f>
        <v>8</v>
      </c>
      <c r="K124" s="7">
        <f t="shared" si="114"/>
        <v>7.916666666666667</v>
      </c>
      <c r="L124" s="7">
        <f t="shared" si="114"/>
        <v>0</v>
      </c>
      <c r="M124" s="7">
        <f t="shared" si="114"/>
        <v>-6.4314524834960317E-6</v>
      </c>
      <c r="N124" s="7">
        <f t="shared" si="114"/>
        <v>0</v>
      </c>
      <c r="O124" s="7">
        <f t="shared" si="114"/>
        <v>-5.7987572703289644E-6</v>
      </c>
      <c r="P124" s="7">
        <f t="shared" si="94"/>
        <v>-4.2876349889973547E-6</v>
      </c>
      <c r="Q124" s="7">
        <f t="shared" si="103"/>
        <v>-3.8658381802193099E-6</v>
      </c>
      <c r="R124" s="76">
        <f t="shared" si="105"/>
        <v>-3.126400512810571E-9</v>
      </c>
      <c r="S124" s="77" t="e">
        <f t="shared" ca="1" si="106"/>
        <v>#NUM!</v>
      </c>
      <c r="T124" s="32" t="e">
        <f t="shared" ca="1" si="107"/>
        <v>#NUM!</v>
      </c>
      <c r="U124" s="32" t="e">
        <f t="shared" ca="1" si="108"/>
        <v>#NUM!</v>
      </c>
      <c r="V124" s="1"/>
      <c r="W124" s="1"/>
      <c r="X124" s="1"/>
      <c r="Y124" s="1"/>
    </row>
    <row r="125" spans="9:25" x14ac:dyDescent="0.2">
      <c r="I125" s="4">
        <v>9</v>
      </c>
      <c r="J125" s="7">
        <f t="shared" ref="J125:O125" si="115">J124</f>
        <v>8</v>
      </c>
      <c r="K125" s="7">
        <f t="shared" si="115"/>
        <v>7.916666666666667</v>
      </c>
      <c r="L125" s="7">
        <f t="shared" si="115"/>
        <v>0</v>
      </c>
      <c r="M125" s="7">
        <f t="shared" si="115"/>
        <v>-6.4314524834960317E-6</v>
      </c>
      <c r="N125" s="7">
        <f t="shared" si="115"/>
        <v>0</v>
      </c>
      <c r="O125" s="7">
        <f t="shared" si="115"/>
        <v>-5.7987572703289644E-6</v>
      </c>
      <c r="P125" s="7">
        <f t="shared" si="94"/>
        <v>-4.8235893626220238E-6</v>
      </c>
      <c r="Q125" s="7">
        <f t="shared" si="103"/>
        <v>-4.3490679527467233E-6</v>
      </c>
      <c r="R125" s="76">
        <f t="shared" si="105"/>
        <v>-3.5730291574977956E-9</v>
      </c>
      <c r="S125" s="77" t="e">
        <f t="shared" ca="1" si="106"/>
        <v>#NUM!</v>
      </c>
      <c r="T125" s="32" t="e">
        <f t="shared" ca="1" si="107"/>
        <v>#NUM!</v>
      </c>
      <c r="U125" s="32" t="e">
        <f t="shared" ca="1" si="108"/>
        <v>#NUM!</v>
      </c>
      <c r="V125" s="1"/>
      <c r="W125" s="1"/>
      <c r="X125" s="1"/>
      <c r="Y125" s="1"/>
    </row>
    <row r="126" spans="9:25" x14ac:dyDescent="0.2">
      <c r="I126" s="4">
        <v>10</v>
      </c>
      <c r="J126" s="7">
        <f t="shared" ref="J126:O126" si="116">J125</f>
        <v>8</v>
      </c>
      <c r="K126" s="7">
        <f t="shared" si="116"/>
        <v>7.916666666666667</v>
      </c>
      <c r="L126" s="7">
        <f t="shared" si="116"/>
        <v>0</v>
      </c>
      <c r="M126" s="7">
        <f t="shared" si="116"/>
        <v>-6.4314524834960317E-6</v>
      </c>
      <c r="N126" s="7">
        <f t="shared" si="116"/>
        <v>0</v>
      </c>
      <c r="O126" s="7">
        <f t="shared" si="116"/>
        <v>-5.7987572703289644E-6</v>
      </c>
      <c r="P126" s="7">
        <f t="shared" si="94"/>
        <v>-5.3595437362466928E-6</v>
      </c>
      <c r="Q126" s="7">
        <f t="shared" si="103"/>
        <v>-4.8322977252741367E-6</v>
      </c>
      <c r="R126" s="76">
        <f t="shared" si="105"/>
        <v>-4.0196578021850198E-9</v>
      </c>
      <c r="S126" s="77" t="e">
        <f t="shared" ca="1" si="106"/>
        <v>#NUM!</v>
      </c>
      <c r="T126" s="32" t="e">
        <f t="shared" ca="1" si="107"/>
        <v>#NUM!</v>
      </c>
      <c r="U126" s="32" t="e">
        <f t="shared" ca="1" si="108"/>
        <v>#NUM!</v>
      </c>
      <c r="V126" s="1"/>
      <c r="W126" s="1"/>
      <c r="X126" s="1"/>
      <c r="Y126" s="1"/>
    </row>
    <row r="127" spans="9:25" x14ac:dyDescent="0.2">
      <c r="I127" s="4">
        <v>11</v>
      </c>
      <c r="J127" s="7">
        <f t="shared" ref="J127:O127" si="117">J126</f>
        <v>8</v>
      </c>
      <c r="K127" s="7">
        <f t="shared" si="117"/>
        <v>7.916666666666667</v>
      </c>
      <c r="L127" s="7">
        <f t="shared" si="117"/>
        <v>0</v>
      </c>
      <c r="M127" s="7">
        <f t="shared" si="117"/>
        <v>-6.4314524834960317E-6</v>
      </c>
      <c r="N127" s="7">
        <f t="shared" si="117"/>
        <v>0</v>
      </c>
      <c r="O127" s="7">
        <f t="shared" si="117"/>
        <v>-5.7987572703289644E-6</v>
      </c>
      <c r="P127" s="7">
        <f t="shared" si="94"/>
        <v>-5.8954981098713626E-6</v>
      </c>
      <c r="Q127" s="7">
        <f t="shared" si="103"/>
        <v>-5.315527497801551E-6</v>
      </c>
      <c r="R127" s="76">
        <f t="shared" si="105"/>
        <v>-4.4662864468722436E-9</v>
      </c>
      <c r="S127" s="77" t="e">
        <f t="shared" ca="1" si="106"/>
        <v>#NUM!</v>
      </c>
      <c r="T127" s="32" t="e">
        <f t="shared" ca="1" si="107"/>
        <v>#NUM!</v>
      </c>
      <c r="U127" s="32" t="e">
        <f t="shared" ca="1" si="108"/>
        <v>#NUM!</v>
      </c>
      <c r="V127" s="1"/>
      <c r="W127" s="1"/>
      <c r="X127" s="1"/>
      <c r="Y127" s="1"/>
    </row>
    <row r="128" spans="9:25" x14ac:dyDescent="0.2">
      <c r="I128" s="4">
        <v>12</v>
      </c>
      <c r="J128" s="7">
        <f t="shared" ref="J128:O128" si="118">J127</f>
        <v>8</v>
      </c>
      <c r="K128" s="7">
        <f t="shared" si="118"/>
        <v>7.916666666666667</v>
      </c>
      <c r="L128" s="7">
        <f t="shared" si="118"/>
        <v>0</v>
      </c>
      <c r="M128" s="7">
        <f t="shared" si="118"/>
        <v>-6.4314524834960317E-6</v>
      </c>
      <c r="N128" s="7">
        <f t="shared" si="118"/>
        <v>0</v>
      </c>
      <c r="O128" s="7">
        <f t="shared" si="118"/>
        <v>-5.7987572703289644E-6</v>
      </c>
      <c r="P128" s="7">
        <f t="shared" si="94"/>
        <v>-6.4314524834960317E-6</v>
      </c>
      <c r="Q128" s="7">
        <f t="shared" si="103"/>
        <v>-5.7987572703289644E-6</v>
      </c>
      <c r="R128" s="76">
        <f t="shared" si="105"/>
        <v>-4.912915091559469E-9</v>
      </c>
      <c r="S128" s="77" t="e">
        <f t="shared" ca="1" si="106"/>
        <v>#NUM!</v>
      </c>
      <c r="T128" s="32" t="e">
        <f t="shared" ca="1" si="107"/>
        <v>#NUM!</v>
      </c>
      <c r="U128" s="33" t="e">
        <f t="shared" ca="1" si="108"/>
        <v>#NUM!</v>
      </c>
      <c r="V128" s="1"/>
      <c r="W128" s="1"/>
      <c r="X128" s="1"/>
      <c r="Y128" s="1"/>
    </row>
    <row r="129" spans="9:25" x14ac:dyDescent="0.2">
      <c r="I129" s="4">
        <v>0</v>
      </c>
      <c r="J129" s="46">
        <v>9</v>
      </c>
      <c r="K129" s="45">
        <f>J129-1/12</f>
        <v>8.9166666666666661</v>
      </c>
      <c r="L129" s="46">
        <f>beta_0+beta_1*((1-EXP(-lambda*J129))/(lambda*J129))+beta_2*((1-EXP(-lambda*J129))/(lambda*J129)-EXP(-lambda*J129))</f>
        <v>0</v>
      </c>
      <c r="M129" s="46">
        <f>beta_0_scen+beta_1_scen*((1-EXP(-lambda*J129))/(lambda*J129))+beta_2_scen*((1-EXP(-lambda*J129))/(lambda*J129)-EXP(-lambda*J129))</f>
        <v>-1.385025640177855E-5</v>
      </c>
      <c r="N129" s="46">
        <f>beta_0+beta_1*((1-EXP(-lambda*K129))/(lambda*K129))+beta_2*((1-EXP(-lambda*K129))/(lambda*K129)-EXP(-lambda*K129))</f>
        <v>0</v>
      </c>
      <c r="O129" s="46">
        <f>beta_0_scen+beta_1_scen*((1-EXP(-lambda*K129))/(lambda*K129))+beta_2_scen*((1-EXP(-lambda*K129))/(lambda*K129)-EXP(-lambda*K129))</f>
        <v>-1.3246452663685264E-5</v>
      </c>
      <c r="P129" s="45">
        <f t="shared" si="94"/>
        <v>0</v>
      </c>
      <c r="Q129" s="45">
        <f>N129+$I129*(O129-N129)/12</f>
        <v>0</v>
      </c>
      <c r="R129" s="50">
        <f>P129%/12</f>
        <v>0</v>
      </c>
      <c r="S129" s="51">
        <f ca="1">PRICE(TODAY(),TODAY()+K129*365.25,P129%,Q129%,100,2)/100-1</f>
        <v>0</v>
      </c>
      <c r="T129" s="52">
        <f ca="1">(1+R129+S129)^12-1</f>
        <v>0</v>
      </c>
      <c r="U129" s="47">
        <v>0</v>
      </c>
      <c r="V129" s="1"/>
      <c r="W129" s="1"/>
      <c r="X129" s="1"/>
      <c r="Y129" s="1"/>
    </row>
    <row r="130" spans="9:25" x14ac:dyDescent="0.2">
      <c r="I130" s="4">
        <v>1</v>
      </c>
      <c r="J130" s="45">
        <f t="shared" ref="J130:O130" si="119">J129</f>
        <v>9</v>
      </c>
      <c r="K130" s="45">
        <f t="shared" si="119"/>
        <v>8.9166666666666661</v>
      </c>
      <c r="L130" s="45">
        <f t="shared" si="119"/>
        <v>0</v>
      </c>
      <c r="M130" s="45">
        <f t="shared" si="119"/>
        <v>-1.385025640177855E-5</v>
      </c>
      <c r="N130" s="45">
        <f t="shared" si="119"/>
        <v>0</v>
      </c>
      <c r="O130" s="45">
        <f t="shared" si="119"/>
        <v>-1.3246452663685264E-5</v>
      </c>
      <c r="P130" s="45">
        <f t="shared" si="94"/>
        <v>-1.1541880334815459E-6</v>
      </c>
      <c r="Q130" s="45">
        <f t="shared" ref="Q130:Q141" si="120">N130+$I130*(O130-N130)/12</f>
        <v>-1.1038710553071054E-6</v>
      </c>
      <c r="R130" s="78">
        <f>P129%/12</f>
        <v>0</v>
      </c>
      <c r="S130" s="79" t="e">
        <f ca="1">PRICE(TODAY(),TODAY()+K130*365.25,P129%,Q130%,100,2)/100-1</f>
        <v>#NUM!</v>
      </c>
      <c r="T130" s="47" t="e">
        <f ca="1">R130+S130</f>
        <v>#NUM!</v>
      </c>
      <c r="U130" s="47" t="e">
        <f ca="1">(1+U129)*(1+T130)-1</f>
        <v>#NUM!</v>
      </c>
      <c r="V130" s="1"/>
      <c r="W130" s="1"/>
      <c r="X130" s="1"/>
      <c r="Y130" s="1"/>
    </row>
    <row r="131" spans="9:25" x14ac:dyDescent="0.2">
      <c r="I131" s="4">
        <v>2</v>
      </c>
      <c r="J131" s="45">
        <f t="shared" ref="J131:O131" si="121">J130</f>
        <v>9</v>
      </c>
      <c r="K131" s="45">
        <f t="shared" si="121"/>
        <v>8.9166666666666661</v>
      </c>
      <c r="L131" s="45">
        <f t="shared" si="121"/>
        <v>0</v>
      </c>
      <c r="M131" s="45">
        <f t="shared" si="121"/>
        <v>-1.385025640177855E-5</v>
      </c>
      <c r="N131" s="45">
        <f t="shared" si="121"/>
        <v>0</v>
      </c>
      <c r="O131" s="45">
        <f t="shared" si="121"/>
        <v>-1.3246452663685264E-5</v>
      </c>
      <c r="P131" s="45">
        <f t="shared" si="94"/>
        <v>-2.3083760669630917E-6</v>
      </c>
      <c r="Q131" s="45">
        <f t="shared" si="120"/>
        <v>-2.2077421106142108E-6</v>
      </c>
      <c r="R131" s="78">
        <f t="shared" ref="R131:R141" si="122">P130%/12</f>
        <v>-9.6182336123462142E-10</v>
      </c>
      <c r="S131" s="79" t="e">
        <f t="shared" ref="S131:S141" ca="1" si="123">PRICE(TODAY(),TODAY()+K131*365.25,P130%,Q131%,100,2)/100-1</f>
        <v>#NUM!</v>
      </c>
      <c r="T131" s="47" t="e">
        <f t="shared" ref="T131:T141" ca="1" si="124">R131+S131</f>
        <v>#NUM!</v>
      </c>
      <c r="U131" s="47" t="e">
        <f t="shared" ref="U131:U140" ca="1" si="125">(1+U130)*(1+T131)-1</f>
        <v>#NUM!</v>
      </c>
      <c r="V131" s="1"/>
      <c r="W131" s="1"/>
      <c r="X131" s="1"/>
      <c r="Y131" s="1"/>
    </row>
    <row r="132" spans="9:25" x14ac:dyDescent="0.2">
      <c r="I132" s="4">
        <v>3</v>
      </c>
      <c r="J132" s="45">
        <f t="shared" ref="J132:O132" si="126">J131</f>
        <v>9</v>
      </c>
      <c r="K132" s="45">
        <f t="shared" si="126"/>
        <v>8.9166666666666661</v>
      </c>
      <c r="L132" s="45">
        <f t="shared" si="126"/>
        <v>0</v>
      </c>
      <c r="M132" s="45">
        <f t="shared" si="126"/>
        <v>-1.385025640177855E-5</v>
      </c>
      <c r="N132" s="45">
        <f t="shared" si="126"/>
        <v>0</v>
      </c>
      <c r="O132" s="45">
        <f t="shared" si="126"/>
        <v>-1.3246452663685264E-5</v>
      </c>
      <c r="P132" s="45">
        <f t="shared" si="94"/>
        <v>-3.4625641004446376E-6</v>
      </c>
      <c r="Q132" s="45">
        <f t="shared" si="120"/>
        <v>-3.311613165921316E-6</v>
      </c>
      <c r="R132" s="78">
        <f t="shared" si="122"/>
        <v>-1.9236467224692428E-9</v>
      </c>
      <c r="S132" s="79" t="e">
        <f t="shared" ca="1" si="123"/>
        <v>#NUM!</v>
      </c>
      <c r="T132" s="47" t="e">
        <f t="shared" ca="1" si="124"/>
        <v>#NUM!</v>
      </c>
      <c r="U132" s="47" t="e">
        <f t="shared" ca="1" si="125"/>
        <v>#NUM!</v>
      </c>
      <c r="V132" s="1"/>
      <c r="W132" s="1"/>
      <c r="X132" s="1"/>
      <c r="Y132" s="1"/>
    </row>
    <row r="133" spans="9:25" x14ac:dyDescent="0.2">
      <c r="I133" s="4">
        <v>4</v>
      </c>
      <c r="J133" s="45">
        <f t="shared" ref="J133:O133" si="127">J132</f>
        <v>9</v>
      </c>
      <c r="K133" s="45">
        <f t="shared" si="127"/>
        <v>8.9166666666666661</v>
      </c>
      <c r="L133" s="45">
        <f t="shared" si="127"/>
        <v>0</v>
      </c>
      <c r="M133" s="45">
        <f t="shared" si="127"/>
        <v>-1.385025640177855E-5</v>
      </c>
      <c r="N133" s="45">
        <f t="shared" si="127"/>
        <v>0</v>
      </c>
      <c r="O133" s="45">
        <f t="shared" si="127"/>
        <v>-1.3246452663685264E-5</v>
      </c>
      <c r="P133" s="45">
        <f t="shared" si="94"/>
        <v>-4.6167521339261834E-6</v>
      </c>
      <c r="Q133" s="45">
        <f t="shared" si="120"/>
        <v>-4.4154842212284217E-6</v>
      </c>
      <c r="R133" s="78">
        <f t="shared" si="122"/>
        <v>-2.8854700837038649E-9</v>
      </c>
      <c r="S133" s="79" t="e">
        <f t="shared" ca="1" si="123"/>
        <v>#NUM!</v>
      </c>
      <c r="T133" s="47" t="e">
        <f t="shared" ca="1" si="124"/>
        <v>#NUM!</v>
      </c>
      <c r="U133" s="47" t="e">
        <f t="shared" ca="1" si="125"/>
        <v>#NUM!</v>
      </c>
      <c r="V133" s="1"/>
      <c r="W133" s="1"/>
      <c r="X133" s="1"/>
      <c r="Y133" s="1"/>
    </row>
    <row r="134" spans="9:25" x14ac:dyDescent="0.2">
      <c r="I134" s="4">
        <v>5</v>
      </c>
      <c r="J134" s="45">
        <f t="shared" ref="J134:O134" si="128">J133</f>
        <v>9</v>
      </c>
      <c r="K134" s="45">
        <f t="shared" si="128"/>
        <v>8.9166666666666661</v>
      </c>
      <c r="L134" s="45">
        <f t="shared" si="128"/>
        <v>0</v>
      </c>
      <c r="M134" s="45">
        <f t="shared" si="128"/>
        <v>-1.385025640177855E-5</v>
      </c>
      <c r="N134" s="45">
        <f t="shared" si="128"/>
        <v>0</v>
      </c>
      <c r="O134" s="45">
        <f t="shared" si="128"/>
        <v>-1.3246452663685264E-5</v>
      </c>
      <c r="P134" s="45">
        <f t="shared" si="94"/>
        <v>-5.7709401674077293E-6</v>
      </c>
      <c r="Q134" s="45">
        <f t="shared" si="120"/>
        <v>-5.5193552765355264E-6</v>
      </c>
      <c r="R134" s="78">
        <f t="shared" si="122"/>
        <v>-3.8472934449384857E-9</v>
      </c>
      <c r="S134" s="79" t="e">
        <f t="shared" ca="1" si="123"/>
        <v>#NUM!</v>
      </c>
      <c r="T134" s="47" t="e">
        <f t="shared" ca="1" si="124"/>
        <v>#NUM!</v>
      </c>
      <c r="U134" s="47" t="e">
        <f t="shared" ca="1" si="125"/>
        <v>#NUM!</v>
      </c>
      <c r="V134" s="1"/>
      <c r="W134" s="1"/>
      <c r="X134" s="1"/>
      <c r="Y134" s="1"/>
    </row>
    <row r="135" spans="9:25" x14ac:dyDescent="0.2">
      <c r="I135" s="4">
        <v>6</v>
      </c>
      <c r="J135" s="45">
        <f t="shared" ref="J135:O135" si="129">J134</f>
        <v>9</v>
      </c>
      <c r="K135" s="45">
        <f t="shared" si="129"/>
        <v>8.9166666666666661</v>
      </c>
      <c r="L135" s="45">
        <f t="shared" si="129"/>
        <v>0</v>
      </c>
      <c r="M135" s="45">
        <f t="shared" si="129"/>
        <v>-1.385025640177855E-5</v>
      </c>
      <c r="N135" s="45">
        <f t="shared" si="129"/>
        <v>0</v>
      </c>
      <c r="O135" s="45">
        <f t="shared" si="129"/>
        <v>-1.3246452663685264E-5</v>
      </c>
      <c r="P135" s="45">
        <f t="shared" si="94"/>
        <v>-6.9251282008892751E-6</v>
      </c>
      <c r="Q135" s="45">
        <f t="shared" si="120"/>
        <v>-6.6232263318426321E-6</v>
      </c>
      <c r="R135" s="78">
        <f t="shared" si="122"/>
        <v>-4.8091168061731077E-9</v>
      </c>
      <c r="S135" s="79" t="e">
        <f t="shared" ca="1" si="123"/>
        <v>#NUM!</v>
      </c>
      <c r="T135" s="47" t="e">
        <f t="shared" ca="1" si="124"/>
        <v>#NUM!</v>
      </c>
      <c r="U135" s="47" t="e">
        <f t="shared" ca="1" si="125"/>
        <v>#NUM!</v>
      </c>
      <c r="V135" s="1"/>
      <c r="W135" s="1"/>
      <c r="X135" s="1"/>
      <c r="Y135" s="1"/>
    </row>
    <row r="136" spans="9:25" x14ac:dyDescent="0.2">
      <c r="I136" s="4">
        <v>7</v>
      </c>
      <c r="J136" s="45">
        <f t="shared" ref="J136:O136" si="130">J135</f>
        <v>9</v>
      </c>
      <c r="K136" s="45">
        <f t="shared" si="130"/>
        <v>8.9166666666666661</v>
      </c>
      <c r="L136" s="45">
        <f t="shared" si="130"/>
        <v>0</v>
      </c>
      <c r="M136" s="45">
        <f t="shared" si="130"/>
        <v>-1.385025640177855E-5</v>
      </c>
      <c r="N136" s="45">
        <f t="shared" si="130"/>
        <v>0</v>
      </c>
      <c r="O136" s="45">
        <f t="shared" si="130"/>
        <v>-1.3246452663685264E-5</v>
      </c>
      <c r="P136" s="45">
        <f t="shared" si="94"/>
        <v>-8.079316234370821E-6</v>
      </c>
      <c r="Q136" s="45">
        <f t="shared" si="120"/>
        <v>-7.7270973871497368E-6</v>
      </c>
      <c r="R136" s="78">
        <f t="shared" si="122"/>
        <v>-5.7709401674077298E-9</v>
      </c>
      <c r="S136" s="79" t="e">
        <f t="shared" ca="1" si="123"/>
        <v>#NUM!</v>
      </c>
      <c r="T136" s="47" t="e">
        <f t="shared" ca="1" si="124"/>
        <v>#NUM!</v>
      </c>
      <c r="U136" s="47" t="e">
        <f t="shared" ca="1" si="125"/>
        <v>#NUM!</v>
      </c>
      <c r="V136" s="1"/>
      <c r="W136" s="1"/>
      <c r="X136" s="1"/>
      <c r="Y136" s="1"/>
    </row>
    <row r="137" spans="9:25" x14ac:dyDescent="0.2">
      <c r="I137" s="4">
        <v>8</v>
      </c>
      <c r="J137" s="45">
        <f t="shared" ref="J137:O137" si="131">J136</f>
        <v>9</v>
      </c>
      <c r="K137" s="45">
        <f t="shared" si="131"/>
        <v>8.9166666666666661</v>
      </c>
      <c r="L137" s="45">
        <f t="shared" si="131"/>
        <v>0</v>
      </c>
      <c r="M137" s="45">
        <f t="shared" si="131"/>
        <v>-1.385025640177855E-5</v>
      </c>
      <c r="N137" s="45">
        <f t="shared" si="131"/>
        <v>0</v>
      </c>
      <c r="O137" s="45">
        <f t="shared" si="131"/>
        <v>-1.3246452663685264E-5</v>
      </c>
      <c r="P137" s="45">
        <f t="shared" si="94"/>
        <v>-9.2335042678523668E-6</v>
      </c>
      <c r="Q137" s="45">
        <f t="shared" si="120"/>
        <v>-8.8309684424568433E-6</v>
      </c>
      <c r="R137" s="78">
        <f t="shared" si="122"/>
        <v>-6.732763528642351E-9</v>
      </c>
      <c r="S137" s="79" t="e">
        <f t="shared" ca="1" si="123"/>
        <v>#NUM!</v>
      </c>
      <c r="T137" s="47" t="e">
        <f t="shared" ca="1" si="124"/>
        <v>#NUM!</v>
      </c>
      <c r="U137" s="47" t="e">
        <f t="shared" ca="1" si="125"/>
        <v>#NUM!</v>
      </c>
      <c r="V137" s="1"/>
      <c r="W137" s="1"/>
      <c r="X137" s="1"/>
      <c r="Y137" s="1"/>
    </row>
    <row r="138" spans="9:25" x14ac:dyDescent="0.2">
      <c r="I138" s="4">
        <v>9</v>
      </c>
      <c r="J138" s="45">
        <f t="shared" ref="J138:O138" si="132">J137</f>
        <v>9</v>
      </c>
      <c r="K138" s="45">
        <f t="shared" si="132"/>
        <v>8.9166666666666661</v>
      </c>
      <c r="L138" s="45">
        <f t="shared" si="132"/>
        <v>0</v>
      </c>
      <c r="M138" s="45">
        <f t="shared" si="132"/>
        <v>-1.385025640177855E-5</v>
      </c>
      <c r="N138" s="45">
        <f t="shared" si="132"/>
        <v>0</v>
      </c>
      <c r="O138" s="45">
        <f t="shared" si="132"/>
        <v>-1.3246452663685264E-5</v>
      </c>
      <c r="P138" s="45">
        <f t="shared" si="94"/>
        <v>-1.0387692301333911E-5</v>
      </c>
      <c r="Q138" s="45">
        <f t="shared" si="120"/>
        <v>-9.9348394977639481E-6</v>
      </c>
      <c r="R138" s="78">
        <f t="shared" si="122"/>
        <v>-7.6945868898769714E-9</v>
      </c>
      <c r="S138" s="79" t="e">
        <f t="shared" ca="1" si="123"/>
        <v>#NUM!</v>
      </c>
      <c r="T138" s="47" t="e">
        <f t="shared" ca="1" si="124"/>
        <v>#NUM!</v>
      </c>
      <c r="U138" s="47" t="e">
        <f t="shared" ca="1" si="125"/>
        <v>#NUM!</v>
      </c>
      <c r="V138" s="1"/>
      <c r="W138" s="1"/>
      <c r="X138" s="1"/>
      <c r="Y138" s="1"/>
    </row>
    <row r="139" spans="9:25" x14ac:dyDescent="0.2">
      <c r="I139" s="4">
        <v>10</v>
      </c>
      <c r="J139" s="45">
        <f t="shared" ref="J139:O139" si="133">J138</f>
        <v>9</v>
      </c>
      <c r="K139" s="45">
        <f t="shared" si="133"/>
        <v>8.9166666666666661</v>
      </c>
      <c r="L139" s="45">
        <f t="shared" si="133"/>
        <v>0</v>
      </c>
      <c r="M139" s="45">
        <f t="shared" si="133"/>
        <v>-1.385025640177855E-5</v>
      </c>
      <c r="N139" s="45">
        <f t="shared" si="133"/>
        <v>0</v>
      </c>
      <c r="O139" s="45">
        <f t="shared" si="133"/>
        <v>-1.3246452663685264E-5</v>
      </c>
      <c r="P139" s="45">
        <f t="shared" si="94"/>
        <v>-1.1541880334815459E-5</v>
      </c>
      <c r="Q139" s="45">
        <f t="shared" si="120"/>
        <v>-1.1038710553071053E-5</v>
      </c>
      <c r="R139" s="78">
        <f t="shared" si="122"/>
        <v>-8.6564102511115926E-9</v>
      </c>
      <c r="S139" s="79" t="e">
        <f t="shared" ca="1" si="123"/>
        <v>#NUM!</v>
      </c>
      <c r="T139" s="47" t="e">
        <f t="shared" ca="1" si="124"/>
        <v>#NUM!</v>
      </c>
      <c r="U139" s="47" t="e">
        <f t="shared" ca="1" si="125"/>
        <v>#NUM!</v>
      </c>
      <c r="V139" s="1"/>
      <c r="W139" s="1"/>
      <c r="X139" s="1"/>
      <c r="Y139" s="1"/>
    </row>
    <row r="140" spans="9:25" x14ac:dyDescent="0.2">
      <c r="I140" s="4">
        <v>11</v>
      </c>
      <c r="J140" s="45">
        <f t="shared" ref="J140:O140" si="134">J139</f>
        <v>9</v>
      </c>
      <c r="K140" s="45">
        <f t="shared" si="134"/>
        <v>8.9166666666666661</v>
      </c>
      <c r="L140" s="45">
        <f t="shared" si="134"/>
        <v>0</v>
      </c>
      <c r="M140" s="45">
        <f t="shared" si="134"/>
        <v>-1.385025640177855E-5</v>
      </c>
      <c r="N140" s="45">
        <f t="shared" si="134"/>
        <v>0</v>
      </c>
      <c r="O140" s="45">
        <f t="shared" si="134"/>
        <v>-1.3246452663685264E-5</v>
      </c>
      <c r="P140" s="45">
        <f t="shared" ref="P140:P154" si="135">L140+$I140*(M140-L140)/12</f>
        <v>-1.2696068368297006E-5</v>
      </c>
      <c r="Q140" s="45">
        <f t="shared" si="120"/>
        <v>-1.2142581608378159E-5</v>
      </c>
      <c r="R140" s="78">
        <f t="shared" si="122"/>
        <v>-9.6182336123462154E-9</v>
      </c>
      <c r="S140" s="79" t="e">
        <f t="shared" ca="1" si="123"/>
        <v>#NUM!</v>
      </c>
      <c r="T140" s="47" t="e">
        <f t="shared" ca="1" si="124"/>
        <v>#NUM!</v>
      </c>
      <c r="U140" s="47" t="e">
        <f t="shared" ca="1" si="125"/>
        <v>#NUM!</v>
      </c>
      <c r="V140" s="1"/>
      <c r="W140" s="1"/>
      <c r="X140" s="1"/>
      <c r="Y140" s="1"/>
    </row>
    <row r="141" spans="9:25" x14ac:dyDescent="0.2">
      <c r="I141" s="4">
        <v>12</v>
      </c>
      <c r="J141" s="45">
        <f>J140</f>
        <v>9</v>
      </c>
      <c r="K141" s="45">
        <f>K140</f>
        <v>8.9166666666666661</v>
      </c>
      <c r="L141" s="45">
        <f t="shared" ref="L141:O141" si="136">L140</f>
        <v>0</v>
      </c>
      <c r="M141" s="45">
        <f t="shared" si="136"/>
        <v>-1.385025640177855E-5</v>
      </c>
      <c r="N141" s="45">
        <f t="shared" si="136"/>
        <v>0</v>
      </c>
      <c r="O141" s="45">
        <f t="shared" si="136"/>
        <v>-1.3246452663685264E-5</v>
      </c>
      <c r="P141" s="45">
        <f t="shared" si="135"/>
        <v>-1.385025640177855E-5</v>
      </c>
      <c r="Q141" s="45">
        <f t="shared" si="120"/>
        <v>-1.3246452663685264E-5</v>
      </c>
      <c r="R141" s="78">
        <f t="shared" si="122"/>
        <v>-1.0580056973580838E-8</v>
      </c>
      <c r="S141" s="79" t="e">
        <f t="shared" ca="1" si="123"/>
        <v>#NUM!</v>
      </c>
      <c r="T141" s="47" t="e">
        <f t="shared" ca="1" si="124"/>
        <v>#NUM!</v>
      </c>
      <c r="U141" s="48" t="e">
        <f ca="1">(1+U140)*(1+T141)-1</f>
        <v>#NUM!</v>
      </c>
      <c r="V141" s="1"/>
      <c r="W141" s="1"/>
      <c r="X141" s="1"/>
      <c r="Y141" s="1"/>
    </row>
    <row r="142" spans="9:25" x14ac:dyDescent="0.2">
      <c r="I142" s="4">
        <v>0</v>
      </c>
      <c r="J142" s="15">
        <v>10</v>
      </c>
      <c r="K142" s="7">
        <f>J142-1/12</f>
        <v>9.9166666666666661</v>
      </c>
      <c r="L142" s="15">
        <f>beta_0+beta_1*((1-EXP(-lambda*J142))/(lambda*J142))+beta_2*((1-EXP(-lambda*J142))/(lambda*J142)-EXP(-lambda*J142))</f>
        <v>0</v>
      </c>
      <c r="M142" s="15">
        <f>beta_0_scen+beta_1_scen*((1-EXP(-lambda*J142))/(lambda*J142))+beta_2_scen*((1-EXP(-lambda*J142))/(lambda*J142)-EXP(-lambda*J142))</f>
        <v>-2.0847503239057561E-5</v>
      </c>
      <c r="N142" s="15">
        <f>beta_0+beta_1*((1-EXP(-lambda*K142))/(lambda*K142))+beta_2*((1-EXP(-lambda*K142))/(lambda*K142)-EXP(-lambda*K142))</f>
        <v>0</v>
      </c>
      <c r="O142" s="15">
        <f>beta_0_scen+beta_1_scen*((1-EXP(-lambda*K142))/(lambda*K142))+beta_2_scen*((1-EXP(-lambda*K142))/(lambda*K142)-EXP(-lambda*K142))</f>
        <v>-2.0282959591167167E-5</v>
      </c>
      <c r="P142" s="7">
        <f t="shared" si="135"/>
        <v>0</v>
      </c>
      <c r="Q142" s="7">
        <f>N142+$I142*(O142-N142)/12</f>
        <v>0</v>
      </c>
      <c r="R142" s="43">
        <f>P142%/12</f>
        <v>0</v>
      </c>
      <c r="S142" s="44">
        <f ca="1">PRICE(TODAY(),TODAY()+K142*365.25,P142%,Q142%,100,2)/100-1</f>
        <v>0</v>
      </c>
      <c r="T142" s="49">
        <f ca="1">(1+R142+S142)^12-1</f>
        <v>0</v>
      </c>
      <c r="U142" s="32">
        <v>0</v>
      </c>
      <c r="V142" s="1"/>
      <c r="W142" s="1"/>
      <c r="X142" s="1"/>
      <c r="Y142" s="1"/>
    </row>
    <row r="143" spans="9:25" x14ac:dyDescent="0.2">
      <c r="I143" s="4">
        <v>1</v>
      </c>
      <c r="J143" s="7">
        <f t="shared" ref="J143:O143" si="137">J142</f>
        <v>10</v>
      </c>
      <c r="K143" s="7">
        <f t="shared" si="137"/>
        <v>9.9166666666666661</v>
      </c>
      <c r="L143" s="7">
        <f t="shared" si="137"/>
        <v>0</v>
      </c>
      <c r="M143" s="7">
        <f t="shared" si="137"/>
        <v>-2.0847503239057561E-5</v>
      </c>
      <c r="N143" s="7">
        <f t="shared" si="137"/>
        <v>0</v>
      </c>
      <c r="O143" s="7">
        <f t="shared" si="137"/>
        <v>-2.0282959591167167E-5</v>
      </c>
      <c r="P143" s="7">
        <f t="shared" si="135"/>
        <v>-1.7372919365881302E-6</v>
      </c>
      <c r="Q143" s="7">
        <f t="shared" ref="Q143:Q154" si="138">N143+$I143*(O143-N143)/12</f>
        <v>-1.690246632597264E-6</v>
      </c>
      <c r="R143" s="76">
        <f>P142%/12</f>
        <v>0</v>
      </c>
      <c r="S143" s="77" t="e">
        <f ca="1">PRICE(TODAY(),TODAY()+K143*365.25,P142%,Q143%,100,2)/100-1</f>
        <v>#NUM!</v>
      </c>
      <c r="T143" s="32" t="e">
        <f ca="1">R143+S143</f>
        <v>#NUM!</v>
      </c>
      <c r="U143" s="32" t="e">
        <f ca="1">(1+U142)*(1+T143)-1</f>
        <v>#NUM!</v>
      </c>
      <c r="V143" s="1"/>
      <c r="W143" s="1"/>
      <c r="X143" s="1"/>
      <c r="Y143" s="1"/>
    </row>
    <row r="144" spans="9:25" x14ac:dyDescent="0.2">
      <c r="I144" s="4">
        <v>2</v>
      </c>
      <c r="J144" s="7">
        <f t="shared" ref="J144:O144" si="139">J143</f>
        <v>10</v>
      </c>
      <c r="K144" s="7">
        <f t="shared" si="139"/>
        <v>9.9166666666666661</v>
      </c>
      <c r="L144" s="7">
        <f t="shared" si="139"/>
        <v>0</v>
      </c>
      <c r="M144" s="7">
        <f t="shared" si="139"/>
        <v>-2.0847503239057561E-5</v>
      </c>
      <c r="N144" s="7">
        <f t="shared" si="139"/>
        <v>0</v>
      </c>
      <c r="O144" s="7">
        <f t="shared" si="139"/>
        <v>-2.0282959591167167E-5</v>
      </c>
      <c r="P144" s="7">
        <f t="shared" si="135"/>
        <v>-3.4745838731762604E-6</v>
      </c>
      <c r="Q144" s="7">
        <f t="shared" si="138"/>
        <v>-3.380493265194528E-6</v>
      </c>
      <c r="R144" s="76">
        <f t="shared" ref="R144:R154" si="140">P143%/12</f>
        <v>-1.4477432804901084E-9</v>
      </c>
      <c r="S144" s="77" t="e">
        <f t="shared" ref="S144:S154" ca="1" si="141">PRICE(TODAY(),TODAY()+K144*365.25,P143%,Q144%,100,2)/100-1</f>
        <v>#NUM!</v>
      </c>
      <c r="T144" s="32" t="e">
        <f t="shared" ref="T144:T154" ca="1" si="142">R144+S144</f>
        <v>#NUM!</v>
      </c>
      <c r="U144" s="32" t="e">
        <f t="shared" ref="U144:U154" ca="1" si="143">(1+U143)*(1+T144)-1</f>
        <v>#NUM!</v>
      </c>
      <c r="V144" s="1"/>
      <c r="W144" s="1"/>
      <c r="X144" s="1"/>
      <c r="Y144" s="1"/>
    </row>
    <row r="145" spans="9:25" x14ac:dyDescent="0.2">
      <c r="I145" s="4">
        <v>3</v>
      </c>
      <c r="J145" s="7">
        <f t="shared" ref="J145:O145" si="144">J144</f>
        <v>10</v>
      </c>
      <c r="K145" s="7">
        <f t="shared" si="144"/>
        <v>9.9166666666666661</v>
      </c>
      <c r="L145" s="7">
        <f t="shared" si="144"/>
        <v>0</v>
      </c>
      <c r="M145" s="7">
        <f t="shared" si="144"/>
        <v>-2.0847503239057561E-5</v>
      </c>
      <c r="N145" s="7">
        <f t="shared" si="144"/>
        <v>0</v>
      </c>
      <c r="O145" s="7">
        <f t="shared" si="144"/>
        <v>-2.0282959591167167E-5</v>
      </c>
      <c r="P145" s="7">
        <f t="shared" si="135"/>
        <v>-5.2118758097643903E-6</v>
      </c>
      <c r="Q145" s="7">
        <f t="shared" si="138"/>
        <v>-5.0707398977917918E-6</v>
      </c>
      <c r="R145" s="76">
        <f t="shared" si="140"/>
        <v>-2.8954865609802168E-9</v>
      </c>
      <c r="S145" s="77" t="e">
        <f t="shared" ca="1" si="141"/>
        <v>#NUM!</v>
      </c>
      <c r="T145" s="32" t="e">
        <f t="shared" ca="1" si="142"/>
        <v>#NUM!</v>
      </c>
      <c r="U145" s="32" t="e">
        <f t="shared" ca="1" si="143"/>
        <v>#NUM!</v>
      </c>
      <c r="V145" s="1"/>
      <c r="W145" s="1"/>
      <c r="X145" s="1"/>
      <c r="Y145" s="1"/>
    </row>
    <row r="146" spans="9:25" x14ac:dyDescent="0.2">
      <c r="I146" s="4">
        <v>4</v>
      </c>
      <c r="J146" s="7">
        <f t="shared" ref="J146:O146" si="145">J145</f>
        <v>10</v>
      </c>
      <c r="K146" s="7">
        <f t="shared" si="145"/>
        <v>9.9166666666666661</v>
      </c>
      <c r="L146" s="7">
        <f t="shared" si="145"/>
        <v>0</v>
      </c>
      <c r="M146" s="7">
        <f t="shared" si="145"/>
        <v>-2.0847503239057561E-5</v>
      </c>
      <c r="N146" s="7">
        <f t="shared" si="145"/>
        <v>0</v>
      </c>
      <c r="O146" s="7">
        <f t="shared" si="145"/>
        <v>-2.0282959591167167E-5</v>
      </c>
      <c r="P146" s="7">
        <f t="shared" si="135"/>
        <v>-6.9491677463525207E-6</v>
      </c>
      <c r="Q146" s="7">
        <f t="shared" si="138"/>
        <v>-6.760986530389056E-6</v>
      </c>
      <c r="R146" s="76">
        <f t="shared" si="140"/>
        <v>-4.3432298414703253E-9</v>
      </c>
      <c r="S146" s="77" t="e">
        <f t="shared" ca="1" si="141"/>
        <v>#NUM!</v>
      </c>
      <c r="T146" s="32" t="e">
        <f t="shared" ca="1" si="142"/>
        <v>#NUM!</v>
      </c>
      <c r="U146" s="32" t="e">
        <f t="shared" ca="1" si="143"/>
        <v>#NUM!</v>
      </c>
      <c r="V146" s="1"/>
      <c r="W146" s="1"/>
      <c r="X146" s="1"/>
      <c r="Y146" s="1"/>
    </row>
    <row r="147" spans="9:25" x14ac:dyDescent="0.2">
      <c r="I147" s="4">
        <v>5</v>
      </c>
      <c r="J147" s="7">
        <f t="shared" ref="J147:O147" si="146">J146</f>
        <v>10</v>
      </c>
      <c r="K147" s="7">
        <f t="shared" si="146"/>
        <v>9.9166666666666661</v>
      </c>
      <c r="L147" s="7">
        <f t="shared" si="146"/>
        <v>0</v>
      </c>
      <c r="M147" s="7">
        <f t="shared" si="146"/>
        <v>-2.0847503239057561E-5</v>
      </c>
      <c r="N147" s="7">
        <f t="shared" si="146"/>
        <v>0</v>
      </c>
      <c r="O147" s="7">
        <f t="shared" si="146"/>
        <v>-2.0282959591167167E-5</v>
      </c>
      <c r="P147" s="7">
        <f t="shared" si="135"/>
        <v>-8.6864596829406511E-6</v>
      </c>
      <c r="Q147" s="7">
        <f t="shared" si="138"/>
        <v>-8.4512331629863202E-6</v>
      </c>
      <c r="R147" s="76">
        <f t="shared" si="140"/>
        <v>-5.7909731219604335E-9</v>
      </c>
      <c r="S147" s="77" t="e">
        <f t="shared" ca="1" si="141"/>
        <v>#NUM!</v>
      </c>
      <c r="T147" s="32" t="e">
        <f t="shared" ca="1" si="142"/>
        <v>#NUM!</v>
      </c>
      <c r="U147" s="32" t="e">
        <f t="shared" ca="1" si="143"/>
        <v>#NUM!</v>
      </c>
      <c r="V147" s="1"/>
      <c r="W147" s="1"/>
      <c r="X147" s="1"/>
      <c r="Y147" s="1"/>
    </row>
    <row r="148" spans="9:25" x14ac:dyDescent="0.2">
      <c r="I148" s="4">
        <v>6</v>
      </c>
      <c r="J148" s="7">
        <f t="shared" ref="J148:O148" si="147">J147</f>
        <v>10</v>
      </c>
      <c r="K148" s="7">
        <f t="shared" si="147"/>
        <v>9.9166666666666661</v>
      </c>
      <c r="L148" s="7">
        <f t="shared" si="147"/>
        <v>0</v>
      </c>
      <c r="M148" s="7">
        <f t="shared" si="147"/>
        <v>-2.0847503239057561E-5</v>
      </c>
      <c r="N148" s="7">
        <f t="shared" si="147"/>
        <v>0</v>
      </c>
      <c r="O148" s="7">
        <f t="shared" si="147"/>
        <v>-2.0282959591167167E-5</v>
      </c>
      <c r="P148" s="7">
        <f t="shared" si="135"/>
        <v>-1.0423751619528781E-5</v>
      </c>
      <c r="Q148" s="7">
        <f t="shared" si="138"/>
        <v>-1.0141479795583584E-5</v>
      </c>
      <c r="R148" s="76">
        <f t="shared" si="140"/>
        <v>-7.2387164024505433E-9</v>
      </c>
      <c r="S148" s="77" t="e">
        <f t="shared" ca="1" si="141"/>
        <v>#NUM!</v>
      </c>
      <c r="T148" s="32" t="e">
        <f t="shared" ca="1" si="142"/>
        <v>#NUM!</v>
      </c>
      <c r="U148" s="32" t="e">
        <f t="shared" ca="1" si="143"/>
        <v>#NUM!</v>
      </c>
      <c r="V148" s="1"/>
      <c r="W148" s="1"/>
      <c r="X148" s="1"/>
      <c r="Y148" s="1"/>
    </row>
    <row r="149" spans="9:25" x14ac:dyDescent="0.2">
      <c r="I149" s="4">
        <v>7</v>
      </c>
      <c r="J149" s="7">
        <f t="shared" ref="J149:O149" si="148">J148</f>
        <v>10</v>
      </c>
      <c r="K149" s="7">
        <f t="shared" si="148"/>
        <v>9.9166666666666661</v>
      </c>
      <c r="L149" s="7">
        <f t="shared" si="148"/>
        <v>0</v>
      </c>
      <c r="M149" s="7">
        <f t="shared" si="148"/>
        <v>-2.0847503239057561E-5</v>
      </c>
      <c r="N149" s="7">
        <f t="shared" si="148"/>
        <v>0</v>
      </c>
      <c r="O149" s="7">
        <f t="shared" si="148"/>
        <v>-2.0282959591167167E-5</v>
      </c>
      <c r="P149" s="7">
        <f t="shared" si="135"/>
        <v>-1.216104355611691E-5</v>
      </c>
      <c r="Q149" s="7">
        <f t="shared" si="138"/>
        <v>-1.1831726428180849E-5</v>
      </c>
      <c r="R149" s="76">
        <f t="shared" si="140"/>
        <v>-8.6864596829406507E-9</v>
      </c>
      <c r="S149" s="77" t="e">
        <f t="shared" ca="1" si="141"/>
        <v>#NUM!</v>
      </c>
      <c r="T149" s="32" t="e">
        <f t="shared" ca="1" si="142"/>
        <v>#NUM!</v>
      </c>
      <c r="U149" s="32" t="e">
        <f t="shared" ca="1" si="143"/>
        <v>#NUM!</v>
      </c>
      <c r="V149" s="1"/>
      <c r="W149" s="1"/>
      <c r="X149" s="1"/>
      <c r="Y149" s="1"/>
    </row>
    <row r="150" spans="9:25" x14ac:dyDescent="0.2">
      <c r="I150" s="4">
        <v>8</v>
      </c>
      <c r="J150" s="7">
        <f t="shared" ref="J150:O150" si="149">J149</f>
        <v>10</v>
      </c>
      <c r="K150" s="7">
        <f t="shared" si="149"/>
        <v>9.9166666666666661</v>
      </c>
      <c r="L150" s="7">
        <f t="shared" si="149"/>
        <v>0</v>
      </c>
      <c r="M150" s="7">
        <f t="shared" si="149"/>
        <v>-2.0847503239057561E-5</v>
      </c>
      <c r="N150" s="7">
        <f t="shared" si="149"/>
        <v>0</v>
      </c>
      <c r="O150" s="7">
        <f t="shared" si="149"/>
        <v>-2.0282959591167167E-5</v>
      </c>
      <c r="P150" s="7">
        <f t="shared" si="135"/>
        <v>-1.3898335492705041E-5</v>
      </c>
      <c r="Q150" s="7">
        <f t="shared" si="138"/>
        <v>-1.3521973060778112E-5</v>
      </c>
      <c r="R150" s="76">
        <f t="shared" si="140"/>
        <v>-1.0134202963430759E-8</v>
      </c>
      <c r="S150" s="77" t="e">
        <f t="shared" ca="1" si="141"/>
        <v>#NUM!</v>
      </c>
      <c r="T150" s="32" t="e">
        <f t="shared" ca="1" si="142"/>
        <v>#NUM!</v>
      </c>
      <c r="U150" s="32" t="e">
        <f t="shared" ca="1" si="143"/>
        <v>#NUM!</v>
      </c>
      <c r="V150" s="1"/>
      <c r="W150" s="1"/>
      <c r="X150" s="1"/>
      <c r="Y150" s="1"/>
    </row>
    <row r="151" spans="9:25" x14ac:dyDescent="0.2">
      <c r="I151" s="4">
        <v>9</v>
      </c>
      <c r="J151" s="7">
        <f t="shared" ref="J151:O151" si="150">J150</f>
        <v>10</v>
      </c>
      <c r="K151" s="7">
        <f t="shared" si="150"/>
        <v>9.9166666666666661</v>
      </c>
      <c r="L151" s="7">
        <f t="shared" si="150"/>
        <v>0</v>
      </c>
      <c r="M151" s="7">
        <f t="shared" si="150"/>
        <v>-2.0847503239057561E-5</v>
      </c>
      <c r="N151" s="7">
        <f t="shared" si="150"/>
        <v>0</v>
      </c>
      <c r="O151" s="7">
        <f t="shared" si="150"/>
        <v>-2.0282959591167167E-5</v>
      </c>
      <c r="P151" s="7">
        <f t="shared" si="135"/>
        <v>-1.5635627429293171E-5</v>
      </c>
      <c r="Q151" s="7">
        <f t="shared" si="138"/>
        <v>-1.5212219693375374E-5</v>
      </c>
      <c r="R151" s="76">
        <f t="shared" si="140"/>
        <v>-1.1581946243920867E-8</v>
      </c>
      <c r="S151" s="77" t="e">
        <f t="shared" ca="1" si="141"/>
        <v>#NUM!</v>
      </c>
      <c r="T151" s="32" t="e">
        <f t="shared" ca="1" si="142"/>
        <v>#NUM!</v>
      </c>
      <c r="U151" s="32" t="e">
        <f t="shared" ca="1" si="143"/>
        <v>#NUM!</v>
      </c>
      <c r="V151" s="1"/>
      <c r="W151" s="1"/>
      <c r="X151" s="1"/>
      <c r="Y151" s="1"/>
    </row>
    <row r="152" spans="9:25" x14ac:dyDescent="0.2">
      <c r="I152" s="4">
        <v>10</v>
      </c>
      <c r="J152" s="7">
        <f t="shared" ref="J152:O152" si="151">J151</f>
        <v>10</v>
      </c>
      <c r="K152" s="7">
        <f t="shared" si="151"/>
        <v>9.9166666666666661</v>
      </c>
      <c r="L152" s="7">
        <f t="shared" si="151"/>
        <v>0</v>
      </c>
      <c r="M152" s="7">
        <f t="shared" si="151"/>
        <v>-2.0847503239057561E-5</v>
      </c>
      <c r="N152" s="7">
        <f t="shared" si="151"/>
        <v>0</v>
      </c>
      <c r="O152" s="7">
        <f t="shared" si="151"/>
        <v>-2.0282959591167167E-5</v>
      </c>
      <c r="P152" s="7">
        <f t="shared" si="135"/>
        <v>-1.7372919365881302E-5</v>
      </c>
      <c r="Q152" s="7">
        <f t="shared" si="138"/>
        <v>-1.690246632597264E-5</v>
      </c>
      <c r="R152" s="76">
        <f t="shared" si="140"/>
        <v>-1.3029689524410977E-8</v>
      </c>
      <c r="S152" s="77" t="e">
        <f t="shared" ca="1" si="141"/>
        <v>#NUM!</v>
      </c>
      <c r="T152" s="32" t="e">
        <f t="shared" ca="1" si="142"/>
        <v>#NUM!</v>
      </c>
      <c r="U152" s="32" t="e">
        <f t="shared" ca="1" si="143"/>
        <v>#NUM!</v>
      </c>
      <c r="V152" s="1"/>
      <c r="W152" s="1"/>
      <c r="X152" s="1"/>
      <c r="Y152" s="1"/>
    </row>
    <row r="153" spans="9:25" x14ac:dyDescent="0.2">
      <c r="I153" s="4">
        <v>11</v>
      </c>
      <c r="J153" s="7">
        <f t="shared" ref="J153:O153" si="152">J152</f>
        <v>10</v>
      </c>
      <c r="K153" s="7">
        <f t="shared" si="152"/>
        <v>9.9166666666666661</v>
      </c>
      <c r="L153" s="7">
        <f t="shared" si="152"/>
        <v>0</v>
      </c>
      <c r="M153" s="7">
        <f t="shared" si="152"/>
        <v>-2.0847503239057561E-5</v>
      </c>
      <c r="N153" s="7">
        <f t="shared" si="152"/>
        <v>0</v>
      </c>
      <c r="O153" s="7">
        <f t="shared" si="152"/>
        <v>-2.0282959591167167E-5</v>
      </c>
      <c r="P153" s="7">
        <f t="shared" si="135"/>
        <v>-1.911021130246943E-5</v>
      </c>
      <c r="Q153" s="7">
        <f t="shared" si="138"/>
        <v>-1.8592712958569905E-5</v>
      </c>
      <c r="R153" s="76">
        <f t="shared" si="140"/>
        <v>-1.4477432804901087E-8</v>
      </c>
      <c r="S153" s="77" t="e">
        <f t="shared" ca="1" si="141"/>
        <v>#NUM!</v>
      </c>
      <c r="T153" s="32" t="e">
        <f t="shared" ca="1" si="142"/>
        <v>#NUM!</v>
      </c>
      <c r="U153" s="32" t="e">
        <f t="shared" ca="1" si="143"/>
        <v>#NUM!</v>
      </c>
      <c r="V153" s="1"/>
      <c r="W153" s="1"/>
      <c r="X153" s="1"/>
      <c r="Y153" s="1"/>
    </row>
    <row r="154" spans="9:25" x14ac:dyDescent="0.2">
      <c r="I154" s="4">
        <v>12</v>
      </c>
      <c r="J154" s="7">
        <f t="shared" ref="J154:O154" si="153">J153</f>
        <v>10</v>
      </c>
      <c r="K154" s="7">
        <f t="shared" si="153"/>
        <v>9.9166666666666661</v>
      </c>
      <c r="L154" s="7">
        <f t="shared" si="153"/>
        <v>0</v>
      </c>
      <c r="M154" s="7">
        <f t="shared" si="153"/>
        <v>-2.0847503239057561E-5</v>
      </c>
      <c r="N154" s="7">
        <f t="shared" si="153"/>
        <v>0</v>
      </c>
      <c r="O154" s="7">
        <f t="shared" si="153"/>
        <v>-2.0282959591167167E-5</v>
      </c>
      <c r="P154" s="7">
        <f t="shared" si="135"/>
        <v>-2.0847503239057561E-5</v>
      </c>
      <c r="Q154" s="7">
        <f t="shared" si="138"/>
        <v>-2.0282959591167167E-5</v>
      </c>
      <c r="R154" s="76">
        <f t="shared" si="140"/>
        <v>-1.592517608539119E-8</v>
      </c>
      <c r="S154" s="77" t="e">
        <f t="shared" ca="1" si="141"/>
        <v>#NUM!</v>
      </c>
      <c r="T154" s="32" t="e">
        <f t="shared" ca="1" si="142"/>
        <v>#NUM!</v>
      </c>
      <c r="U154" s="33" t="e">
        <f t="shared" ca="1" si="143"/>
        <v>#NUM!</v>
      </c>
      <c r="V154" s="1"/>
      <c r="W154" s="1"/>
      <c r="X154" s="1"/>
      <c r="Y154" s="1"/>
    </row>
    <row r="155" spans="9:25" x14ac:dyDescent="0.2">
      <c r="M155" s="1"/>
      <c r="N155" s="1"/>
      <c r="O155" s="1"/>
      <c r="Q155"/>
      <c r="R155"/>
      <c r="S155"/>
      <c r="V155" s="1"/>
      <c r="W155" s="1"/>
      <c r="X155" s="1"/>
      <c r="Y155" s="1"/>
    </row>
    <row r="156" spans="9:25" x14ac:dyDescent="0.2">
      <c r="V156" s="1"/>
      <c r="W156" s="1"/>
      <c r="X156" s="1"/>
      <c r="Y156" s="1"/>
    </row>
    <row r="157" spans="9:25" x14ac:dyDescent="0.2">
      <c r="V157" s="1"/>
      <c r="W157" s="1"/>
      <c r="X157" s="1"/>
      <c r="Y157" s="1"/>
    </row>
    <row r="158" spans="9:25" x14ac:dyDescent="0.2">
      <c r="V158" s="1"/>
      <c r="W158" s="1"/>
      <c r="X158" s="1"/>
      <c r="Y158" s="1"/>
    </row>
    <row r="159" spans="9:25" x14ac:dyDescent="0.2">
      <c r="V159" s="1"/>
      <c r="W159" s="1"/>
      <c r="X159" s="1"/>
      <c r="Y159" s="1"/>
    </row>
    <row r="160" spans="9:25" x14ac:dyDescent="0.2">
      <c r="V160" s="1"/>
      <c r="W160" s="1"/>
      <c r="X160" s="1"/>
      <c r="Y160" s="1"/>
    </row>
    <row r="161" spans="13:15" s="1" customFormat="1" x14ac:dyDescent="0.2">
      <c r="M161"/>
      <c r="N161"/>
      <c r="O161"/>
    </row>
    <row r="162" spans="13:15" s="1" customFormat="1" x14ac:dyDescent="0.2">
      <c r="M162"/>
      <c r="N162"/>
      <c r="O162"/>
    </row>
    <row r="163" spans="13:15" s="1" customFormat="1" x14ac:dyDescent="0.2">
      <c r="M163"/>
      <c r="N163"/>
      <c r="O163"/>
    </row>
    <row r="164" spans="13:15" s="1" customFormat="1" x14ac:dyDescent="0.2">
      <c r="M164"/>
      <c r="N164"/>
      <c r="O164"/>
    </row>
    <row r="165" spans="13:15" s="1" customFormat="1" x14ac:dyDescent="0.2">
      <c r="M165"/>
      <c r="N165"/>
      <c r="O165"/>
    </row>
    <row r="166" spans="13:15" s="1" customFormat="1" x14ac:dyDescent="0.2">
      <c r="M166"/>
      <c r="N166"/>
      <c r="O166"/>
    </row>
    <row r="167" spans="13:15" s="1" customFormat="1" x14ac:dyDescent="0.2">
      <c r="M167"/>
      <c r="N167"/>
      <c r="O167"/>
    </row>
    <row r="168" spans="13:15" s="1" customFormat="1" x14ac:dyDescent="0.2">
      <c r="M168"/>
      <c r="N168"/>
      <c r="O168"/>
    </row>
    <row r="169" spans="13:15" s="1" customFormat="1" x14ac:dyDescent="0.2">
      <c r="M169"/>
      <c r="N169"/>
      <c r="O169"/>
    </row>
    <row r="170" spans="13:15" s="1" customFormat="1" x14ac:dyDescent="0.2">
      <c r="M170"/>
      <c r="N170"/>
      <c r="O170"/>
    </row>
    <row r="171" spans="13:15" s="1" customFormat="1" x14ac:dyDescent="0.2">
      <c r="M171"/>
      <c r="N171"/>
      <c r="O171"/>
    </row>
    <row r="172" spans="13:15" s="1" customFormat="1" x14ac:dyDescent="0.2">
      <c r="M172"/>
      <c r="N172"/>
      <c r="O172"/>
    </row>
  </sheetData>
  <phoneticPr fontId="1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fit_scenario_curve">
                <anchor moveWithCells="1" sizeWithCells="1">
                  <from>
                    <xdr:col>17</xdr:col>
                    <xdr:colOff>812800</xdr:colOff>
                    <xdr:row>2</xdr:row>
                    <xdr:rowOff>114300</xdr:rowOff>
                  </from>
                  <to>
                    <xdr:col>19</xdr:col>
                    <xdr:colOff>38100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CF52E-A559-2149-8EFE-0C97D5C5C3EF}">
  <dimension ref="A2:H24"/>
  <sheetViews>
    <sheetView showGridLines="0" topLeftCell="A16" zoomScale="102" workbookViewId="0">
      <selection activeCell="K24" sqref="K24"/>
    </sheetView>
  </sheetViews>
  <sheetFormatPr baseColWidth="10" defaultColWidth="8.83203125" defaultRowHeight="16" x14ac:dyDescent="0.2"/>
  <cols>
    <col min="1" max="1" width="8.83203125" style="35"/>
    <col min="2" max="2" width="6.5" style="35" bestFit="1" customWidth="1"/>
    <col min="3" max="3" width="15.1640625" style="35" bestFit="1" customWidth="1"/>
    <col min="4" max="4" width="24.6640625" style="35" bestFit="1" customWidth="1"/>
    <col min="5" max="8" width="7.33203125" style="35" customWidth="1"/>
    <col min="9" max="16384" width="8.83203125" style="35"/>
  </cols>
  <sheetData>
    <row r="2" spans="1:8" x14ac:dyDescent="0.2">
      <c r="B2" s="65" t="s">
        <v>79</v>
      </c>
      <c r="C2" s="63"/>
      <c r="D2" s="63"/>
      <c r="E2" s="63"/>
      <c r="F2" s="63"/>
      <c r="G2" s="63"/>
      <c r="H2" s="63"/>
    </row>
    <row r="3" spans="1:8" x14ac:dyDescent="0.2">
      <c r="A3" s="64"/>
      <c r="B3" s="63" t="s">
        <v>49</v>
      </c>
      <c r="C3" s="63" t="s">
        <v>50</v>
      </c>
      <c r="D3" s="63" t="s">
        <v>51</v>
      </c>
      <c r="E3" s="63">
        <v>0.25</v>
      </c>
      <c r="F3" s="63">
        <v>2</v>
      </c>
      <c r="G3" s="63">
        <v>5</v>
      </c>
      <c r="H3" s="63">
        <v>10</v>
      </c>
    </row>
    <row r="4" spans="1:8" x14ac:dyDescent="0.2">
      <c r="B4" s="39" t="s">
        <v>0</v>
      </c>
      <c r="C4" s="39" t="s">
        <v>74</v>
      </c>
      <c r="D4" s="38" t="s">
        <v>75</v>
      </c>
      <c r="E4" s="66">
        <v>4.25</v>
      </c>
      <c r="F4" s="66">
        <v>4.3</v>
      </c>
      <c r="G4" s="66">
        <v>4.4000000000000004</v>
      </c>
      <c r="H4" s="66">
        <v>4.5</v>
      </c>
    </row>
    <row r="5" spans="1:8" x14ac:dyDescent="0.2">
      <c r="B5" s="39" t="s">
        <v>0</v>
      </c>
      <c r="C5" s="39" t="s">
        <v>52</v>
      </c>
      <c r="D5" s="38" t="s">
        <v>53</v>
      </c>
      <c r="E5" s="66">
        <v>3.55</v>
      </c>
      <c r="F5" s="66">
        <v>3.84</v>
      </c>
      <c r="G5" s="66">
        <v>4.01</v>
      </c>
      <c r="H5" s="66">
        <v>4.42</v>
      </c>
    </row>
    <row r="6" spans="1:8" x14ac:dyDescent="0.2">
      <c r="B6" s="39" t="s">
        <v>0</v>
      </c>
      <c r="C6" s="39" t="s">
        <v>54</v>
      </c>
      <c r="D6" s="38" t="s">
        <v>61</v>
      </c>
      <c r="E6" s="66">
        <v>4.375</v>
      </c>
      <c r="F6" s="66">
        <v>4.5999999999999996</v>
      </c>
      <c r="G6" s="66">
        <v>4.7</v>
      </c>
      <c r="H6" s="66">
        <v>4.8</v>
      </c>
    </row>
    <row r="7" spans="1:8" x14ac:dyDescent="0.2">
      <c r="B7" s="39" t="s">
        <v>0</v>
      </c>
      <c r="C7" s="39" t="s">
        <v>55</v>
      </c>
      <c r="D7" s="38" t="s">
        <v>59</v>
      </c>
      <c r="E7" s="66">
        <v>3.5</v>
      </c>
      <c r="F7" s="66">
        <v>3.1</v>
      </c>
      <c r="G7" s="66">
        <v>3.35</v>
      </c>
      <c r="H7" s="66">
        <v>3.6</v>
      </c>
    </row>
    <row r="8" spans="1:8" x14ac:dyDescent="0.2">
      <c r="B8" s="59" t="s">
        <v>56</v>
      </c>
      <c r="C8" s="59" t="s">
        <v>74</v>
      </c>
      <c r="D8" s="60" t="s">
        <v>75</v>
      </c>
      <c r="E8" s="67">
        <v>2.5</v>
      </c>
      <c r="F8" s="67">
        <v>2.85</v>
      </c>
      <c r="G8" s="67">
        <v>2.9</v>
      </c>
      <c r="H8" s="67">
        <v>3.2</v>
      </c>
    </row>
    <row r="9" spans="1:8" x14ac:dyDescent="0.2">
      <c r="B9" s="59" t="s">
        <v>56</v>
      </c>
      <c r="C9" s="59" t="s">
        <v>52</v>
      </c>
      <c r="D9" s="60" t="s">
        <v>53</v>
      </c>
      <c r="E9" s="67">
        <v>2.57</v>
      </c>
      <c r="F9" s="67">
        <v>2.7</v>
      </c>
      <c r="G9" s="67">
        <v>2.75</v>
      </c>
      <c r="H9" s="67">
        <v>3.15</v>
      </c>
    </row>
    <row r="10" spans="1:8" x14ac:dyDescent="0.2">
      <c r="B10" s="59" t="s">
        <v>56</v>
      </c>
      <c r="C10" s="59" t="s">
        <v>54</v>
      </c>
      <c r="D10" s="60" t="s">
        <v>60</v>
      </c>
      <c r="E10" s="67">
        <v>2.75</v>
      </c>
      <c r="F10" s="67">
        <v>2.9</v>
      </c>
      <c r="G10" s="67">
        <v>3</v>
      </c>
      <c r="H10" s="67">
        <v>3.2</v>
      </c>
    </row>
    <row r="11" spans="1:8" x14ac:dyDescent="0.2">
      <c r="B11" s="59" t="s">
        <v>56</v>
      </c>
      <c r="C11" s="59" t="s">
        <v>55</v>
      </c>
      <c r="D11" s="60" t="s">
        <v>58</v>
      </c>
      <c r="E11" s="67">
        <v>2</v>
      </c>
      <c r="F11" s="67">
        <v>2.12</v>
      </c>
      <c r="G11" s="67">
        <v>2.35</v>
      </c>
      <c r="H11" s="67">
        <v>2.6</v>
      </c>
    </row>
    <row r="12" spans="1:8" x14ac:dyDescent="0.2">
      <c r="B12" s="37" t="s">
        <v>1</v>
      </c>
      <c r="C12" s="37" t="s">
        <v>74</v>
      </c>
      <c r="D12" s="36" t="s">
        <v>75</v>
      </c>
      <c r="E12" s="68">
        <v>3.75</v>
      </c>
      <c r="F12" s="68">
        <v>3.9</v>
      </c>
      <c r="G12" s="68">
        <v>4</v>
      </c>
      <c r="H12" s="68">
        <v>4.4000000000000004</v>
      </c>
    </row>
    <row r="13" spans="1:8" x14ac:dyDescent="0.2">
      <c r="B13" s="37" t="s">
        <v>1</v>
      </c>
      <c r="C13" s="37" t="s">
        <v>52</v>
      </c>
      <c r="D13" s="36" t="s">
        <v>53</v>
      </c>
      <c r="E13" s="68">
        <v>3.65</v>
      </c>
      <c r="F13" s="68">
        <v>3.7</v>
      </c>
      <c r="G13" s="68">
        <v>3.8</v>
      </c>
      <c r="H13" s="68">
        <v>4.55</v>
      </c>
    </row>
    <row r="14" spans="1:8" x14ac:dyDescent="0.2">
      <c r="B14" s="37" t="s">
        <v>1</v>
      </c>
      <c r="C14" s="37" t="s">
        <v>54</v>
      </c>
      <c r="D14" s="36" t="s">
        <v>58</v>
      </c>
      <c r="E14" s="68">
        <v>3.27</v>
      </c>
      <c r="F14" s="68">
        <v>3.4</v>
      </c>
      <c r="G14" s="68">
        <v>3.35</v>
      </c>
      <c r="H14" s="68">
        <v>3.85</v>
      </c>
    </row>
    <row r="15" spans="1:8" x14ac:dyDescent="0.2">
      <c r="B15" s="37" t="s">
        <v>1</v>
      </c>
      <c r="C15" s="37" t="s">
        <v>55</v>
      </c>
      <c r="D15" s="36" t="s">
        <v>60</v>
      </c>
      <c r="E15" s="68">
        <v>3.75</v>
      </c>
      <c r="F15" s="68">
        <v>3.9</v>
      </c>
      <c r="G15" s="68">
        <v>4.0999999999999996</v>
      </c>
      <c r="H15" s="68">
        <v>4.2</v>
      </c>
    </row>
    <row r="16" spans="1:8" x14ac:dyDescent="0.2">
      <c r="B16" s="61" t="s">
        <v>2</v>
      </c>
      <c r="C16" s="61" t="s">
        <v>74</v>
      </c>
      <c r="D16" s="62" t="s">
        <v>75</v>
      </c>
      <c r="E16" s="69">
        <v>1.75</v>
      </c>
      <c r="F16" s="69">
        <v>1.75</v>
      </c>
      <c r="G16" s="69">
        <v>2</v>
      </c>
      <c r="H16" s="69">
        <v>2.35</v>
      </c>
    </row>
    <row r="17" spans="2:8" x14ac:dyDescent="0.2">
      <c r="B17" s="61" t="s">
        <v>2</v>
      </c>
      <c r="C17" s="61" t="s">
        <v>52</v>
      </c>
      <c r="D17" s="62" t="s">
        <v>53</v>
      </c>
      <c r="E17" s="69">
        <v>1.96</v>
      </c>
      <c r="F17" s="69">
        <v>2</v>
      </c>
      <c r="G17" s="69">
        <v>2</v>
      </c>
      <c r="H17" s="69">
        <v>3.09</v>
      </c>
    </row>
    <row r="18" spans="2:8" x14ac:dyDescent="0.2">
      <c r="B18" s="61" t="s">
        <v>2</v>
      </c>
      <c r="C18" s="61" t="s">
        <v>54</v>
      </c>
      <c r="D18" s="62" t="s">
        <v>57</v>
      </c>
      <c r="E18" s="69">
        <v>2.2000000000000002</v>
      </c>
      <c r="F18" s="69">
        <v>2.2000000000000002</v>
      </c>
      <c r="G18" s="69">
        <v>2.2999999999999998</v>
      </c>
      <c r="H18" s="69">
        <v>2.5</v>
      </c>
    </row>
    <row r="19" spans="2:8" x14ac:dyDescent="0.2">
      <c r="B19" s="61" t="s">
        <v>2</v>
      </c>
      <c r="C19" s="61" t="s">
        <v>55</v>
      </c>
      <c r="D19" s="62" t="s">
        <v>76</v>
      </c>
      <c r="E19" s="69">
        <v>1.5</v>
      </c>
      <c r="F19" s="69">
        <v>1.5</v>
      </c>
      <c r="G19" s="69">
        <v>1.65</v>
      </c>
      <c r="H19" s="69">
        <v>2</v>
      </c>
    </row>
    <row r="20" spans="2:8" x14ac:dyDescent="0.2">
      <c r="B20" s="70" t="s">
        <v>78</v>
      </c>
      <c r="C20" s="70" t="s">
        <v>74</v>
      </c>
      <c r="D20" s="71" t="s">
        <v>75</v>
      </c>
      <c r="E20" s="72">
        <v>1.1499999999999999</v>
      </c>
      <c r="F20" s="72">
        <v>1.35</v>
      </c>
      <c r="G20" s="72">
        <v>1.55</v>
      </c>
      <c r="H20" s="72">
        <v>1.8</v>
      </c>
    </row>
    <row r="21" spans="2:8" x14ac:dyDescent="0.2">
      <c r="B21" s="70" t="s">
        <v>78</v>
      </c>
      <c r="C21" s="70" t="s">
        <v>52</v>
      </c>
      <c r="D21" s="71" t="s">
        <v>53</v>
      </c>
      <c r="E21" s="72">
        <v>1.1000000000000001</v>
      </c>
      <c r="F21" s="72">
        <v>1.25</v>
      </c>
      <c r="G21" s="72">
        <v>1.45</v>
      </c>
      <c r="H21" s="72">
        <v>1.72</v>
      </c>
    </row>
    <row r="22" spans="2:8" x14ac:dyDescent="0.2">
      <c r="B22" s="70" t="s">
        <v>78</v>
      </c>
      <c r="C22" s="70" t="s">
        <v>54</v>
      </c>
      <c r="D22" s="71" t="s">
        <v>80</v>
      </c>
      <c r="E22" s="72">
        <v>1.3</v>
      </c>
      <c r="F22" s="72">
        <v>1.45</v>
      </c>
      <c r="G22" s="72">
        <v>1.7</v>
      </c>
      <c r="H22" s="72">
        <v>2.1</v>
      </c>
    </row>
    <row r="24" spans="2:8" ht="46" customHeight="1" x14ac:dyDescent="0.2">
      <c r="B24" s="75" t="s">
        <v>77</v>
      </c>
      <c r="C24" s="75"/>
      <c r="D24" s="75"/>
      <c r="E24" s="75"/>
      <c r="F24" s="75"/>
      <c r="G24" s="75"/>
      <c r="H24" s="75"/>
    </row>
  </sheetData>
  <sortState xmlns:xlrd2="http://schemas.microsoft.com/office/spreadsheetml/2017/richdata2" ref="A4:H19">
    <sortCondition ref="A4:A19"/>
    <sortCondition ref="C4:C19"/>
  </sortState>
  <mergeCells count="1">
    <mergeCell ref="B24:H2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O124"/>
  <sheetViews>
    <sheetView showGridLines="0" workbookViewId="0">
      <selection activeCell="H10" sqref="H10"/>
    </sheetView>
  </sheetViews>
  <sheetFormatPr baseColWidth="10" defaultColWidth="8.83203125" defaultRowHeight="15" x14ac:dyDescent="0.2"/>
  <cols>
    <col min="1" max="1" width="8.83203125" style="4"/>
    <col min="2" max="2" width="10.1640625" style="4" bestFit="1" customWidth="1"/>
    <col min="3" max="16384" width="8.83203125" style="4"/>
  </cols>
  <sheetData>
    <row r="2" spans="2:15" x14ac:dyDescent="0.2">
      <c r="B2" s="34">
        <v>46301</v>
      </c>
    </row>
    <row r="3" spans="2:15" x14ac:dyDescent="0.2">
      <c r="B3" s="4" t="s">
        <v>3</v>
      </c>
      <c r="C3" s="4" t="s">
        <v>0</v>
      </c>
      <c r="D3" s="4" t="s">
        <v>56</v>
      </c>
      <c r="E3" s="4" t="s">
        <v>1</v>
      </c>
      <c r="F3" s="4" t="s">
        <v>2</v>
      </c>
      <c r="G3" s="4" t="s">
        <v>78</v>
      </c>
      <c r="J3" s="4" t="s">
        <v>12</v>
      </c>
      <c r="K3" s="4" t="s">
        <v>16</v>
      </c>
      <c r="M3" s="4" t="s">
        <v>3</v>
      </c>
      <c r="N3" s="4" t="s">
        <v>27</v>
      </c>
      <c r="O3" s="4" t="s">
        <v>28</v>
      </c>
    </row>
    <row r="4" spans="2:15" x14ac:dyDescent="0.2">
      <c r="B4" s="4">
        <v>0.25</v>
      </c>
      <c r="C4" s="24">
        <v>4.1203000000000003</v>
      </c>
      <c r="D4" s="24">
        <v>2.7759999999999998</v>
      </c>
      <c r="E4" s="24">
        <v>4.2</v>
      </c>
      <c r="F4" s="24">
        <v>1.274</v>
      </c>
      <c r="G4" s="24">
        <v>1.1579999999999999</v>
      </c>
      <c r="I4" s="4">
        <f t="shared" ref="I4:I12" si="0">B4</f>
        <v>0.25</v>
      </c>
      <c r="J4" s="24">
        <f>IF(NS!F7,NS!C7,NA())</f>
        <v>4.1203000000000003</v>
      </c>
      <c r="K4" s="4" t="e">
        <f>IF(ISNA(J4),NS!C7,NA())</f>
        <v>#N/A</v>
      </c>
      <c r="M4" s="24">
        <f t="array" ref="M4:M124">ns_maturities</f>
        <v>2.7000000000000001E-3</v>
      </c>
      <c r="N4" s="24">
        <f t="array" ref="N4:N124">ns_yields</f>
        <v>0</v>
      </c>
      <c r="O4" s="24">
        <f t="shared" ref="O4:O35" si="1">beta_0_scen+beta_1_scen*((1-EXP(-lambda*M4))/(lambda*M4))+beta_2_scen*((1-EXP(-lambda*M4))/(lambda*M4)-EXP(-lambda*M4))</f>
        <v>-1.1532040634207942E-5</v>
      </c>
    </row>
    <row r="5" spans="2:15" x14ac:dyDescent="0.2">
      <c r="B5" s="4">
        <v>0.5</v>
      </c>
      <c r="C5" s="24">
        <v>4.2994000000000003</v>
      </c>
      <c r="D5" s="24">
        <v>3.19</v>
      </c>
      <c r="E5" s="24">
        <v>4.3559999999999999</v>
      </c>
      <c r="F5" s="24">
        <v>1.417</v>
      </c>
      <c r="G5" s="24">
        <v>1.2110000000000001</v>
      </c>
      <c r="I5" s="4">
        <f t="shared" si="0"/>
        <v>0.5</v>
      </c>
      <c r="J5" s="24">
        <f>IF(NS!F8,NS!C8,NA())</f>
        <v>4.2994000000000003</v>
      </c>
      <c r="K5" s="4" t="e">
        <f>IF(ISNA(J5),NS!C8,NA())</f>
        <v>#N/A</v>
      </c>
      <c r="M5" s="24">
        <v>0.25</v>
      </c>
      <c r="N5" s="24">
        <v>0</v>
      </c>
      <c r="O5" s="24">
        <f t="shared" si="1"/>
        <v>-4.2442821175750613E-6</v>
      </c>
    </row>
    <row r="6" spans="2:15" x14ac:dyDescent="0.2">
      <c r="B6" s="4">
        <v>1</v>
      </c>
      <c r="C6" s="24">
        <v>4.3860000000000001</v>
      </c>
      <c r="D6" s="24">
        <v>3.4550000000000001</v>
      </c>
      <c r="E6" s="24">
        <v>4.5869999999999997</v>
      </c>
      <c r="F6" s="24">
        <v>1.6600000000000001</v>
      </c>
      <c r="G6" s="24">
        <v>1.1779999999999999</v>
      </c>
      <c r="I6" s="4">
        <f t="shared" si="0"/>
        <v>1</v>
      </c>
      <c r="J6" s="24">
        <f>IF(NS!F9,NS!C9,NA())</f>
        <v>4.3860000000000001</v>
      </c>
      <c r="K6" s="4" t="e">
        <f>IF(ISNA(J6),NS!C9,NA())</f>
        <v>#N/A</v>
      </c>
      <c r="M6" s="24">
        <v>0.5</v>
      </c>
      <c r="N6" s="24">
        <v>0</v>
      </c>
      <c r="O6" s="24">
        <f t="shared" si="1"/>
        <v>2.0139724670848141E-6</v>
      </c>
    </row>
    <row r="7" spans="2:15" x14ac:dyDescent="0.2">
      <c r="B7" s="4">
        <v>2</v>
      </c>
      <c r="C7" s="24">
        <v>4.6901999999999999</v>
      </c>
      <c r="D7" s="24">
        <v>3.0920000000000001</v>
      </c>
      <c r="E7" s="24">
        <v>4.9279999999999999</v>
      </c>
      <c r="F7" s="24">
        <v>1.893</v>
      </c>
      <c r="G7" s="24">
        <v>1.24</v>
      </c>
      <c r="I7" s="4">
        <f t="shared" si="0"/>
        <v>2</v>
      </c>
      <c r="J7" s="24">
        <f>IF(NS!F10,NS!C10,NA())</f>
        <v>4.6901999999999999</v>
      </c>
      <c r="K7" s="4" t="e">
        <f>IF(ISNA(J7),NS!C10,NA())</f>
        <v>#N/A</v>
      </c>
      <c r="M7" s="24">
        <v>0.75</v>
      </c>
      <c r="N7" s="24">
        <v>0</v>
      </c>
      <c r="O7" s="24">
        <f t="shared" si="1"/>
        <v>7.2732636079890712E-6</v>
      </c>
    </row>
    <row r="8" spans="2:15" x14ac:dyDescent="0.2">
      <c r="B8" s="4">
        <v>3</v>
      </c>
      <c r="C8" s="24">
        <v>4.7572999999999999</v>
      </c>
      <c r="D8" s="24">
        <v>3.1259999999999999</v>
      </c>
      <c r="E8" s="24">
        <v>4.9640000000000004</v>
      </c>
      <c r="F8" s="24">
        <v>2.0219999999999998</v>
      </c>
      <c r="G8" s="24">
        <v>1.2570000000000001</v>
      </c>
      <c r="I8" s="4">
        <f t="shared" si="0"/>
        <v>3</v>
      </c>
      <c r="J8" s="24">
        <f>IF(NS!F11,NS!C11,NA())</f>
        <v>4.7572999999999999</v>
      </c>
      <c r="K8" s="4" t="e">
        <f>IF(ISNA(J8),NS!C11,NA())</f>
        <v>#N/A</v>
      </c>
      <c r="M8" s="24">
        <v>1</v>
      </c>
      <c r="N8" s="24">
        <v>0</v>
      </c>
      <c r="O8" s="24">
        <f t="shared" si="1"/>
        <v>1.16390912381031E-5</v>
      </c>
    </row>
    <row r="9" spans="2:15" x14ac:dyDescent="0.2">
      <c r="B9" s="4">
        <v>5</v>
      </c>
      <c r="C9" s="24">
        <v>4.8118999999999996</v>
      </c>
      <c r="D9" s="24">
        <v>3.1989999999999998</v>
      </c>
      <c r="E9" s="24">
        <v>4.992</v>
      </c>
      <c r="F9" s="24">
        <v>2.2469999999999999</v>
      </c>
      <c r="G9" s="24">
        <v>1.353</v>
      </c>
      <c r="I9" s="4">
        <f t="shared" si="0"/>
        <v>5</v>
      </c>
      <c r="J9" s="24">
        <f>IF(NS!F12,NS!C12,NA())</f>
        <v>4.8118999999999996</v>
      </c>
      <c r="K9" s="4" t="e">
        <f>IF(ISNA(J9),NS!C12,NA())</f>
        <v>#N/A</v>
      </c>
      <c r="M9" s="24">
        <v>1.25</v>
      </c>
      <c r="N9" s="24">
        <v>0</v>
      </c>
      <c r="O9" s="24">
        <f t="shared" si="1"/>
        <v>1.5206886802314317E-5</v>
      </c>
    </row>
    <row r="10" spans="2:15" x14ac:dyDescent="0.2">
      <c r="B10" s="4">
        <v>7</v>
      </c>
      <c r="C10" s="24">
        <v>4.8918999999999997</v>
      </c>
      <c r="D10" s="24">
        <v>3.2669999999999999</v>
      </c>
      <c r="E10" s="24">
        <v>5.165</v>
      </c>
      <c r="F10" s="24">
        <v>2.6120000000000001</v>
      </c>
      <c r="G10" s="24">
        <v>1.4570000000000001</v>
      </c>
      <c r="I10" s="4">
        <f t="shared" si="0"/>
        <v>7</v>
      </c>
      <c r="J10" s="24">
        <f>IF(NS!F13,NS!C13,NA())</f>
        <v>4.8918999999999997</v>
      </c>
      <c r="K10" s="4" t="e">
        <f>IF(ISNA(J10),NS!C13,NA())</f>
        <v>#N/A</v>
      </c>
      <c r="M10" s="24">
        <v>1.5</v>
      </c>
      <c r="N10" s="24">
        <v>0</v>
      </c>
      <c r="O10" s="24">
        <f t="shared" si="1"/>
        <v>1.8062935130155722E-5</v>
      </c>
    </row>
    <row r="11" spans="2:15" x14ac:dyDescent="0.2">
      <c r="B11" s="4">
        <v>10</v>
      </c>
      <c r="C11" s="24">
        <v>4.9904000000000002</v>
      </c>
      <c r="D11" s="24">
        <v>3.375</v>
      </c>
      <c r="E11" s="24">
        <v>5.351</v>
      </c>
      <c r="F11" s="24">
        <v>2.8010000000000002</v>
      </c>
      <c r="G11" s="24">
        <v>1.627</v>
      </c>
      <c r="I11" s="4">
        <f t="shared" si="0"/>
        <v>10</v>
      </c>
      <c r="J11" s="24">
        <f>IF(NS!F14,NS!C14,NA())</f>
        <v>4.9904000000000002</v>
      </c>
      <c r="K11" s="4" t="e">
        <f>IF(ISNA(J11),NS!C14,NA())</f>
        <v>#N/A</v>
      </c>
      <c r="M11" s="24">
        <v>1.75</v>
      </c>
      <c r="N11" s="24">
        <v>0</v>
      </c>
      <c r="O11" s="24">
        <f t="shared" si="1"/>
        <v>2.0285213668720263E-5</v>
      </c>
    </row>
    <row r="12" spans="2:15" x14ac:dyDescent="0.2">
      <c r="B12" s="4">
        <v>30</v>
      </c>
      <c r="C12" s="24">
        <v>5.3124000000000002</v>
      </c>
      <c r="D12" s="24">
        <v>3.7039999999999997</v>
      </c>
      <c r="E12" s="24">
        <v>5.7510000000000003</v>
      </c>
      <c r="F12" s="24">
        <v>3.84</v>
      </c>
      <c r="G12" s="24">
        <v>2.0640000000000001</v>
      </c>
      <c r="I12" s="4">
        <f t="shared" si="0"/>
        <v>30</v>
      </c>
      <c r="J12" s="24">
        <f>IF(NS!F15,NS!C15,NA())</f>
        <v>5.3124000000000002</v>
      </c>
      <c r="K12" s="4" t="e">
        <f>IF(ISNA(J12),NS!C15,NA())</f>
        <v>#N/A</v>
      </c>
      <c r="M12" s="24">
        <v>2</v>
      </c>
      <c r="N12" s="24">
        <v>0</v>
      </c>
      <c r="O12" s="24">
        <f t="shared" si="1"/>
        <v>2.194415639342129E-5</v>
      </c>
    </row>
    <row r="13" spans="2:15" x14ac:dyDescent="0.2">
      <c r="M13" s="24">
        <v>2.25</v>
      </c>
      <c r="N13" s="24">
        <v>0</v>
      </c>
      <c r="O13" s="24">
        <f t="shared" si="1"/>
        <v>2.3103349071302814E-5</v>
      </c>
    </row>
    <row r="14" spans="2:15" x14ac:dyDescent="0.2">
      <c r="M14" s="24">
        <v>2.5</v>
      </c>
      <c r="N14" s="24">
        <v>0</v>
      </c>
      <c r="O14" s="24">
        <f t="shared" si="1"/>
        <v>2.3820161964849612E-5</v>
      </c>
    </row>
    <row r="15" spans="2:15" x14ac:dyDescent="0.2">
      <c r="B15" s="4">
        <v>1</v>
      </c>
      <c r="C15" s="4">
        <v>5</v>
      </c>
      <c r="M15" s="24">
        <v>2.75</v>
      </c>
      <c r="N15" s="24">
        <v>0</v>
      </c>
      <c r="O15" s="24">
        <f t="shared" si="1"/>
        <v>2.4146325528798493E-5</v>
      </c>
    </row>
    <row r="16" spans="2:15" x14ac:dyDescent="0.2">
      <c r="B16" s="4" t="str" cm="1">
        <f t="array" ref="B16">INDEX(country_list,country_ix,1)</f>
        <v>US</v>
      </c>
      <c r="C16" s="4" cm="1">
        <f t="array" ref="C16">INDEX(hump_choices,hump_ix,1)</f>
        <v>5</v>
      </c>
      <c r="D16" s="73" cm="1">
        <f t="array" ref="D16">INDEX(lambdas,hump_ix,1)</f>
        <v>0.3586819</v>
      </c>
      <c r="M16" s="24">
        <v>3</v>
      </c>
      <c r="N16" s="24">
        <v>0</v>
      </c>
      <c r="O16" s="24">
        <f t="shared" si="1"/>
        <v>2.4128454163833423E-5</v>
      </c>
    </row>
    <row r="17" spans="2:15" x14ac:dyDescent="0.2">
      <c r="B17" s="4" t="str">
        <f t="array" ref="B17:B21">TRANSPOSE(C3:G3)</f>
        <v>US</v>
      </c>
      <c r="C17" s="4">
        <v>1</v>
      </c>
      <c r="D17" s="24">
        <v>1.7932809999999999</v>
      </c>
      <c r="M17" s="24">
        <v>3.25</v>
      </c>
      <c r="N17" s="24">
        <v>0</v>
      </c>
      <c r="O17" s="24">
        <f t="shared" si="1"/>
        <v>2.3808522645184617E-5</v>
      </c>
    </row>
    <row r="18" spans="2:15" x14ac:dyDescent="0.2">
      <c r="B18" s="4" t="str">
        <v>EU</v>
      </c>
      <c r="C18" s="4">
        <v>2</v>
      </c>
      <c r="D18" s="24">
        <v>0.89664160000000004</v>
      </c>
      <c r="M18" s="24">
        <v>3.5</v>
      </c>
      <c r="N18" s="24">
        <v>0</v>
      </c>
      <c r="O18" s="24">
        <f t="shared" si="1"/>
        <v>2.3224299437316054E-5</v>
      </c>
    </row>
    <row r="19" spans="2:15" x14ac:dyDescent="0.2">
      <c r="B19" s="4" t="str">
        <v>UK</v>
      </c>
      <c r="C19" s="4">
        <v>3</v>
      </c>
      <c r="D19" s="24">
        <v>0.59776030000000002</v>
      </c>
      <c r="M19" s="24">
        <v>3.75</v>
      </c>
      <c r="N19" s="24">
        <v>0</v>
      </c>
      <c r="O19" s="24">
        <f t="shared" si="1"/>
        <v>2.2409740734675083E-5</v>
      </c>
    </row>
    <row r="20" spans="2:15" x14ac:dyDescent="0.2">
      <c r="B20" s="4" t="str">
        <v>JP</v>
      </c>
      <c r="C20" s="4">
        <v>4</v>
      </c>
      <c r="D20" s="24">
        <v>0.44833519999999999</v>
      </c>
      <c r="M20" s="24">
        <v>4</v>
      </c>
      <c r="N20" s="24">
        <v>0</v>
      </c>
      <c r="O20" s="24">
        <f t="shared" si="1"/>
        <v>2.1395348729785982E-5</v>
      </c>
    </row>
    <row r="21" spans="2:15" x14ac:dyDescent="0.2">
      <c r="B21" s="4" t="str">
        <v>CN</v>
      </c>
      <c r="C21" s="4">
        <v>5</v>
      </c>
      <c r="D21" s="24">
        <v>0.3586819</v>
      </c>
      <c r="M21" s="24">
        <v>4.25</v>
      </c>
      <c r="N21" s="24">
        <v>0</v>
      </c>
      <c r="O21" s="24">
        <f t="shared" si="1"/>
        <v>2.0208497300960171E-5</v>
      </c>
    </row>
    <row r="22" spans="2:15" x14ac:dyDescent="0.2">
      <c r="C22" s="4">
        <v>7</v>
      </c>
      <c r="D22" s="24">
        <v>0.25619999999999998</v>
      </c>
      <c r="M22" s="24">
        <v>4.5</v>
      </c>
      <c r="N22" s="24">
        <v>0</v>
      </c>
      <c r="O22" s="24">
        <f t="shared" si="1"/>
        <v>1.8873728029978947E-5</v>
      </c>
    </row>
    <row r="23" spans="2:15" x14ac:dyDescent="0.2">
      <c r="C23" s="4">
        <v>10</v>
      </c>
      <c r="D23" s="24">
        <v>0.17934720000000001</v>
      </c>
      <c r="M23" s="24">
        <v>4.75</v>
      </c>
      <c r="N23" s="24">
        <v>0</v>
      </c>
      <c r="O23" s="24">
        <f t="shared" si="1"/>
        <v>1.7413019202915195E-5</v>
      </c>
    </row>
    <row r="24" spans="2:15" x14ac:dyDescent="0.2">
      <c r="M24" s="24">
        <v>5</v>
      </c>
      <c r="N24" s="24">
        <v>0</v>
      </c>
      <c r="O24" s="24">
        <f t="shared" si="1"/>
        <v>1.584603021264159E-5</v>
      </c>
    </row>
    <row r="25" spans="2:15" x14ac:dyDescent="0.2">
      <c r="M25" s="24">
        <v>5.25</v>
      </c>
      <c r="N25" s="24">
        <v>0</v>
      </c>
      <c r="O25" s="24">
        <f t="shared" si="1"/>
        <v>1.4190323567551304E-5</v>
      </c>
    </row>
    <row r="26" spans="2:15" x14ac:dyDescent="0.2">
      <c r="M26" s="24">
        <v>5.5</v>
      </c>
      <c r="N26" s="24">
        <v>0</v>
      </c>
      <c r="O26" s="24">
        <f t="shared" si="1"/>
        <v>1.246156651579291E-5</v>
      </c>
    </row>
    <row r="27" spans="2:15" x14ac:dyDescent="0.2">
      <c r="M27" s="24">
        <v>5.75</v>
      </c>
      <c r="N27" s="24">
        <v>0</v>
      </c>
      <c r="O27" s="24">
        <f t="shared" si="1"/>
        <v>1.0673714116255886E-5</v>
      </c>
    </row>
    <row r="28" spans="2:15" x14ac:dyDescent="0.2">
      <c r="M28" s="24">
        <v>6</v>
      </c>
      <c r="N28" s="24">
        <v>0</v>
      </c>
      <c r="O28" s="24">
        <f t="shared" si="1"/>
        <v>8.8391754251310607E-6</v>
      </c>
    </row>
    <row r="29" spans="2:15" x14ac:dyDescent="0.2">
      <c r="M29" s="24">
        <v>6.25</v>
      </c>
      <c r="N29" s="24">
        <v>0</v>
      </c>
      <c r="O29" s="24">
        <f t="shared" si="1"/>
        <v>6.9689643187461844E-6</v>
      </c>
    </row>
    <row r="30" spans="2:15" x14ac:dyDescent="0.2">
      <c r="M30" s="24">
        <v>6.5</v>
      </c>
      <c r="N30" s="24">
        <v>0</v>
      </c>
      <c r="O30" s="24">
        <f t="shared" si="1"/>
        <v>5.072836338290148E-6</v>
      </c>
    </row>
    <row r="31" spans="2:15" x14ac:dyDescent="0.2">
      <c r="M31" s="24">
        <v>6.75</v>
      </c>
      <c r="N31" s="24">
        <v>0</v>
      </c>
      <c r="O31" s="24">
        <f t="shared" si="1"/>
        <v>3.1594128188477787E-6</v>
      </c>
    </row>
    <row r="32" spans="2:15" x14ac:dyDescent="0.2">
      <c r="M32" s="24">
        <v>7</v>
      </c>
      <c r="N32" s="24">
        <v>0</v>
      </c>
      <c r="O32" s="24">
        <f t="shared" si="1"/>
        <v>1.2362934528315601E-6</v>
      </c>
    </row>
    <row r="33" spans="13:15" x14ac:dyDescent="0.2">
      <c r="M33" s="24">
        <v>7.25</v>
      </c>
      <c r="N33" s="24">
        <v>0</v>
      </c>
      <c r="O33" s="24">
        <f t="shared" si="1"/>
        <v>-6.8984166453688685E-7</v>
      </c>
    </row>
    <row r="34" spans="13:15" x14ac:dyDescent="0.2">
      <c r="M34" s="24">
        <v>7.5</v>
      </c>
      <c r="N34" s="24">
        <v>0</v>
      </c>
      <c r="O34" s="24">
        <f t="shared" si="1"/>
        <v>-2.6131395534386261E-6</v>
      </c>
    </row>
    <row r="35" spans="13:15" x14ac:dyDescent="0.2">
      <c r="M35" s="24">
        <v>7.75</v>
      </c>
      <c r="N35" s="24">
        <v>0</v>
      </c>
      <c r="O35" s="24">
        <f t="shared" si="1"/>
        <v>-4.5284905622575719E-6</v>
      </c>
    </row>
    <row r="36" spans="13:15" x14ac:dyDescent="0.2">
      <c r="M36" s="24">
        <v>8</v>
      </c>
      <c r="N36" s="24">
        <v>0</v>
      </c>
      <c r="O36" s="24">
        <f t="shared" ref="O36:O67" si="2">beta_0_scen+beta_1_scen*((1-EXP(-lambda*M36))/(lambda*M36))+beta_2_scen*((1-EXP(-lambda*M36))/(lambda*M36)-EXP(-lambda*M36))</f>
        <v>-6.4314524834960317E-6</v>
      </c>
    </row>
    <row r="37" spans="13:15" x14ac:dyDescent="0.2">
      <c r="M37" s="24">
        <v>8.25</v>
      </c>
      <c r="N37" s="24">
        <v>0</v>
      </c>
      <c r="O37" s="24">
        <f t="shared" si="2"/>
        <v>-8.3181818521021675E-6</v>
      </c>
    </row>
    <row r="38" spans="13:15" x14ac:dyDescent="0.2">
      <c r="M38" s="24">
        <v>8.5</v>
      </c>
      <c r="N38" s="24">
        <v>0</v>
      </c>
      <c r="O38" s="24">
        <f t="shared" si="2"/>
        <v>-1.0185371770016788E-5</v>
      </c>
    </row>
    <row r="39" spans="13:15" x14ac:dyDescent="0.2">
      <c r="M39" s="24">
        <v>8.75</v>
      </c>
      <c r="N39" s="24">
        <v>0</v>
      </c>
      <c r="O39" s="24">
        <f t="shared" si="2"/>
        <v>-1.2030195659548301E-5</v>
      </c>
    </row>
    <row r="40" spans="13:15" x14ac:dyDescent="0.2">
      <c r="M40" s="24">
        <v>9</v>
      </c>
      <c r="N40" s="24">
        <v>0</v>
      </c>
      <c r="O40" s="24">
        <f t="shared" si="2"/>
        <v>-1.385025640177855E-5</v>
      </c>
    </row>
    <row r="41" spans="13:15" x14ac:dyDescent="0.2">
      <c r="M41" s="24">
        <v>9.25</v>
      </c>
      <c r="N41" s="24">
        <v>0</v>
      </c>
      <c r="O41" s="24">
        <f t="shared" si="2"/>
        <v>-1.5643540365045365E-5</v>
      </c>
    </row>
    <row r="42" spans="13:15" x14ac:dyDescent="0.2">
      <c r="M42" s="24">
        <v>9.5</v>
      </c>
      <c r="N42" s="24">
        <v>0</v>
      </c>
      <c r="O42" s="24">
        <f t="shared" si="2"/>
        <v>-1.740837587305903E-5</v>
      </c>
    </row>
    <row r="43" spans="13:15" x14ac:dyDescent="0.2">
      <c r="M43" s="24">
        <v>9.75</v>
      </c>
      <c r="N43" s="24">
        <v>0</v>
      </c>
      <c r="O43" s="24">
        <f t="shared" si="2"/>
        <v>-1.9143395702769437E-5</v>
      </c>
    </row>
    <row r="44" spans="13:15" x14ac:dyDescent="0.2">
      <c r="M44" s="24">
        <v>10</v>
      </c>
      <c r="N44" s="24">
        <v>0</v>
      </c>
      <c r="O44" s="24">
        <f t="shared" si="2"/>
        <v>-2.0847503239057561E-5</v>
      </c>
    </row>
    <row r="45" spans="13:15" x14ac:dyDescent="0.2">
      <c r="M45" s="24">
        <v>10.25</v>
      </c>
      <c r="N45" s="24">
        <v>0</v>
      </c>
      <c r="O45" s="24">
        <f t="shared" si="2"/>
        <v>-2.251984194699535E-5</v>
      </c>
    </row>
    <row r="46" spans="13:15" x14ac:dyDescent="0.2">
      <c r="M46" s="24">
        <v>10.5</v>
      </c>
      <c r="N46" s="24">
        <v>0</v>
      </c>
      <c r="O46" s="24">
        <f t="shared" si="2"/>
        <v>-2.4159767853091965E-5</v>
      </c>
    </row>
    <row r="47" spans="13:15" x14ac:dyDescent="0.2">
      <c r="M47" s="24">
        <v>10.75</v>
      </c>
      <c r="N47" s="24">
        <v>0</v>
      </c>
      <c r="O47" s="24">
        <f t="shared" si="2"/>
        <v>-2.5766824754886792E-5</v>
      </c>
    </row>
    <row r="48" spans="13:15" x14ac:dyDescent="0.2">
      <c r="M48" s="24">
        <v>11</v>
      </c>
      <c r="N48" s="24">
        <v>0</v>
      </c>
      <c r="O48" s="24">
        <f t="shared" si="2"/>
        <v>-2.734072190369968E-5</v>
      </c>
    </row>
    <row r="49" spans="13:15" x14ac:dyDescent="0.2">
      <c r="M49" s="24">
        <v>11.25</v>
      </c>
      <c r="N49" s="24">
        <v>0</v>
      </c>
      <c r="O49" s="24">
        <f t="shared" si="2"/>
        <v>-2.8881313928529978E-5</v>
      </c>
    </row>
    <row r="50" spans="13:15" x14ac:dyDescent="0.2">
      <c r="M50" s="24">
        <v>11.5</v>
      </c>
      <c r="N50" s="24">
        <v>0</v>
      </c>
      <c r="O50" s="24">
        <f t="shared" si="2"/>
        <v>-3.0388582790202959E-5</v>
      </c>
    </row>
    <row r="51" spans="13:15" x14ac:dyDescent="0.2">
      <c r="M51" s="24">
        <v>11.75</v>
      </c>
      <c r="N51" s="24">
        <v>0</v>
      </c>
      <c r="O51" s="24">
        <f t="shared" si="2"/>
        <v>-3.186262157408589E-5</v>
      </c>
    </row>
    <row r="52" spans="13:15" x14ac:dyDescent="0.2">
      <c r="M52" s="24">
        <v>12</v>
      </c>
      <c r="N52" s="24">
        <v>0</v>
      </c>
      <c r="O52" s="24">
        <f t="shared" si="2"/>
        <v>-3.3303619947196216E-5</v>
      </c>
    </row>
    <row r="53" spans="13:15" x14ac:dyDescent="0.2">
      <c r="M53" s="24">
        <v>12.25</v>
      </c>
      <c r="N53" s="24">
        <v>0</v>
      </c>
      <c r="O53" s="24">
        <f t="shared" si="2"/>
        <v>-3.4711851121456598E-5</v>
      </c>
    </row>
    <row r="54" spans="13:15" x14ac:dyDescent="0.2">
      <c r="M54" s="24">
        <v>12.5</v>
      </c>
      <c r="N54" s="24">
        <v>0</v>
      </c>
      <c r="O54" s="24">
        <f t="shared" si="2"/>
        <v>-3.6087660179356056E-5</v>
      </c>
    </row>
    <row r="55" spans="13:15" x14ac:dyDescent="0.2">
      <c r="M55" s="24">
        <v>12.75</v>
      </c>
      <c r="N55" s="24">
        <v>0</v>
      </c>
      <c r="O55" s="24">
        <f t="shared" si="2"/>
        <v>-3.7431453631477239E-5</v>
      </c>
    </row>
    <row r="56" spans="13:15" x14ac:dyDescent="0.2">
      <c r="M56" s="24">
        <v>13</v>
      </c>
      <c r="N56" s="24">
        <v>0</v>
      </c>
      <c r="O56" s="24">
        <f t="shared" si="2"/>
        <v>-3.8743690087362794E-5</v>
      </c>
    </row>
    <row r="57" spans="13:15" x14ac:dyDescent="0.2">
      <c r="M57" s="24">
        <v>13.25</v>
      </c>
      <c r="N57" s="24">
        <v>0</v>
      </c>
      <c r="O57" s="24">
        <f t="shared" si="2"/>
        <v>-4.0024871932127033E-5</v>
      </c>
    </row>
    <row r="58" spans="13:15" x14ac:dyDescent="0.2">
      <c r="M58" s="24">
        <v>13.5</v>
      </c>
      <c r="N58" s="24">
        <v>0</v>
      </c>
      <c r="O58" s="24">
        <f t="shared" si="2"/>
        <v>-4.1275537911165331E-5</v>
      </c>
    </row>
    <row r="59" spans="13:15" x14ac:dyDescent="0.2">
      <c r="M59" s="24">
        <v>13.75</v>
      </c>
      <c r="N59" s="24">
        <v>0</v>
      </c>
      <c r="O59" s="24">
        <f t="shared" si="2"/>
        <v>-4.2496256534362073E-5</v>
      </c>
    </row>
    <row r="60" spans="13:15" x14ac:dyDescent="0.2">
      <c r="M60" s="24">
        <v>14</v>
      </c>
      <c r="N60" s="24">
        <v>0</v>
      </c>
      <c r="O60" s="24">
        <f t="shared" si="2"/>
        <v>-4.3687620219429258E-5</v>
      </c>
    </row>
    <row r="61" spans="13:15" x14ac:dyDescent="0.2">
      <c r="M61" s="24">
        <v>14.25</v>
      </c>
      <c r="N61" s="24">
        <v>0</v>
      </c>
      <c r="O61" s="24">
        <f t="shared" si="2"/>
        <v>-4.4850240101492886E-5</v>
      </c>
    </row>
    <row r="62" spans="13:15" x14ac:dyDescent="0.2">
      <c r="M62" s="24">
        <v>14.5</v>
      </c>
      <c r="N62" s="24">
        <v>0</v>
      </c>
      <c r="O62" s="24">
        <f t="shared" si="2"/>
        <v>-4.5984741442851735E-5</v>
      </c>
    </row>
    <row r="63" spans="13:15" x14ac:dyDescent="0.2">
      <c r="M63" s="24">
        <v>14.75</v>
      </c>
      <c r="N63" s="24">
        <v>0</v>
      </c>
      <c r="O63" s="24">
        <f t="shared" si="2"/>
        <v>-4.7091759583021292E-5</v>
      </c>
    </row>
    <row r="64" spans="13:15" x14ac:dyDescent="0.2">
      <c r="M64" s="24">
        <v>15</v>
      </c>
      <c r="N64" s="24">
        <v>0</v>
      </c>
      <c r="O64" s="24">
        <f t="shared" si="2"/>
        <v>-4.8171936374802129E-5</v>
      </c>
    </row>
    <row r="65" spans="13:15" x14ac:dyDescent="0.2">
      <c r="M65" s="24">
        <v>15.25</v>
      </c>
      <c r="N65" s="24">
        <v>0</v>
      </c>
      <c r="O65" s="24">
        <f t="shared" si="2"/>
        <v>-4.9225917057224406E-5</v>
      </c>
    </row>
    <row r="66" spans="13:15" x14ac:dyDescent="0.2">
      <c r="M66" s="24">
        <v>15.5</v>
      </c>
      <c r="N66" s="24">
        <v>0</v>
      </c>
      <c r="O66" s="24">
        <f t="shared" si="2"/>
        <v>-5.0254347520868253E-5</v>
      </c>
    </row>
    <row r="67" spans="13:15" x14ac:dyDescent="0.2">
      <c r="M67" s="24">
        <v>15.75</v>
      </c>
      <c r="N67" s="24">
        <v>0</v>
      </c>
      <c r="O67" s="24">
        <f t="shared" si="2"/>
        <v>-5.1257871925279801E-5</v>
      </c>
    </row>
    <row r="68" spans="13:15" x14ac:dyDescent="0.2">
      <c r="M68" s="24">
        <v>16</v>
      </c>
      <c r="N68" s="24">
        <v>0</v>
      </c>
      <c r="O68" s="24">
        <f t="shared" ref="O68:O99" si="3">beta_0_scen+beta_1_scen*((1-EXP(-lambda*M68))/(lambda*M68))+beta_2_scen*((1-EXP(-lambda*M68))/(lambda*M68)-EXP(-lambda*M68))</f>
        <v>-5.223713063203917E-5</v>
      </c>
    </row>
    <row r="69" spans="13:15" x14ac:dyDescent="0.2">
      <c r="M69" s="24">
        <v>16.25</v>
      </c>
      <c r="N69" s="24">
        <v>0</v>
      </c>
      <c r="O69" s="24">
        <f t="shared" si="3"/>
        <v>-5.3192758420519158E-5</v>
      </c>
    </row>
    <row r="70" spans="13:15" x14ac:dyDescent="0.2">
      <c r="M70" s="24">
        <v>16.5</v>
      </c>
      <c r="N70" s="24">
        <v>0</v>
      </c>
      <c r="O70" s="24">
        <f t="shared" si="3"/>
        <v>-5.4125382956535543E-5</v>
      </c>
    </row>
    <row r="71" spans="13:15" x14ac:dyDescent="0.2">
      <c r="M71" s="24">
        <v>16.75</v>
      </c>
      <c r="N71" s="24">
        <v>0</v>
      </c>
      <c r="O71" s="24">
        <f t="shared" si="3"/>
        <v>-5.5035623486962103E-5</v>
      </c>
    </row>
    <row r="72" spans="13:15" x14ac:dyDescent="0.2">
      <c r="M72" s="24">
        <v>17</v>
      </c>
      <c r="N72" s="24">
        <v>0</v>
      </c>
      <c r="O72" s="24">
        <f t="shared" si="3"/>
        <v>-5.5924089735988824E-5</v>
      </c>
    </row>
    <row r="73" spans="13:15" x14ac:dyDescent="0.2">
      <c r="M73" s="24">
        <v>17.25</v>
      </c>
      <c r="N73" s="24">
        <v>0</v>
      </c>
      <c r="O73" s="24">
        <f t="shared" si="3"/>
        <v>-5.6791380981066097E-5</v>
      </c>
    </row>
    <row r="74" spans="13:15" x14ac:dyDescent="0.2">
      <c r="M74" s="24">
        <v>17.5</v>
      </c>
      <c r="N74" s="24">
        <v>0</v>
      </c>
      <c r="O74" s="24">
        <f t="shared" si="3"/>
        <v>-5.7638085288723701E-5</v>
      </c>
    </row>
    <row r="75" spans="13:15" x14ac:dyDescent="0.2">
      <c r="M75" s="24">
        <v>17.75</v>
      </c>
      <c r="N75" s="24">
        <v>0</v>
      </c>
      <c r="O75" s="24">
        <f t="shared" si="3"/>
        <v>-5.8464778892398327E-5</v>
      </c>
    </row>
    <row r="76" spans="13:15" x14ac:dyDescent="0.2">
      <c r="M76" s="24">
        <v>18</v>
      </c>
      <c r="N76" s="24">
        <v>0</v>
      </c>
      <c r="O76" s="24">
        <f t="shared" si="3"/>
        <v>-5.9272025696167448E-5</v>
      </c>
    </row>
    <row r="77" spans="13:15" x14ac:dyDescent="0.2">
      <c r="M77" s="24">
        <v>18.25</v>
      </c>
      <c r="N77" s="24">
        <v>0</v>
      </c>
      <c r="O77" s="24">
        <f t="shared" si="3"/>
        <v>-6.0060376889886817E-5</v>
      </c>
    </row>
    <row r="78" spans="13:15" x14ac:dyDescent="0.2">
      <c r="M78" s="24">
        <v>18.5</v>
      </c>
      <c r="N78" s="24">
        <v>0</v>
      </c>
      <c r="O78" s="24">
        <f t="shared" si="3"/>
        <v>-6.0830370662677437E-5</v>
      </c>
    </row>
    <row r="79" spans="13:15" x14ac:dyDescent="0.2">
      <c r="M79" s="24">
        <v>18.75</v>
      </c>
      <c r="N79" s="24">
        <v>0</v>
      </c>
      <c r="O79" s="24">
        <f t="shared" si="3"/>
        <v>-6.1582532003020516E-5</v>
      </c>
    </row>
    <row r="80" spans="13:15" x14ac:dyDescent="0.2">
      <c r="M80" s="24">
        <v>19</v>
      </c>
      <c r="N80" s="24">
        <v>0</v>
      </c>
      <c r="O80" s="24">
        <f t="shared" si="3"/>
        <v>-6.231737257490812E-5</v>
      </c>
    </row>
    <row r="81" spans="13:15" x14ac:dyDescent="0.2">
      <c r="M81" s="24">
        <v>19.25</v>
      </c>
      <c r="N81" s="24">
        <v>0</v>
      </c>
      <c r="O81" s="24">
        <f t="shared" si="3"/>
        <v>-6.3035390660572355E-5</v>
      </c>
    </row>
    <row r="82" spans="13:15" x14ac:dyDescent="0.2">
      <c r="M82" s="24">
        <v>19.5</v>
      </c>
      <c r="N82" s="24">
        <v>0</v>
      </c>
      <c r="O82" s="24">
        <f t="shared" si="3"/>
        <v>-6.3737071161291137E-5</v>
      </c>
    </row>
    <row r="83" spans="13:15" x14ac:dyDescent="0.2">
      <c r="M83" s="24">
        <v>19.75</v>
      </c>
      <c r="N83" s="24">
        <v>0</v>
      </c>
      <c r="O83" s="24">
        <f t="shared" si="3"/>
        <v>-6.4422885648648427E-5</v>
      </c>
    </row>
    <row r="84" spans="13:15" x14ac:dyDescent="0.2">
      <c r="M84" s="24">
        <v>20</v>
      </c>
      <c r="N84" s="24">
        <v>0</v>
      </c>
      <c r="O84" s="24">
        <f t="shared" si="3"/>
        <v>-6.5093292459423563E-5</v>
      </c>
    </row>
    <row r="85" spans="13:15" x14ac:dyDescent="0.2">
      <c r="M85" s="24">
        <v>20.25</v>
      </c>
      <c r="N85" s="24">
        <v>0</v>
      </c>
      <c r="O85" s="24">
        <f t="shared" si="3"/>
        <v>-6.5748736828005302E-5</v>
      </c>
    </row>
    <row r="86" spans="13:15" x14ac:dyDescent="0.2">
      <c r="M86" s="24">
        <v>20.5</v>
      </c>
      <c r="N86" s="24">
        <v>0</v>
      </c>
      <c r="O86" s="24">
        <f t="shared" si="3"/>
        <v>-6.6389651050875216E-5</v>
      </c>
    </row>
    <row r="87" spans="13:15" x14ac:dyDescent="0.2">
      <c r="M87" s="24">
        <v>20.75</v>
      </c>
      <c r="N87" s="24">
        <v>0</v>
      </c>
      <c r="O87" s="24">
        <f t="shared" si="3"/>
        <v>-6.7016454678293805E-5</v>
      </c>
    </row>
    <row r="88" spans="13:15" x14ac:dyDescent="0.2">
      <c r="M88" s="24">
        <v>21</v>
      </c>
      <c r="N88" s="24">
        <v>0</v>
      </c>
      <c r="O88" s="24">
        <f t="shared" si="3"/>
        <v>-6.7629554728852194E-5</v>
      </c>
    </row>
    <row r="89" spans="13:15" x14ac:dyDescent="0.2">
      <c r="M89" s="24">
        <v>21.25</v>
      </c>
      <c r="N89" s="24">
        <v>0</v>
      </c>
      <c r="O89" s="24">
        <f t="shared" si="3"/>
        <v>-6.8229345923030482E-5</v>
      </c>
    </row>
    <row r="90" spans="13:15" x14ac:dyDescent="0.2">
      <c r="M90" s="24">
        <v>21.5</v>
      </c>
      <c r="N90" s="24">
        <v>0</v>
      </c>
      <c r="O90" s="24">
        <f t="shared" si="3"/>
        <v>-6.8816210932335942E-5</v>
      </c>
    </row>
    <row r="91" spans="13:15" x14ac:dyDescent="0.2">
      <c r="M91" s="24">
        <v>21.75</v>
      </c>
      <c r="N91" s="24">
        <v>0</v>
      </c>
      <c r="O91" s="24">
        <f t="shared" si="3"/>
        <v>-6.9390520640981457E-5</v>
      </c>
    </row>
    <row r="92" spans="13:15" x14ac:dyDescent="0.2">
      <c r="M92" s="24">
        <v>22</v>
      </c>
      <c r="N92" s="24">
        <v>0</v>
      </c>
      <c r="O92" s="24">
        <f t="shared" si="3"/>
        <v>-6.9952634417415747E-5</v>
      </c>
    </row>
    <row r="93" spans="13:15" x14ac:dyDescent="0.2">
      <c r="M93" s="24">
        <v>22.25</v>
      </c>
      <c r="N93" s="24">
        <v>0</v>
      </c>
      <c r="O93" s="24">
        <f t="shared" si="3"/>
        <v>-7.0502900393331003E-5</v>
      </c>
    </row>
    <row r="94" spans="13:15" x14ac:dyDescent="0.2">
      <c r="M94" s="24">
        <v>22.5</v>
      </c>
      <c r="N94" s="24">
        <v>0</v>
      </c>
      <c r="O94" s="24">
        <f t="shared" si="3"/>
        <v>-7.1041655748056942E-5</v>
      </c>
    </row>
    <row r="95" spans="13:15" x14ac:dyDescent="0.2">
      <c r="M95" s="24">
        <v>22.75</v>
      </c>
      <c r="N95" s="24">
        <v>0</v>
      </c>
      <c r="O95" s="24">
        <f t="shared" si="3"/>
        <v>-7.1569226996504932E-5</v>
      </c>
    </row>
    <row r="96" spans="13:15" x14ac:dyDescent="0.2">
      <c r="M96" s="24">
        <v>23</v>
      </c>
      <c r="N96" s="24">
        <v>0</v>
      </c>
      <c r="O96" s="24">
        <f t="shared" si="3"/>
        <v>-7.2085930279053577E-5</v>
      </c>
    </row>
    <row r="97" spans="13:15" x14ac:dyDescent="0.2">
      <c r="M97" s="24">
        <v>23.25</v>
      </c>
      <c r="N97" s="24">
        <v>0</v>
      </c>
      <c r="O97" s="24">
        <f t="shared" si="3"/>
        <v>-7.259207165197282E-5</v>
      </c>
    </row>
    <row r="98" spans="13:15" x14ac:dyDescent="0.2">
      <c r="M98" s="24">
        <v>23.5</v>
      </c>
      <c r="N98" s="24">
        <v>0</v>
      </c>
      <c r="O98" s="24">
        <f t="shared" si="3"/>
        <v>-7.3087947377166787E-5</v>
      </c>
    </row>
    <row r="99" spans="13:15" x14ac:dyDescent="0.2">
      <c r="M99" s="24">
        <v>23.75</v>
      </c>
      <c r="N99" s="24">
        <v>0</v>
      </c>
      <c r="O99" s="24">
        <f t="shared" si="3"/>
        <v>-7.3573844210179771E-5</v>
      </c>
    </row>
    <row r="100" spans="13:15" x14ac:dyDescent="0.2">
      <c r="M100" s="24">
        <v>24</v>
      </c>
      <c r="N100" s="24">
        <v>0</v>
      </c>
      <c r="O100" s="24">
        <f t="shared" ref="O100:O124" si="4">beta_0_scen+beta_1_scen*((1-EXP(-lambda*M100))/(lambda*M100))+beta_2_scen*((1-EXP(-lambda*M100))/(lambda*M100)-EXP(-lambda*M100))</f>
        <v>-7.4050039685557477E-5</v>
      </c>
    </row>
    <row r="101" spans="13:15" x14ac:dyDescent="0.2">
      <c r="M101" s="24">
        <v>24.25</v>
      </c>
      <c r="N101" s="24">
        <v>0</v>
      </c>
      <c r="O101" s="24">
        <f t="shared" si="4"/>
        <v>-7.4516802398785995E-5</v>
      </c>
    </row>
    <row r="102" spans="13:15" x14ac:dyDescent="0.2">
      <c r="M102" s="24">
        <v>24.5</v>
      </c>
      <c r="N102" s="24">
        <v>0</v>
      </c>
      <c r="O102" s="24">
        <f t="shared" si="4"/>
        <v>-7.4974392284148894E-5</v>
      </c>
    </row>
    <row r="103" spans="13:15" x14ac:dyDescent="0.2">
      <c r="M103" s="24">
        <v>24.75</v>
      </c>
      <c r="N103" s="24">
        <v>0</v>
      </c>
      <c r="O103" s="24">
        <f t="shared" si="4"/>
        <v>-7.5423060887946838E-5</v>
      </c>
    </row>
    <row r="104" spans="13:15" x14ac:dyDescent="0.2">
      <c r="M104" s="24">
        <v>25</v>
      </c>
      <c r="N104" s="24">
        <v>0</v>
      </c>
      <c r="O104" s="24">
        <f t="shared" si="4"/>
        <v>-7.5863051636616615E-5</v>
      </c>
    </row>
    <row r="105" spans="13:15" x14ac:dyDescent="0.2">
      <c r="M105" s="24">
        <v>25.25</v>
      </c>
      <c r="N105" s="24">
        <v>0</v>
      </c>
      <c r="O105" s="24">
        <f t="shared" si="4"/>
        <v>-7.6294600099369622E-5</v>
      </c>
    </row>
    <row r="106" spans="13:15" x14ac:dyDescent="0.2">
      <c r="M106" s="24">
        <v>25.5</v>
      </c>
      <c r="N106" s="24">
        <v>0</v>
      </c>
      <c r="O106" s="24">
        <f t="shared" si="4"/>
        <v>-7.6717934245042158E-5</v>
      </c>
    </row>
    <row r="107" spans="13:15" x14ac:dyDescent="0.2">
      <c r="M107" s="24">
        <v>25.75</v>
      </c>
      <c r="N107" s="24">
        <v>0</v>
      </c>
      <c r="O107" s="24">
        <f t="shared" si="4"/>
        <v>-7.7133274692914961E-5</v>
      </c>
    </row>
    <row r="108" spans="13:15" x14ac:dyDescent="0.2">
      <c r="M108" s="24">
        <v>26</v>
      </c>
      <c r="N108" s="24">
        <v>0</v>
      </c>
      <c r="O108" s="24">
        <f t="shared" si="4"/>
        <v>-7.7540834957316103E-5</v>
      </c>
    </row>
    <row r="109" spans="13:15" x14ac:dyDescent="0.2">
      <c r="M109" s="24">
        <v>26.25</v>
      </c>
      <c r="N109" s="24">
        <v>0</v>
      </c>
      <c r="O109" s="24">
        <f t="shared" si="4"/>
        <v>-7.7940821685872097E-5</v>
      </c>
    </row>
    <row r="110" spans="13:15" x14ac:dyDescent="0.2">
      <c r="M110" s="24">
        <v>26.5</v>
      </c>
      <c r="N110" s="24">
        <v>0</v>
      </c>
      <c r="O110" s="24">
        <f t="shared" si="4"/>
        <v>-7.833343489131538E-5</v>
      </c>
    </row>
    <row r="111" spans="13:15" x14ac:dyDescent="0.2">
      <c r="M111" s="24">
        <v>26.75</v>
      </c>
      <c r="N111" s="24">
        <v>0</v>
      </c>
      <c r="O111" s="24">
        <f t="shared" si="4"/>
        <v>-7.8718868176795863E-5</v>
      </c>
    </row>
    <row r="112" spans="13:15" x14ac:dyDescent="0.2">
      <c r="M112" s="24">
        <v>27</v>
      </c>
      <c r="N112" s="24">
        <v>0</v>
      </c>
      <c r="O112" s="24">
        <f t="shared" si="4"/>
        <v>-7.90973089546771E-5</v>
      </c>
    </row>
    <row r="113" spans="13:15" x14ac:dyDescent="0.2">
      <c r="M113" s="24">
        <v>27.25</v>
      </c>
      <c r="N113" s="24">
        <v>0</v>
      </c>
      <c r="O113" s="24">
        <f t="shared" si="4"/>
        <v>-7.9468938658827279E-5</v>
      </c>
    </row>
    <row r="114" spans="13:15" x14ac:dyDescent="0.2">
      <c r="M114" s="24">
        <v>27.5</v>
      </c>
      <c r="N114" s="24">
        <v>0</v>
      </c>
      <c r="O114" s="24">
        <f t="shared" si="4"/>
        <v>-7.9833932950440582E-5</v>
      </c>
    </row>
    <row r="115" spans="13:15" x14ac:dyDescent="0.2">
      <c r="M115" s="24">
        <v>27.75</v>
      </c>
      <c r="N115" s="24">
        <v>0</v>
      </c>
      <c r="O115" s="24">
        <f t="shared" si="4"/>
        <v>-8.0192461917446208E-5</v>
      </c>
    </row>
    <row r="116" spans="13:15" x14ac:dyDescent="0.2">
      <c r="M116" s="24">
        <v>28</v>
      </c>
      <c r="N116" s="24">
        <v>0</v>
      </c>
      <c r="O116" s="24">
        <f t="shared" si="4"/>
        <v>-8.0544690267580623E-5</v>
      </c>
    </row>
    <row r="117" spans="13:15" x14ac:dyDescent="0.2">
      <c r="M117" s="24">
        <v>28.25</v>
      </c>
      <c r="N117" s="24">
        <v>0</v>
      </c>
      <c r="O117" s="24">
        <f t="shared" si="4"/>
        <v>-8.0890777515214992E-5</v>
      </c>
    </row>
    <row r="118" spans="13:15" x14ac:dyDescent="0.2">
      <c r="M118" s="24">
        <v>28.5</v>
      </c>
      <c r="N118" s="24">
        <v>0</v>
      </c>
      <c r="O118" s="24">
        <f t="shared" si="4"/>
        <v>-8.1230878162042764E-5</v>
      </c>
    </row>
    <row r="119" spans="13:15" x14ac:dyDescent="0.2">
      <c r="M119" s="24">
        <v>28.75</v>
      </c>
      <c r="N119" s="24">
        <v>0</v>
      </c>
      <c r="O119" s="24">
        <f t="shared" si="4"/>
        <v>-8.1565141871743245E-5</v>
      </c>
    </row>
    <row r="120" spans="13:15" x14ac:dyDescent="0.2">
      <c r="M120" s="24">
        <v>29</v>
      </c>
      <c r="N120" s="24">
        <v>0</v>
      </c>
      <c r="O120" s="24">
        <f t="shared" si="4"/>
        <v>-8.1893713638746685E-5</v>
      </c>
    </row>
    <row r="121" spans="13:15" x14ac:dyDescent="0.2">
      <c r="M121" s="24">
        <v>29.25</v>
      </c>
      <c r="N121" s="24">
        <v>0</v>
      </c>
      <c r="O121" s="24">
        <f t="shared" si="4"/>
        <v>-8.2216733951233042E-5</v>
      </c>
    </row>
    <row r="122" spans="13:15" x14ac:dyDescent="0.2">
      <c r="M122" s="24">
        <v>29.5</v>
      </c>
      <c r="N122" s="24">
        <v>0</v>
      </c>
      <c r="O122" s="24">
        <f t="shared" si="4"/>
        <v>-8.2534338948503331E-5</v>
      </c>
    </row>
    <row r="123" spans="13:15" x14ac:dyDescent="0.2">
      <c r="M123" s="24">
        <v>29.75</v>
      </c>
      <c r="N123" s="24">
        <v>0</v>
      </c>
      <c r="O123" s="24">
        <f t="shared" si="4"/>
        <v>-8.2846660572865653E-5</v>
      </c>
    </row>
    <row r="124" spans="13:15" x14ac:dyDescent="0.2">
      <c r="M124" s="24">
        <v>30</v>
      </c>
      <c r="N124" s="24">
        <v>0</v>
      </c>
      <c r="O124" s="24">
        <f t="shared" si="4"/>
        <v>-8.3153826716182729E-5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9266AD5-F3DC-4AD9-8E08-5FAD93D47094}">
  <ds:schemaRefs>
    <ds:schemaRef ds:uri="http://schemas.microsoft.com/sharepoint/v3/contenttype/forms"/>
  </ds:schemaRefs>
</ds:datastoreItem>
</file>

<file path=customXml/itemProps2.xml><?xml version="1.0" encoding="utf-8"?>
<ds:datastoreItem xmlns:ds="http://schemas.openxmlformats.org/officeDocument/2006/customXml" ds:itemID="{B1E30E8C-C8B9-4465-94EC-D329AD760C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16C2FC-DC69-4F71-8D38-C23EE67CADFB}">
  <ds:schemaRefs>
    <ds:schemaRef ds:uri="http://schemas.microsoft.com/office/2006/metadata/properties"/>
    <ds:schemaRef ds:uri="http://schemas.openxmlformats.org/package/2006/metadata/core-properties"/>
    <ds:schemaRef ds:uri="http://www.w3.org/XML/1998/namespace"/>
    <ds:schemaRef ds:uri="http://purl.org/dc/dcmitype/"/>
    <ds:schemaRef ds:uri="http://schemas.microsoft.com/office/2006/documentManagement/types"/>
    <ds:schemaRef ds:uri="http://purl.org/dc/elements/1.1/"/>
    <ds:schemaRef ds:uri="http://purl.org/dc/terms/"/>
    <ds:schemaRef ds:uri="http://schemas.microsoft.com/office/infopath/2007/PartnerControls"/>
    <ds:schemaRef ds:uri="6a327845-9b51-4b97-9d66-4acf00a098f1"/>
    <ds:schemaRef ds:uri="909f915b-ce8e-490f-99f5-b5325376a70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DISCLAIMER</vt:lpstr>
      <vt:lpstr>Bond 101</vt:lpstr>
      <vt:lpstr>NS</vt:lpstr>
      <vt:lpstr>Scenarios</vt:lpstr>
      <vt:lpstr>scenarios 2610</vt:lpstr>
      <vt:lpstr>Boiler Room</vt:lpstr>
      <vt:lpstr>beta_0</vt:lpstr>
      <vt:lpstr>beta_0_scen</vt:lpstr>
      <vt:lpstr>beta_1</vt:lpstr>
      <vt:lpstr>beta_1_scen</vt:lpstr>
      <vt:lpstr>beta_2</vt:lpstr>
      <vt:lpstr>beta_2_scen</vt:lpstr>
      <vt:lpstr>coefs</vt:lpstr>
      <vt:lpstr>coefs_scen</vt:lpstr>
      <vt:lpstr>countries</vt:lpstr>
      <vt:lpstr>country_ix</vt:lpstr>
      <vt:lpstr>country_list</vt:lpstr>
      <vt:lpstr>coupon</vt:lpstr>
      <vt:lpstr>current_maturities</vt:lpstr>
      <vt:lpstr>current_rates</vt:lpstr>
      <vt:lpstr>hump_choices</vt:lpstr>
      <vt:lpstr>hump_ix</vt:lpstr>
      <vt:lpstr>hump_mat</vt:lpstr>
      <vt:lpstr>lambda</vt:lpstr>
      <vt:lpstr>lambdas</vt:lpstr>
      <vt:lpstr>maturity</vt:lpstr>
      <vt:lpstr>ns_maturities</vt:lpstr>
      <vt:lpstr>ns_table</vt:lpstr>
      <vt:lpstr>ns_yields</vt:lpstr>
      <vt:lpstr>obs_date</vt:lpstr>
      <vt:lpstr>ss_err_scen</vt:lpstr>
      <vt:lpstr>sumsq_err_ns</vt:lpstr>
      <vt:lpstr>yield_buy</vt:lpstr>
      <vt:lpstr>yield_sell</vt:lpstr>
      <vt:lpstr>yields_used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Roberts Grava</cp:lastModifiedBy>
  <dcterms:created xsi:type="dcterms:W3CDTF">2024-10-13T11:26:12Z</dcterms:created>
  <dcterms:modified xsi:type="dcterms:W3CDTF">2026-10-26T09:56:47Z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