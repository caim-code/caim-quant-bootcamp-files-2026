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CB Workshop 2026\"/>
    </mc:Choice>
  </mc:AlternateContent>
  <xr:revisionPtr revIDLastSave="0" documentId="13_ncr:1_{D09CD1E2-915C-4293-828B-50DD237936EC}" xr6:coauthVersionLast="47" xr6:coauthVersionMax="47" xr10:uidLastSave="{00000000-0000-0000-0000-000000000000}"/>
  <bookViews>
    <workbookView xWindow="-103" yWindow="-103" windowWidth="22149" windowHeight="11829" activeTab="2" xr2:uid="{00000000-000D-0000-FFFF-FFFF00000000}"/>
  </bookViews>
  <sheets>
    <sheet name="sim" sheetId="1" r:id="rId1"/>
    <sheet name="histogram100" sheetId="2" r:id="rId2"/>
    <sheet name="histogram500" sheetId="3" r:id="rId3"/>
  </sheets>
  <functionGroups builtInGroupCount="19"/>
  <definedNames>
    <definedName name="adjchol">sim!$H$13:$J$15</definedName>
    <definedName name="adjcorrs">sim!$H$8:$J$10</definedName>
    <definedName name="assetnames">sim!$C$2:$E$2</definedName>
    <definedName name="chol">sim!$C$13:$E$15</definedName>
    <definedName name="corrs">sim!$C$8:$E$10</definedName>
    <definedName name="rands">sim!$C$28:$E$127</definedName>
    <definedName name="randscorrel">sim!$H$28:$J$127</definedName>
    <definedName name="simreturns">sim!$M$28:$O$127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5" i="2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5" i="3"/>
  <c r="O5" i="3" l="1" a="1"/>
  <c r="O24" i="3" a="1"/>
  <c r="O8" i="3" a="1"/>
  <c r="O7" i="3" a="1"/>
  <c r="O23" i="3" a="1"/>
  <c r="O6" i="3" a="1"/>
  <c r="O15" i="3" a="1"/>
  <c r="O31" i="3" a="1"/>
  <c r="O17" i="3" a="1"/>
  <c r="O33" i="3" a="1"/>
  <c r="O9" i="3" a="1"/>
  <c r="O25" i="3" a="1"/>
  <c r="O16" i="3" a="1"/>
  <c r="O18" i="3" a="1"/>
  <c r="O34" i="3" a="1"/>
  <c r="O10" i="3" a="1"/>
  <c r="O26" i="3" a="1"/>
  <c r="O11" i="3" a="1"/>
  <c r="O27" i="3" a="1"/>
  <c r="O32" i="3" a="1"/>
  <c r="O19" i="3" a="1"/>
  <c r="O35" i="3" a="1"/>
  <c r="O20" i="3" a="1"/>
  <c r="O36" i="3" a="1"/>
  <c r="O12" i="3" a="1"/>
  <c r="O28" i="3" a="1"/>
  <c r="O21" i="3" a="1"/>
  <c r="O37" i="3" a="1"/>
  <c r="O13" i="3" a="1"/>
  <c r="O29" i="3" a="1"/>
  <c r="O22" i="3" a="1"/>
  <c r="O14" i="3" a="1"/>
  <c r="O30" i="3" a="1"/>
  <c r="E6" i="3" a="1"/>
  <c r="E85" i="3" a="1"/>
  <c r="E86" i="3" a="1"/>
  <c r="E14" i="3" a="1"/>
  <c r="E12" i="3" a="1"/>
  <c r="E70" i="3" a="1"/>
  <c r="E54" i="3" a="1"/>
  <c r="E38" i="3" a="1"/>
  <c r="E22" i="3" a="1"/>
  <c r="E61" i="3" a="1"/>
  <c r="E53" i="3" a="1"/>
  <c r="E45" i="3" a="1"/>
  <c r="E37" i="3" a="1"/>
  <c r="E29" i="3" a="1"/>
  <c r="E21" i="3" a="1"/>
  <c r="E13" i="3" a="1"/>
  <c r="E69" i="3" a="1"/>
  <c r="E84" i="3" a="1"/>
  <c r="E68" i="3" a="1"/>
  <c r="E52" i="3" a="1"/>
  <c r="E36" i="3" a="1"/>
  <c r="E20" i="3" a="1"/>
  <c r="E77" i="3" a="1"/>
  <c r="E76" i="3" a="1"/>
  <c r="E60" i="3" a="1"/>
  <c r="E44" i="3" a="1"/>
  <c r="E28" i="3" a="1"/>
  <c r="E75" i="3" a="1"/>
  <c r="E59" i="3" a="1"/>
  <c r="E43" i="3" a="1"/>
  <c r="E27" i="3" a="1"/>
  <c r="E11" i="3" a="1"/>
  <c r="E83" i="3" a="1"/>
  <c r="E67" i="3" a="1"/>
  <c r="E51" i="3" a="1"/>
  <c r="E35" i="3" a="1"/>
  <c r="E19" i="3" a="1"/>
  <c r="E82" i="3" a="1"/>
  <c r="E66" i="3" a="1"/>
  <c r="E50" i="3" a="1"/>
  <c r="E34" i="3" a="1"/>
  <c r="E18" i="3" a="1"/>
  <c r="E74" i="3" a="1"/>
  <c r="E58" i="3" a="1"/>
  <c r="E42" i="3" a="1"/>
  <c r="E26" i="3" a="1"/>
  <c r="E10" i="3" a="1"/>
  <c r="E73" i="3" a="1"/>
  <c r="E57" i="3" a="1"/>
  <c r="E41" i="3" a="1"/>
  <c r="E25" i="3" a="1"/>
  <c r="E9" i="3" a="1"/>
  <c r="E81" i="3" a="1"/>
  <c r="E65" i="3" a="1"/>
  <c r="E49" i="3" a="1"/>
  <c r="E33" i="3" a="1"/>
  <c r="E17" i="3" a="1"/>
  <c r="E5" i="3" a="1"/>
  <c r="E72" i="3" a="1"/>
  <c r="E56" i="3" a="1"/>
  <c r="E40" i="3" a="1"/>
  <c r="E24" i="3" a="1"/>
  <c r="E8" i="3" a="1"/>
  <c r="E80" i="3" a="1"/>
  <c r="E64" i="3" a="1"/>
  <c r="E48" i="3" a="1"/>
  <c r="E32" i="3" a="1"/>
  <c r="E16" i="3" a="1"/>
  <c r="E71" i="3" a="1"/>
  <c r="E55" i="3" a="1"/>
  <c r="E39" i="3" a="1"/>
  <c r="E23" i="3" a="1"/>
  <c r="E7" i="3" a="1"/>
  <c r="E79" i="3" a="1"/>
  <c r="E63" i="3" a="1"/>
  <c r="E47" i="3" a="1"/>
  <c r="E31" i="3" a="1"/>
  <c r="E15" i="3" a="1"/>
  <c r="E78" i="3" a="1"/>
  <c r="E62" i="3" a="1"/>
  <c r="E46" i="3" a="1"/>
  <c r="E30" i="3" a="1"/>
  <c r="M23" i="1" a="1"/>
  <c r="O23" i="1" s="1"/>
  <c r="G8" i="1" a="1"/>
  <c r="G10" i="1" s="1"/>
  <c r="H7" i="1" a="1"/>
  <c r="J7" i="1" s="1"/>
  <c r="L19" i="1" a="1"/>
  <c r="L21" i="1" s="1"/>
  <c r="M18" i="1" a="1"/>
  <c r="O18" i="1" s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D28" i="1"/>
  <c r="E28" i="1"/>
  <c r="C28" i="1"/>
  <c r="B8" i="1" a="1"/>
  <c r="B8" i="1" s="1"/>
  <c r="C7" i="1" a="1"/>
  <c r="C7" i="1" s="1"/>
  <c r="M18" i="1"/>
  <c r="N18" i="1"/>
  <c r="L19" i="1"/>
  <c r="L20" i="1"/>
  <c r="C13" i="1" a="1"/>
  <c r="H8" i="1" a="1"/>
  <c r="D7" i="1" l="1"/>
  <c r="M23" i="1"/>
  <c r="G9" i="1"/>
  <c r="G8" i="1"/>
  <c r="I7" i="1"/>
  <c r="H7" i="1"/>
  <c r="N23" i="1"/>
  <c r="E7" i="1"/>
  <c r="C25" i="1"/>
  <c r="D25" i="1"/>
  <c r="H8" i="1"/>
  <c r="J9" i="1"/>
  <c r="I8" i="1"/>
  <c r="H9" i="1"/>
  <c r="I10" i="1"/>
  <c r="I9" i="1"/>
  <c r="J10" i="1"/>
  <c r="D15" i="1"/>
  <c r="E13" i="1"/>
  <c r="D13" i="1"/>
  <c r="D20" i="1"/>
  <c r="D24" i="1"/>
  <c r="C20" i="1"/>
  <c r="C24" i="1"/>
  <c r="D19" i="1"/>
  <c r="C19" i="1"/>
  <c r="C21" i="1"/>
  <c r="E19" i="1"/>
  <c r="E21" i="1"/>
  <c r="E24" i="1"/>
  <c r="E20" i="1"/>
  <c r="D21" i="1"/>
  <c r="E25" i="1"/>
  <c r="B10" i="1"/>
  <c r="B9" i="1"/>
  <c r="D14" i="1"/>
  <c r="C15" i="1"/>
  <c r="E15" i="1"/>
  <c r="C14" i="1"/>
  <c r="E14" i="1"/>
  <c r="C13" i="1"/>
  <c r="H10" i="1"/>
  <c r="J8" i="1"/>
  <c r="H13" i="1" a="1"/>
  <c r="I13" i="1" l="1"/>
  <c r="J13" i="1"/>
  <c r="J15" i="1"/>
  <c r="H15" i="1"/>
  <c r="I14" i="1"/>
  <c r="J14" i="1"/>
  <c r="H13" i="1"/>
  <c r="H46" i="1" s="1" a="1"/>
  <c r="I15" i="1"/>
  <c r="H14" i="1"/>
  <c r="H99" i="1" a="1"/>
  <c r="H59" i="1" a="1"/>
  <c r="H109" i="1" a="1"/>
  <c r="H56" i="1" l="1" a="1"/>
  <c r="I56" i="1" s="1"/>
  <c r="N56" i="1" s="1"/>
  <c r="H88" i="1" a="1"/>
  <c r="I88" i="1" s="1"/>
  <c r="N88" i="1" s="1"/>
  <c r="H124" i="1" a="1"/>
  <c r="J124" i="1" s="1"/>
  <c r="O124" i="1" s="1"/>
  <c r="H74" i="1" a="1"/>
  <c r="I74" i="1" s="1"/>
  <c r="N74" i="1" s="1"/>
  <c r="H76" i="1" a="1"/>
  <c r="J76" i="1" s="1"/>
  <c r="O76" i="1" s="1"/>
  <c r="H78" i="1" a="1"/>
  <c r="I78" i="1" s="1"/>
  <c r="N78" i="1" s="1"/>
  <c r="H120" i="1" a="1"/>
  <c r="I120" i="1" s="1"/>
  <c r="N120" i="1" s="1"/>
  <c r="H54" i="1" a="1"/>
  <c r="I54" i="1" s="1"/>
  <c r="N54" i="1" s="1"/>
  <c r="H85" i="1" a="1"/>
  <c r="H85" i="1" s="1"/>
  <c r="M85" i="1" s="1"/>
  <c r="H29" i="1" a="1"/>
  <c r="J29" i="1" s="1"/>
  <c r="O29" i="1" s="1"/>
  <c r="H35" i="1" a="1"/>
  <c r="I35" i="1" s="1"/>
  <c r="N35" i="1" s="1"/>
  <c r="H96" i="1" a="1"/>
  <c r="J96" i="1" s="1"/>
  <c r="O96" i="1" s="1"/>
  <c r="H95" i="1" a="1"/>
  <c r="H95" i="1" s="1"/>
  <c r="M95" i="1" s="1"/>
  <c r="H93" i="1" a="1"/>
  <c r="H93" i="1" s="1"/>
  <c r="M93" i="1" s="1"/>
  <c r="H61" i="1" a="1"/>
  <c r="H61" i="1" s="1"/>
  <c r="M61" i="1" s="1"/>
  <c r="H83" i="1" a="1"/>
  <c r="H83" i="1" s="1"/>
  <c r="M83" i="1" s="1"/>
  <c r="H102" i="1" a="1"/>
  <c r="H102" i="1" s="1"/>
  <c r="M102" i="1" s="1"/>
  <c r="H63" i="1" a="1"/>
  <c r="I63" i="1" s="1"/>
  <c r="N63" i="1" s="1"/>
  <c r="H80" i="1" a="1"/>
  <c r="J80" i="1" s="1"/>
  <c r="O80" i="1" s="1"/>
  <c r="H87" i="1" a="1"/>
  <c r="I87" i="1" s="1"/>
  <c r="N87" i="1" s="1"/>
  <c r="H69" i="1" a="1"/>
  <c r="I69" i="1" s="1"/>
  <c r="N69" i="1" s="1"/>
  <c r="H79" i="1" a="1"/>
  <c r="J79" i="1" s="1"/>
  <c r="O79" i="1" s="1"/>
  <c r="H70" i="1" a="1"/>
  <c r="I70" i="1" s="1"/>
  <c r="N70" i="1" s="1"/>
  <c r="H53" i="1" a="1"/>
  <c r="H53" i="1" s="1"/>
  <c r="M53" i="1" s="1"/>
  <c r="H55" i="1" a="1"/>
  <c r="J55" i="1" s="1"/>
  <c r="O55" i="1" s="1"/>
  <c r="H101" i="1" a="1"/>
  <c r="I101" i="1" s="1"/>
  <c r="N101" i="1" s="1"/>
  <c r="H48" i="1" a="1"/>
  <c r="J48" i="1" s="1"/>
  <c r="O48" i="1" s="1"/>
  <c r="H107" i="1" a="1"/>
  <c r="I107" i="1" s="1"/>
  <c r="N107" i="1" s="1"/>
  <c r="H50" i="1" a="1"/>
  <c r="H50" i="1" s="1"/>
  <c r="M50" i="1" s="1"/>
  <c r="H33" i="1" a="1"/>
  <c r="I33" i="1" s="1"/>
  <c r="N33" i="1" s="1"/>
  <c r="H98" i="1" a="1"/>
  <c r="H98" i="1" s="1"/>
  <c r="M98" i="1" s="1"/>
  <c r="H90" i="1" a="1"/>
  <c r="H90" i="1" s="1"/>
  <c r="M90" i="1" s="1"/>
  <c r="H84" i="1" a="1"/>
  <c r="J84" i="1" s="1"/>
  <c r="O84" i="1" s="1"/>
  <c r="H30" i="1" a="1"/>
  <c r="I30" i="1" s="1"/>
  <c r="N30" i="1" s="1"/>
  <c r="H66" i="1" a="1"/>
  <c r="H66" i="1" s="1"/>
  <c r="M66" i="1" s="1"/>
  <c r="H91" i="1" a="1"/>
  <c r="H91" i="1" s="1"/>
  <c r="M91" i="1" s="1"/>
  <c r="H51" i="1" a="1"/>
  <c r="I51" i="1" s="1"/>
  <c r="N51" i="1" s="1"/>
  <c r="H111" i="1" a="1"/>
  <c r="J111" i="1" s="1"/>
  <c r="O111" i="1" s="1"/>
  <c r="H123" i="1" a="1"/>
  <c r="J123" i="1" s="1"/>
  <c r="O123" i="1" s="1"/>
  <c r="H92" i="1" a="1"/>
  <c r="H92" i="1" s="1"/>
  <c r="M92" i="1" s="1"/>
  <c r="H119" i="1" a="1"/>
  <c r="H119" i="1" s="1"/>
  <c r="M119" i="1" s="1"/>
  <c r="H125" i="1" a="1"/>
  <c r="H125" i="1" s="1"/>
  <c r="M125" i="1" s="1"/>
  <c r="H114" i="1" a="1"/>
  <c r="H114" i="1" s="1"/>
  <c r="M114" i="1" s="1"/>
  <c r="H127" i="1" a="1"/>
  <c r="J127" i="1" s="1"/>
  <c r="O127" i="1" s="1"/>
  <c r="H81" i="1" a="1"/>
  <c r="H81" i="1" s="1"/>
  <c r="M81" i="1" s="1"/>
  <c r="H40" i="1" a="1"/>
  <c r="J40" i="1" s="1"/>
  <c r="O40" i="1" s="1"/>
  <c r="H41" i="1" a="1"/>
  <c r="J41" i="1" s="1"/>
  <c r="O41" i="1" s="1"/>
  <c r="H73" i="1" a="1"/>
  <c r="J73" i="1" s="1"/>
  <c r="O73" i="1" s="1"/>
  <c r="H60" i="1" a="1"/>
  <c r="J60" i="1" s="1"/>
  <c r="O60" i="1" s="1"/>
  <c r="H108" i="1" a="1"/>
  <c r="I108" i="1" s="1"/>
  <c r="N108" i="1" s="1"/>
  <c r="H126" i="1" a="1"/>
  <c r="J126" i="1" s="1"/>
  <c r="O126" i="1" s="1"/>
  <c r="H77" i="1" a="1"/>
  <c r="J77" i="1" s="1"/>
  <c r="O77" i="1" s="1"/>
  <c r="H113" i="1" a="1"/>
  <c r="I113" i="1" s="1"/>
  <c r="N113" i="1" s="1"/>
  <c r="H52" i="1" a="1"/>
  <c r="I52" i="1" s="1"/>
  <c r="N52" i="1" s="1"/>
  <c r="H42" i="1" a="1"/>
  <c r="I42" i="1" s="1"/>
  <c r="N42" i="1" s="1"/>
  <c r="H47" i="1" a="1"/>
  <c r="H47" i="1" s="1"/>
  <c r="M47" i="1" s="1"/>
  <c r="H39" i="1" a="1"/>
  <c r="I39" i="1" s="1"/>
  <c r="N39" i="1" s="1"/>
  <c r="H97" i="1" a="1"/>
  <c r="H97" i="1" s="1"/>
  <c r="M97" i="1" s="1"/>
  <c r="H28" i="1" a="1"/>
  <c r="H28" i="1" s="1"/>
  <c r="H121" i="1" a="1"/>
  <c r="H121" i="1" s="1"/>
  <c r="M121" i="1" s="1"/>
  <c r="H62" i="1" a="1"/>
  <c r="I62" i="1" s="1"/>
  <c r="N62" i="1" s="1"/>
  <c r="H117" i="1" a="1"/>
  <c r="H117" i="1" s="1"/>
  <c r="M117" i="1" s="1"/>
  <c r="H86" i="1" a="1"/>
  <c r="J86" i="1" s="1"/>
  <c r="O86" i="1" s="1"/>
  <c r="H116" i="1" a="1"/>
  <c r="J116" i="1" s="1"/>
  <c r="O116" i="1" s="1"/>
  <c r="H94" i="1" a="1"/>
  <c r="J94" i="1" s="1"/>
  <c r="O94" i="1" s="1"/>
  <c r="H75" i="1" a="1"/>
  <c r="J75" i="1" s="1"/>
  <c r="O75" i="1" s="1"/>
  <c r="H122" i="1" a="1"/>
  <c r="H122" i="1" s="1"/>
  <c r="M122" i="1" s="1"/>
  <c r="H64" i="1" a="1"/>
  <c r="I64" i="1" s="1"/>
  <c r="N64" i="1" s="1"/>
  <c r="H118" i="1" a="1"/>
  <c r="H118" i="1" s="1"/>
  <c r="M118" i="1" s="1"/>
  <c r="H45" i="1" a="1"/>
  <c r="I45" i="1" s="1"/>
  <c r="N45" i="1" s="1"/>
  <c r="H34" i="1" a="1"/>
  <c r="I34" i="1" s="1"/>
  <c r="N34" i="1" s="1"/>
  <c r="H105" i="1" a="1"/>
  <c r="I105" i="1" s="1"/>
  <c r="N105" i="1" s="1"/>
  <c r="H68" i="1" a="1"/>
  <c r="J68" i="1" s="1"/>
  <c r="O68" i="1" s="1"/>
  <c r="H31" i="1" a="1"/>
  <c r="I31" i="1" s="1"/>
  <c r="N31" i="1" s="1"/>
  <c r="H115" i="1" a="1"/>
  <c r="H115" i="1" s="1"/>
  <c r="M115" i="1" s="1"/>
  <c r="H44" i="1" a="1"/>
  <c r="H44" i="1" s="1"/>
  <c r="M44" i="1" s="1"/>
  <c r="H49" i="1" a="1"/>
  <c r="J49" i="1" s="1"/>
  <c r="O49" i="1" s="1"/>
  <c r="H43" i="1" a="1"/>
  <c r="H43" i="1" s="1"/>
  <c r="M43" i="1" s="1"/>
  <c r="H36" i="1" a="1"/>
  <c r="J36" i="1" s="1"/>
  <c r="O36" i="1" s="1"/>
  <c r="H65" i="1" a="1"/>
  <c r="J65" i="1" s="1"/>
  <c r="O65" i="1" s="1"/>
  <c r="H32" i="1" a="1"/>
  <c r="J32" i="1" s="1"/>
  <c r="O32" i="1" s="1"/>
  <c r="H67" i="1" a="1"/>
  <c r="H67" i="1" s="1"/>
  <c r="M67" i="1" s="1"/>
  <c r="H106" i="1" a="1"/>
  <c r="J106" i="1" s="1"/>
  <c r="O106" i="1" s="1"/>
  <c r="H89" i="1" a="1"/>
  <c r="H89" i="1" s="1"/>
  <c r="M89" i="1" s="1"/>
  <c r="H57" i="1" a="1"/>
  <c r="J57" i="1" s="1"/>
  <c r="O57" i="1" s="1"/>
  <c r="H112" i="1" a="1"/>
  <c r="J112" i="1" s="1"/>
  <c r="O112" i="1" s="1"/>
  <c r="H58" i="1" a="1"/>
  <c r="I58" i="1" s="1"/>
  <c r="N58" i="1" s="1"/>
  <c r="H71" i="1" a="1"/>
  <c r="J71" i="1" s="1"/>
  <c r="O71" i="1" s="1"/>
  <c r="H100" i="1" a="1"/>
  <c r="I100" i="1" s="1"/>
  <c r="N100" i="1" s="1"/>
  <c r="H103" i="1" a="1"/>
  <c r="J103" i="1" s="1"/>
  <c r="O103" i="1" s="1"/>
  <c r="H110" i="1" a="1"/>
  <c r="H110" i="1" s="1"/>
  <c r="M110" i="1" s="1"/>
  <c r="H38" i="1" a="1"/>
  <c r="H38" i="1" s="1"/>
  <c r="M38" i="1" s="1"/>
  <c r="H37" i="1" a="1"/>
  <c r="J37" i="1" s="1"/>
  <c r="O37" i="1" s="1"/>
  <c r="H104" i="1" a="1"/>
  <c r="J104" i="1" s="1"/>
  <c r="O104" i="1" s="1"/>
  <c r="H82" i="1" a="1"/>
  <c r="J82" i="1" s="1"/>
  <c r="O82" i="1" s="1"/>
  <c r="H72" i="1" a="1"/>
  <c r="J72" i="1" s="1"/>
  <c r="O72" i="1" s="1"/>
  <c r="J46" i="1"/>
  <c r="O46" i="1" s="1"/>
  <c r="I46" i="1"/>
  <c r="N46" i="1" s="1"/>
  <c r="H46" i="1"/>
  <c r="M46" i="1" s="1"/>
  <c r="H59" i="1"/>
  <c r="M59" i="1" s="1"/>
  <c r="J59" i="1"/>
  <c r="O59" i="1" s="1"/>
  <c r="I59" i="1"/>
  <c r="N59" i="1" s="1"/>
  <c r="I99" i="1"/>
  <c r="N99" i="1" s="1"/>
  <c r="H99" i="1"/>
  <c r="M99" i="1" s="1"/>
  <c r="J99" i="1"/>
  <c r="O99" i="1" s="1"/>
  <c r="J109" i="1"/>
  <c r="O109" i="1" s="1"/>
  <c r="H109" i="1"/>
  <c r="M109" i="1" s="1"/>
  <c r="I109" i="1"/>
  <c r="N109" i="1" s="1"/>
  <c r="I124" i="1" l="1"/>
  <c r="N124" i="1" s="1"/>
  <c r="J88" i="1"/>
  <c r="O88" i="1" s="1"/>
  <c r="H124" i="1"/>
  <c r="M124" i="1" s="1"/>
  <c r="H88" i="1"/>
  <c r="M88" i="1" s="1"/>
  <c r="H56" i="1"/>
  <c r="M56" i="1" s="1"/>
  <c r="J56" i="1"/>
  <c r="O56" i="1" s="1"/>
  <c r="J69" i="1"/>
  <c r="O69" i="1" s="1"/>
  <c r="H76" i="1"/>
  <c r="M76" i="1" s="1"/>
  <c r="J113" i="1"/>
  <c r="O113" i="1" s="1"/>
  <c r="J81" i="1"/>
  <c r="O81" i="1" s="1"/>
  <c r="J91" i="1"/>
  <c r="O91" i="1" s="1"/>
  <c r="J90" i="1"/>
  <c r="O90" i="1" s="1"/>
  <c r="I90" i="1"/>
  <c r="N90" i="1" s="1"/>
  <c r="I91" i="1"/>
  <c r="N91" i="1" s="1"/>
  <c r="I81" i="1"/>
  <c r="N81" i="1" s="1"/>
  <c r="I95" i="1"/>
  <c r="N95" i="1" s="1"/>
  <c r="H40" i="1"/>
  <c r="M40" i="1" s="1"/>
  <c r="I49" i="1"/>
  <c r="N49" i="1" s="1"/>
  <c r="I40" i="1"/>
  <c r="N40" i="1" s="1"/>
  <c r="H49" i="1"/>
  <c r="M49" i="1" s="1"/>
  <c r="J87" i="1"/>
  <c r="O87" i="1" s="1"/>
  <c r="J107" i="1"/>
  <c r="O107" i="1" s="1"/>
  <c r="I127" i="1"/>
  <c r="N127" i="1" s="1"/>
  <c r="J117" i="1"/>
  <c r="O117" i="1" s="1"/>
  <c r="J54" i="1"/>
  <c r="O54" i="1" s="1"/>
  <c r="J85" i="1"/>
  <c r="O85" i="1" s="1"/>
  <c r="I85" i="1"/>
  <c r="N85" i="1" s="1"/>
  <c r="J53" i="1"/>
  <c r="O53" i="1" s="1"/>
  <c r="H108" i="1"/>
  <c r="M108" i="1" s="1"/>
  <c r="I53" i="1"/>
  <c r="N53" i="1" s="1"/>
  <c r="J108" i="1"/>
  <c r="O108" i="1" s="1"/>
  <c r="H87" i="1"/>
  <c r="M87" i="1" s="1"/>
  <c r="H55" i="1"/>
  <c r="M55" i="1" s="1"/>
  <c r="H101" i="1"/>
  <c r="M101" i="1" s="1"/>
  <c r="J74" i="1"/>
  <c r="O74" i="1" s="1"/>
  <c r="J47" i="1"/>
  <c r="O47" i="1" s="1"/>
  <c r="H96" i="1"/>
  <c r="M96" i="1" s="1"/>
  <c r="I115" i="1"/>
  <c r="N115" i="1" s="1"/>
  <c r="J50" i="1"/>
  <c r="O50" i="1" s="1"/>
  <c r="J93" i="1"/>
  <c r="O93" i="1" s="1"/>
  <c r="J101" i="1"/>
  <c r="O101" i="1" s="1"/>
  <c r="H74" i="1"/>
  <c r="M74" i="1" s="1"/>
  <c r="I47" i="1"/>
  <c r="N47" i="1" s="1"/>
  <c r="H126" i="1"/>
  <c r="M126" i="1" s="1"/>
  <c r="H107" i="1"/>
  <c r="M107" i="1" s="1"/>
  <c r="H48" i="1"/>
  <c r="M48" i="1" s="1"/>
  <c r="I96" i="1"/>
  <c r="N96" i="1" s="1"/>
  <c r="H127" i="1"/>
  <c r="M127" i="1" s="1"/>
  <c r="I48" i="1"/>
  <c r="N48" i="1" s="1"/>
  <c r="J95" i="1"/>
  <c r="O95" i="1" s="1"/>
  <c r="J58" i="1"/>
  <c r="O58" i="1" s="1"/>
  <c r="J115" i="1"/>
  <c r="O115" i="1" s="1"/>
  <c r="I80" i="1"/>
  <c r="N80" i="1" s="1"/>
  <c r="J98" i="1"/>
  <c r="O98" i="1" s="1"/>
  <c r="I98" i="1"/>
  <c r="N98" i="1" s="1"/>
  <c r="J102" i="1"/>
  <c r="O102" i="1" s="1"/>
  <c r="H86" i="1"/>
  <c r="M86" i="1" s="1"/>
  <c r="J114" i="1"/>
  <c r="O114" i="1" s="1"/>
  <c r="I29" i="1"/>
  <c r="N29" i="1" s="1"/>
  <c r="H69" i="1"/>
  <c r="M69" i="1" s="1"/>
  <c r="I79" i="1"/>
  <c r="N79" i="1" s="1"/>
  <c r="J35" i="1"/>
  <c r="O35" i="1" s="1"/>
  <c r="H29" i="1"/>
  <c r="M29" i="1" s="1"/>
  <c r="H35" i="1"/>
  <c r="M35" i="1" s="1"/>
  <c r="I114" i="1"/>
  <c r="N114" i="1" s="1"/>
  <c r="H79" i="1"/>
  <c r="M79" i="1" s="1"/>
  <c r="I76" i="1"/>
  <c r="N76" i="1" s="1"/>
  <c r="I121" i="1"/>
  <c r="N121" i="1" s="1"/>
  <c r="I111" i="1"/>
  <c r="N111" i="1" s="1"/>
  <c r="I125" i="1"/>
  <c r="N125" i="1" s="1"/>
  <c r="J121" i="1"/>
  <c r="O121" i="1" s="1"/>
  <c r="H78" i="1"/>
  <c r="M78" i="1" s="1"/>
  <c r="J43" i="1"/>
  <c r="O43" i="1" s="1"/>
  <c r="H77" i="1"/>
  <c r="M77" i="1" s="1"/>
  <c r="I126" i="1"/>
  <c r="N126" i="1" s="1"/>
  <c r="J34" i="1"/>
  <c r="O34" i="1" s="1"/>
  <c r="J92" i="1"/>
  <c r="O92" i="1" s="1"/>
  <c r="H54" i="1"/>
  <c r="M54" i="1" s="1"/>
  <c r="I55" i="1"/>
  <c r="N55" i="1" s="1"/>
  <c r="H123" i="1"/>
  <c r="M123" i="1" s="1"/>
  <c r="H34" i="1"/>
  <c r="M34" i="1" s="1"/>
  <c r="I92" i="1"/>
  <c r="N92" i="1" s="1"/>
  <c r="I103" i="1"/>
  <c r="N103" i="1" s="1"/>
  <c r="J78" i="1"/>
  <c r="O78" i="1" s="1"/>
  <c r="I119" i="1"/>
  <c r="N119" i="1" s="1"/>
  <c r="I123" i="1"/>
  <c r="N123" i="1" s="1"/>
  <c r="H30" i="1"/>
  <c r="M30" i="1" s="1"/>
  <c r="H103" i="1"/>
  <c r="M103" i="1" s="1"/>
  <c r="J119" i="1"/>
  <c r="O119" i="1" s="1"/>
  <c r="J120" i="1"/>
  <c r="O120" i="1" s="1"/>
  <c r="H120" i="1"/>
  <c r="M120" i="1" s="1"/>
  <c r="J70" i="1"/>
  <c r="O70" i="1" s="1"/>
  <c r="H51" i="1"/>
  <c r="M51" i="1" s="1"/>
  <c r="I44" i="1"/>
  <c r="N44" i="1" s="1"/>
  <c r="H113" i="1"/>
  <c r="M113" i="1" s="1"/>
  <c r="H70" i="1"/>
  <c r="M70" i="1" s="1"/>
  <c r="J51" i="1"/>
  <c r="O51" i="1" s="1"/>
  <c r="J105" i="1"/>
  <c r="O105" i="1" s="1"/>
  <c r="H111" i="1"/>
  <c r="M111" i="1" s="1"/>
  <c r="H52" i="1"/>
  <c r="M52" i="1" s="1"/>
  <c r="H105" i="1"/>
  <c r="M105" i="1" s="1"/>
  <c r="J125" i="1"/>
  <c r="O125" i="1" s="1"/>
  <c r="I117" i="1"/>
  <c r="N117" i="1" s="1"/>
  <c r="I77" i="1"/>
  <c r="N77" i="1" s="1"/>
  <c r="I110" i="1"/>
  <c r="N110" i="1" s="1"/>
  <c r="J66" i="1"/>
  <c r="O66" i="1" s="1"/>
  <c r="H63" i="1"/>
  <c r="M63" i="1" s="1"/>
  <c r="I50" i="1"/>
  <c r="N50" i="1" s="1"/>
  <c r="I93" i="1"/>
  <c r="N93" i="1" s="1"/>
  <c r="I61" i="1"/>
  <c r="N61" i="1" s="1"/>
  <c r="H68" i="1"/>
  <c r="M68" i="1" s="1"/>
  <c r="H41" i="1"/>
  <c r="M41" i="1" s="1"/>
  <c r="I83" i="1"/>
  <c r="N83" i="1" s="1"/>
  <c r="H33" i="1"/>
  <c r="M33" i="1" s="1"/>
  <c r="J31" i="1"/>
  <c r="O31" i="1" s="1"/>
  <c r="I86" i="1"/>
  <c r="N86" i="1" s="1"/>
  <c r="I82" i="1"/>
  <c r="N82" i="1" s="1"/>
  <c r="I68" i="1"/>
  <c r="N68" i="1" s="1"/>
  <c r="J83" i="1"/>
  <c r="O83" i="1" s="1"/>
  <c r="J33" i="1"/>
  <c r="O33" i="1" s="1"/>
  <c r="J39" i="1"/>
  <c r="O39" i="1" s="1"/>
  <c r="J63" i="1"/>
  <c r="O63" i="1" s="1"/>
  <c r="H82" i="1"/>
  <c r="M82" i="1" s="1"/>
  <c r="I66" i="1"/>
  <c r="N66" i="1" s="1"/>
  <c r="I102" i="1"/>
  <c r="N102" i="1" s="1"/>
  <c r="I116" i="1"/>
  <c r="N116" i="1" s="1"/>
  <c r="J61" i="1"/>
  <c r="O61" i="1" s="1"/>
  <c r="I65" i="1"/>
  <c r="N65" i="1" s="1"/>
  <c r="I84" i="1"/>
  <c r="N84" i="1" s="1"/>
  <c r="H75" i="1"/>
  <c r="M75" i="1" s="1"/>
  <c r="H116" i="1"/>
  <c r="M116" i="1" s="1"/>
  <c r="J30" i="1"/>
  <c r="O30" i="1" s="1"/>
  <c r="I41" i="1"/>
  <c r="N41" i="1" s="1"/>
  <c r="H31" i="1"/>
  <c r="M31" i="1" s="1"/>
  <c r="J44" i="1"/>
  <c r="O44" i="1" s="1"/>
  <c r="H65" i="1"/>
  <c r="M65" i="1" s="1"/>
  <c r="H80" i="1"/>
  <c r="M80" i="1" s="1"/>
  <c r="H84" i="1"/>
  <c r="M84" i="1" s="1"/>
  <c r="I75" i="1"/>
  <c r="N75" i="1" s="1"/>
  <c r="H73" i="1"/>
  <c r="M73" i="1" s="1"/>
  <c r="H94" i="1"/>
  <c r="M94" i="1" s="1"/>
  <c r="I73" i="1"/>
  <c r="N73" i="1" s="1"/>
  <c r="I94" i="1"/>
  <c r="N94" i="1" s="1"/>
  <c r="J38" i="1"/>
  <c r="O38" i="1" s="1"/>
  <c r="J122" i="1"/>
  <c r="O122" i="1" s="1"/>
  <c r="I122" i="1"/>
  <c r="N122" i="1" s="1"/>
  <c r="H39" i="1"/>
  <c r="M39" i="1" s="1"/>
  <c r="H64" i="1"/>
  <c r="M64" i="1" s="1"/>
  <c r="J64" i="1"/>
  <c r="O64" i="1" s="1"/>
  <c r="I118" i="1"/>
  <c r="N118" i="1" s="1"/>
  <c r="J52" i="1"/>
  <c r="O52" i="1" s="1"/>
  <c r="I28" i="1"/>
  <c r="N28" i="1" s="1"/>
  <c r="J28" i="1"/>
  <c r="O28" i="1" s="1"/>
  <c r="H32" i="1"/>
  <c r="M32" i="1" s="1"/>
  <c r="J118" i="1"/>
  <c r="O118" i="1" s="1"/>
  <c r="I43" i="1"/>
  <c r="N43" i="1" s="1"/>
  <c r="I32" i="1"/>
  <c r="N32" i="1" s="1"/>
  <c r="H45" i="1"/>
  <c r="M45" i="1" s="1"/>
  <c r="I97" i="1"/>
  <c r="N97" i="1" s="1"/>
  <c r="I89" i="1"/>
  <c r="N89" i="1" s="1"/>
  <c r="J45" i="1"/>
  <c r="O45" i="1" s="1"/>
  <c r="J97" i="1"/>
  <c r="O97" i="1" s="1"/>
  <c r="J89" i="1"/>
  <c r="O89" i="1" s="1"/>
  <c r="H36" i="1"/>
  <c r="M36" i="1" s="1"/>
  <c r="H62" i="1"/>
  <c r="M62" i="1" s="1"/>
  <c r="H42" i="1"/>
  <c r="M42" i="1" s="1"/>
  <c r="I60" i="1"/>
  <c r="N60" i="1" s="1"/>
  <c r="H60" i="1"/>
  <c r="M60" i="1" s="1"/>
  <c r="I106" i="1"/>
  <c r="N106" i="1" s="1"/>
  <c r="I36" i="1"/>
  <c r="N36" i="1" s="1"/>
  <c r="J62" i="1"/>
  <c r="O62" i="1" s="1"/>
  <c r="J42" i="1"/>
  <c r="O42" i="1" s="1"/>
  <c r="H106" i="1"/>
  <c r="M106" i="1" s="1"/>
  <c r="I38" i="1"/>
  <c r="N38" i="1" s="1"/>
  <c r="I67" i="1"/>
  <c r="N67" i="1" s="1"/>
  <c r="I72" i="1"/>
  <c r="N72" i="1" s="1"/>
  <c r="H58" i="1"/>
  <c r="M58" i="1" s="1"/>
  <c r="J67" i="1"/>
  <c r="O67" i="1" s="1"/>
  <c r="J110" i="1"/>
  <c r="O110" i="1" s="1"/>
  <c r="J100" i="1"/>
  <c r="O100" i="1" s="1"/>
  <c r="H100" i="1"/>
  <c r="M100" i="1" s="1"/>
  <c r="I37" i="1"/>
  <c r="N37" i="1" s="1"/>
  <c r="H37" i="1"/>
  <c r="M37" i="1" s="1"/>
  <c r="H71" i="1"/>
  <c r="M71" i="1" s="1"/>
  <c r="I71" i="1"/>
  <c r="N71" i="1" s="1"/>
  <c r="H57" i="1"/>
  <c r="M57" i="1" s="1"/>
  <c r="I57" i="1"/>
  <c r="N57" i="1" s="1"/>
  <c r="H104" i="1"/>
  <c r="M104" i="1" s="1"/>
  <c r="I104" i="1"/>
  <c r="N104" i="1" s="1"/>
  <c r="I112" i="1"/>
  <c r="N112" i="1" s="1"/>
  <c r="H112" i="1"/>
  <c r="M112" i="1" s="1"/>
  <c r="H72" i="1"/>
  <c r="M72" i="1" s="1"/>
  <c r="M28" i="1"/>
  <c r="I24" i="1" l="1"/>
  <c r="H21" i="1"/>
  <c r="I19" i="1"/>
  <c r="J20" i="1"/>
  <c r="H19" i="1"/>
  <c r="J25" i="1"/>
  <c r="H24" i="1"/>
  <c r="J21" i="1"/>
  <c r="J24" i="1"/>
  <c r="H20" i="1"/>
  <c r="H25" i="1"/>
  <c r="I21" i="1"/>
  <c r="J19" i="1"/>
  <c r="I25" i="1"/>
  <c r="I20" i="1"/>
  <c r="M21" i="1"/>
  <c r="M19" i="1"/>
  <c r="M25" i="1"/>
  <c r="M24" i="1"/>
  <c r="M20" i="1"/>
  <c r="O25" i="1"/>
  <c r="O21" i="1"/>
  <c r="O19" i="1"/>
  <c r="O20" i="1"/>
  <c r="O24" i="1"/>
  <c r="N24" i="1"/>
  <c r="N19" i="1"/>
  <c r="N25" i="1"/>
  <c r="N20" i="1"/>
  <c r="N21" i="1"/>
  <c r="E35" i="2" l="1" a="1"/>
  <c r="E38" i="2" a="1"/>
  <c r="E13" i="2" a="1"/>
  <c r="E14" i="2" a="1"/>
  <c r="E86" i="2" a="1"/>
  <c r="E78" i="2" a="1"/>
  <c r="E70" i="2" a="1"/>
  <c r="E62" i="2" a="1"/>
  <c r="E54" i="2" a="1"/>
  <c r="E46" i="2" a="1"/>
  <c r="E29" i="2" a="1"/>
  <c r="E21" i="2" a="1"/>
  <c r="E5" i="2" a="1"/>
  <c r="E30" i="2" a="1"/>
  <c r="E85" i="2" a="1"/>
  <c r="E77" i="2" a="1"/>
  <c r="E69" i="2" a="1"/>
  <c r="E61" i="2" a="1"/>
  <c r="E53" i="2" a="1"/>
  <c r="E45" i="2" a="1"/>
  <c r="E37" i="2" a="1"/>
  <c r="E28" i="2" a="1"/>
  <c r="E20" i="2" a="1"/>
  <c r="E12" i="2" a="1"/>
  <c r="E27" i="2" a="1"/>
  <c r="E31" i="2" a="1"/>
  <c r="E6" i="2" a="1"/>
  <c r="E84" i="2" a="1"/>
  <c r="E76" i="2" a="1"/>
  <c r="E68" i="2" a="1"/>
  <c r="E60" i="2" a="1"/>
  <c r="E52" i="2" a="1"/>
  <c r="E44" i="2" a="1"/>
  <c r="E36" i="2" a="1"/>
  <c r="E19" i="2" a="1"/>
  <c r="E11" i="2" a="1"/>
  <c r="E48" i="2" a="1"/>
  <c r="E39" i="2" a="1"/>
  <c r="E26" i="2" a="1"/>
  <c r="E64" i="2" a="1"/>
  <c r="E71" i="2" a="1"/>
  <c r="E83" i="2" a="1"/>
  <c r="E75" i="2" a="1"/>
  <c r="E67" i="2" a="1"/>
  <c r="E59" i="2" a="1"/>
  <c r="E51" i="2" a="1"/>
  <c r="E43" i="2" a="1"/>
  <c r="E34" i="2" a="1"/>
  <c r="E18" i="2" a="1"/>
  <c r="E10" i="2" a="1"/>
  <c r="E23" i="2" a="1"/>
  <c r="E22" i="2" a="1"/>
  <c r="E25" i="2" a="1"/>
  <c r="E56" i="2" a="1"/>
  <c r="E82" i="2" a="1"/>
  <c r="E74" i="2" a="1"/>
  <c r="E66" i="2" a="1"/>
  <c r="E58" i="2" a="1"/>
  <c r="E50" i="2" a="1"/>
  <c r="E42" i="2" a="1"/>
  <c r="E33" i="2" a="1"/>
  <c r="E17" i="2" a="1"/>
  <c r="E9" i="2" a="1"/>
  <c r="E40" i="2" a="1"/>
  <c r="E7" i="2" a="1"/>
  <c r="E47" i="2" a="1"/>
  <c r="E41" i="2" a="1"/>
  <c r="E16" i="2" a="1"/>
  <c r="E72" i="2" a="1"/>
  <c r="E15" i="2" a="1"/>
  <c r="E55" i="2" a="1"/>
  <c r="E81" i="2" a="1"/>
  <c r="E73" i="2" a="1"/>
  <c r="E65" i="2" a="1"/>
  <c r="E57" i="2" a="1"/>
  <c r="E49" i="2" a="1"/>
  <c r="E32" i="2" a="1"/>
  <c r="E24" i="2" a="1"/>
  <c r="E8" i="2" a="1"/>
  <c r="E80" i="2" a="1"/>
  <c r="E63" i="2" a="1"/>
  <c r="E79" i="2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<sst xmlns="http://schemas.openxmlformats.org/spreadsheetml/2006/main" count="24" uniqueCount="17">
  <si>
    <t>Asset</t>
  </si>
  <si>
    <t>Cash</t>
  </si>
  <si>
    <t>Bonds</t>
  </si>
  <si>
    <t>Stocks</t>
  </si>
  <si>
    <t>Mean</t>
  </si>
  <si>
    <t>StDev</t>
  </si>
  <si>
    <t>Target Correlation Matrix</t>
  </si>
  <si>
    <t>Cholesky Decomposition</t>
  </si>
  <si>
    <t>Independent Normal Random Numbers</t>
  </si>
  <si>
    <t>Simulated Asset Returns</t>
  </si>
  <si>
    <t>Simulated Correlation Matrix</t>
  </si>
  <si>
    <t>Adjusted Correlation Matrix</t>
  </si>
  <si>
    <t>Adjusted Cholesky Decomposition</t>
  </si>
  <si>
    <t>Correlated Normal Random Numbers</t>
  </si>
  <si>
    <t>Correlation of Independent Randoms</t>
  </si>
  <si>
    <t>Correlation of Correlated Randoms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</si>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</sst>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"/>
  </numFmts>
  <fonts count="9"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2"/>
      <name val="Source Sans CAIM"/>
    </font>
    <font>
      <sz val="11"/>
      <color theme="1"/>
      <name val="Source Sans CAIM"/>
    </font>
    <font>
      <i/>
      <sz val="9"/>
      <color theme="0" tint="-0.499984740745262"/>
      <name val="Source Sans CAIM"/>
    </font>
    <font>
      <sz val="9"/>
      <color theme="3"/>
      <name val="Source Sans CAIM"/>
    </font>
    <font>
      <sz val="11"/>
      <color theme="0" tint="-0.499984740745262"/>
      <name val="Source Sans CAIM"/>
    </font>
    <font>
      <sz val="11"/>
      <color theme="0"/>
      <name val="Source Sans CAIM"/>
    </font>
    <font>
      <i/>
      <sz val="11"/>
      <color theme="1"/>
      <name val="Source Sans CAIM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CE9E7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9" fontId="3" fillId="3" borderId="0" xfId="0" applyNumberFormat="1" applyFont="1" applyFill="1" applyAlignment="1">
      <alignment horizontal="center"/>
    </xf>
    <xf numFmtId="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165" fontId="3" fillId="3" borderId="0" xfId="0" applyNumberFormat="1" applyFont="1" applyFill="1" applyAlignment="1">
      <alignment horizontal="center"/>
    </xf>
    <xf numFmtId="165" fontId="3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164" fontId="3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166" fontId="3" fillId="3" borderId="0" xfId="0" applyNumberFormat="1" applyFont="1" applyFill="1" applyAlignment="1">
      <alignment horizontal="center"/>
    </xf>
    <xf numFmtId="166" fontId="3" fillId="0" borderId="0" xfId="0" applyNumberFormat="1" applyFont="1" applyAlignment="1">
      <alignment horizontal="center"/>
    </xf>
    <xf numFmtId="10" fontId="3" fillId="3" borderId="0" xfId="1" applyNumberFormat="1" applyFont="1" applyFill="1" applyAlignment="1">
      <alignment horizontal="center"/>
    </xf>
    <xf numFmtId="2" fontId="3" fillId="3" borderId="0" xfId="0" applyNumberFormat="1" applyFont="1" applyFill="1" applyAlignment="1">
      <alignment horizontal="center"/>
    </xf>
    <xf numFmtId="2" fontId="3" fillId="0" borderId="0" xfId="0" applyNumberFormat="1" applyFont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" fontId="7" fillId="0" borderId="0" xfId="0" applyNumberFormat="1" applyFont="1" applyAlignment="1">
      <alignment horizontal="center"/>
    </xf>
    <xf numFmtId="0" fontId="3" fillId="0" borderId="0" xfId="0" applyFont="1"/>
    <xf numFmtId="2" fontId="3" fillId="0" borderId="0" xfId="0" applyNumberFormat="1" applyFont="1"/>
    <xf numFmtId="165" fontId="3" fillId="4" borderId="0" xfId="0" applyNumberFormat="1" applyFont="1" applyFill="1" applyAlignment="1">
      <alignment horizontal="center"/>
    </xf>
    <xf numFmtId="0" fontId="8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histogram100!$D$5:$D$85</c:f>
              <c:numCache>
                <c:formatCode>General</c:formatCode>
                <c:ptCount val="8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-2.7</c:v>
                </c:pt>
                <c:pt idx="4">
                  <c:v>-2.6</c:v>
                </c:pt>
                <c:pt idx="5">
                  <c:v>-2.5</c:v>
                </c:pt>
                <c:pt idx="6">
                  <c:v>-2.4</c:v>
                </c:pt>
                <c:pt idx="7">
                  <c:v>-2.2999999999999998</c:v>
                </c:pt>
                <c:pt idx="8">
                  <c:v>-2.2000000000000002</c:v>
                </c:pt>
                <c:pt idx="9">
                  <c:v>-2.1</c:v>
                </c:pt>
                <c:pt idx="10">
                  <c:v>-2</c:v>
                </c:pt>
                <c:pt idx="11">
                  <c:v>-1.9</c:v>
                </c:pt>
                <c:pt idx="12">
                  <c:v>-1.8</c:v>
                </c:pt>
                <c:pt idx="13">
                  <c:v>-1.7</c:v>
                </c:pt>
                <c:pt idx="14">
                  <c:v>-1.6</c:v>
                </c:pt>
                <c:pt idx="15">
                  <c:v>-1.5</c:v>
                </c:pt>
                <c:pt idx="16">
                  <c:v>-1.4</c:v>
                </c:pt>
                <c:pt idx="17">
                  <c:v>-1.3</c:v>
                </c:pt>
                <c:pt idx="18">
                  <c:v>-1.2</c:v>
                </c:pt>
                <c:pt idx="19">
                  <c:v>-1.1000000000000001</c:v>
                </c:pt>
                <c:pt idx="20">
                  <c:v>-1</c:v>
                </c:pt>
                <c:pt idx="21">
                  <c:v>-0.9</c:v>
                </c:pt>
                <c:pt idx="22">
                  <c:v>-0.8</c:v>
                </c:pt>
                <c:pt idx="23">
                  <c:v>-0.7</c:v>
                </c:pt>
                <c:pt idx="24">
                  <c:v>-0.6</c:v>
                </c:pt>
                <c:pt idx="25">
                  <c:v>-0.5</c:v>
                </c:pt>
                <c:pt idx="26">
                  <c:v>-0.4</c:v>
                </c:pt>
                <c:pt idx="27">
                  <c:v>-0.3</c:v>
                </c:pt>
                <c:pt idx="28">
                  <c:v>-0.2</c:v>
                </c:pt>
                <c:pt idx="29">
                  <c:v>-0.1</c:v>
                </c:pt>
                <c:pt idx="30">
                  <c:v>0</c:v>
                </c:pt>
                <c:pt idx="31">
                  <c:v>0.1</c:v>
                </c:pt>
                <c:pt idx="32">
                  <c:v>0.2</c:v>
                </c:pt>
                <c:pt idx="33">
                  <c:v>0.3</c:v>
                </c:pt>
                <c:pt idx="34">
                  <c:v>0.4</c:v>
                </c:pt>
                <c:pt idx="35">
                  <c:v>0.5</c:v>
                </c:pt>
                <c:pt idx="36">
                  <c:v>0.6</c:v>
                </c:pt>
                <c:pt idx="37">
                  <c:v>0.7</c:v>
                </c:pt>
                <c:pt idx="38">
                  <c:v>0.8</c:v>
                </c:pt>
                <c:pt idx="39">
                  <c:v>0.9</c:v>
                </c:pt>
                <c:pt idx="40">
                  <c:v>1</c:v>
                </c:pt>
                <c:pt idx="41">
                  <c:v>1.1000000000000001</c:v>
                </c:pt>
                <c:pt idx="42">
                  <c:v>1.2</c:v>
                </c:pt>
                <c:pt idx="43">
                  <c:v>1.3</c:v>
                </c:pt>
                <c:pt idx="44">
                  <c:v>1.4</c:v>
                </c:pt>
                <c:pt idx="45">
                  <c:v>1.5</c:v>
                </c:pt>
                <c:pt idx="46">
                  <c:v>1.6</c:v>
                </c:pt>
                <c:pt idx="47">
                  <c:v>1.7</c:v>
                </c:pt>
                <c:pt idx="48">
                  <c:v>1.8</c:v>
                </c:pt>
                <c:pt idx="49">
                  <c:v>1.9</c:v>
                </c:pt>
                <c:pt idx="50">
                  <c:v>2</c:v>
                </c:pt>
                <c:pt idx="51">
                  <c:v>2.1</c:v>
                </c:pt>
                <c:pt idx="52">
                  <c:v>2.2000000000000002</c:v>
                </c:pt>
                <c:pt idx="53">
                  <c:v>2.2999999999999998</c:v>
                </c:pt>
                <c:pt idx="54">
                  <c:v>2.4</c:v>
                </c:pt>
                <c:pt idx="55">
                  <c:v>2.5000000000000102</c:v>
                </c:pt>
                <c:pt idx="56">
                  <c:v>2.6</c:v>
                </c:pt>
                <c:pt idx="57">
                  <c:v>2.7</c:v>
                </c:pt>
                <c:pt idx="58">
                  <c:v>2.80000000000001</c:v>
                </c:pt>
                <c:pt idx="59">
                  <c:v>2.9000000000000101</c:v>
                </c:pt>
                <c:pt idx="60">
                  <c:v>3.0000000000000102</c:v>
                </c:pt>
                <c:pt idx="61">
                  <c:v>3.1</c:v>
                </c:pt>
                <c:pt idx="62">
                  <c:v>3.2000000000000099</c:v>
                </c:pt>
                <c:pt idx="63">
                  <c:v>3.30000000000001</c:v>
                </c:pt>
                <c:pt idx="64">
                  <c:v>3.4000000000000101</c:v>
                </c:pt>
                <c:pt idx="65">
                  <c:v>3.5000000000000102</c:v>
                </c:pt>
                <c:pt idx="66">
                  <c:v>3.6000000000000099</c:v>
                </c:pt>
                <c:pt idx="67">
                  <c:v>3.7000000000000099</c:v>
                </c:pt>
                <c:pt idx="68">
                  <c:v>3.80000000000001</c:v>
                </c:pt>
                <c:pt idx="69">
                  <c:v>3.9000000000000101</c:v>
                </c:pt>
                <c:pt idx="70">
                  <c:v>4.0000000000000098</c:v>
                </c:pt>
                <c:pt idx="71">
                  <c:v>4.1000000000000103</c:v>
                </c:pt>
                <c:pt idx="72">
                  <c:v>4.2000000000000099</c:v>
                </c:pt>
                <c:pt idx="73">
                  <c:v>4.3000000000000096</c:v>
                </c:pt>
                <c:pt idx="74">
                  <c:v>4.4000000000000101</c:v>
                </c:pt>
                <c:pt idx="75">
                  <c:v>4.5000000000000098</c:v>
                </c:pt>
                <c:pt idx="76">
                  <c:v>4.6000000000000103</c:v>
                </c:pt>
                <c:pt idx="77">
                  <c:v>4.7000000000000099</c:v>
                </c:pt>
                <c:pt idx="78">
                  <c:v>4.8000000000000096</c:v>
                </c:pt>
                <c:pt idx="79">
                  <c:v>4.9000000000000101</c:v>
                </c:pt>
                <c:pt idx="80">
                  <c:v>5.0000000000000098</c:v>
                </c:pt>
              </c:numCache>
            </c:numRef>
          </c:cat>
          <c:val>
            <c:numRef>
              <c:f>histogram100!$E$5:$E$85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4</c:v>
                </c:pt>
                <c:pt idx="35">
                  <c:v>1</c:v>
                </c:pt>
                <c:pt idx="36">
                  <c:v>2</c:v>
                </c:pt>
                <c:pt idx="37">
                  <c:v>0</c:v>
                </c:pt>
                <c:pt idx="38">
                  <c:v>0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3</c:v>
                </c:pt>
                <c:pt idx="43">
                  <c:v>2</c:v>
                </c:pt>
                <c:pt idx="44">
                  <c:v>1</c:v>
                </c:pt>
                <c:pt idx="45">
                  <c:v>5</c:v>
                </c:pt>
                <c:pt idx="46">
                  <c:v>0</c:v>
                </c:pt>
                <c:pt idx="47">
                  <c:v>5</c:v>
                </c:pt>
                <c:pt idx="48">
                  <c:v>4</c:v>
                </c:pt>
                <c:pt idx="49">
                  <c:v>4</c:v>
                </c:pt>
                <c:pt idx="50">
                  <c:v>6</c:v>
                </c:pt>
                <c:pt idx="51">
                  <c:v>2</c:v>
                </c:pt>
                <c:pt idx="52">
                  <c:v>3</c:v>
                </c:pt>
                <c:pt idx="53">
                  <c:v>5</c:v>
                </c:pt>
                <c:pt idx="54">
                  <c:v>3</c:v>
                </c:pt>
                <c:pt idx="55">
                  <c:v>7</c:v>
                </c:pt>
                <c:pt idx="56">
                  <c:v>7</c:v>
                </c:pt>
                <c:pt idx="57">
                  <c:v>4</c:v>
                </c:pt>
                <c:pt idx="58">
                  <c:v>2</c:v>
                </c:pt>
                <c:pt idx="59">
                  <c:v>2</c:v>
                </c:pt>
                <c:pt idx="60">
                  <c:v>3</c:v>
                </c:pt>
                <c:pt idx="61">
                  <c:v>4</c:v>
                </c:pt>
                <c:pt idx="62">
                  <c:v>0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2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4F-4B6C-9477-A37DDDDB5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7820592"/>
        <c:axId val="1"/>
      </c:barChart>
      <c:catAx>
        <c:axId val="15782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Source Sans CAIM Black" panose="020B0303030403090204" pitchFamily="34" charset="0"/>
                <a:cs typeface="Calibri"/>
              </a:defRPr>
            </a:pPr>
            <a:endParaRPr lang="en-US"/>
          </a:p>
        </c:txPr>
        <c:crossAx val="157820592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histogram500!$D$5:$D$85</c:f>
              <c:numCache>
                <c:formatCode>General</c:formatCode>
                <c:ptCount val="8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-2.7</c:v>
                </c:pt>
                <c:pt idx="4">
                  <c:v>-2.6</c:v>
                </c:pt>
                <c:pt idx="5">
                  <c:v>-2.5</c:v>
                </c:pt>
                <c:pt idx="6">
                  <c:v>-2.4</c:v>
                </c:pt>
                <c:pt idx="7">
                  <c:v>-2.2999999999999998</c:v>
                </c:pt>
                <c:pt idx="8">
                  <c:v>-2.2000000000000002</c:v>
                </c:pt>
                <c:pt idx="9">
                  <c:v>-2.1</c:v>
                </c:pt>
                <c:pt idx="10">
                  <c:v>-2</c:v>
                </c:pt>
                <c:pt idx="11">
                  <c:v>-1.9</c:v>
                </c:pt>
                <c:pt idx="12">
                  <c:v>-1.8</c:v>
                </c:pt>
                <c:pt idx="13">
                  <c:v>-1.7</c:v>
                </c:pt>
                <c:pt idx="14">
                  <c:v>-1.6</c:v>
                </c:pt>
                <c:pt idx="15">
                  <c:v>-1.5</c:v>
                </c:pt>
                <c:pt idx="16">
                  <c:v>-1.4</c:v>
                </c:pt>
                <c:pt idx="17">
                  <c:v>-1.3</c:v>
                </c:pt>
                <c:pt idx="18">
                  <c:v>-1.2</c:v>
                </c:pt>
                <c:pt idx="19">
                  <c:v>-1.1000000000000001</c:v>
                </c:pt>
                <c:pt idx="20">
                  <c:v>-1</c:v>
                </c:pt>
                <c:pt idx="21">
                  <c:v>-0.9</c:v>
                </c:pt>
                <c:pt idx="22">
                  <c:v>-0.8</c:v>
                </c:pt>
                <c:pt idx="23">
                  <c:v>-0.7</c:v>
                </c:pt>
                <c:pt idx="24">
                  <c:v>-0.6</c:v>
                </c:pt>
                <c:pt idx="25">
                  <c:v>-0.5</c:v>
                </c:pt>
                <c:pt idx="26">
                  <c:v>-0.4</c:v>
                </c:pt>
                <c:pt idx="27">
                  <c:v>-0.3</c:v>
                </c:pt>
                <c:pt idx="28">
                  <c:v>-0.2</c:v>
                </c:pt>
                <c:pt idx="29">
                  <c:v>-0.1</c:v>
                </c:pt>
                <c:pt idx="30">
                  <c:v>0</c:v>
                </c:pt>
                <c:pt idx="31">
                  <c:v>0.1</c:v>
                </c:pt>
                <c:pt idx="32">
                  <c:v>0.2</c:v>
                </c:pt>
                <c:pt idx="33">
                  <c:v>0.3</c:v>
                </c:pt>
                <c:pt idx="34">
                  <c:v>0.4</c:v>
                </c:pt>
                <c:pt idx="35">
                  <c:v>0.5</c:v>
                </c:pt>
                <c:pt idx="36">
                  <c:v>0.6</c:v>
                </c:pt>
                <c:pt idx="37">
                  <c:v>0.7</c:v>
                </c:pt>
                <c:pt idx="38">
                  <c:v>0.8</c:v>
                </c:pt>
                <c:pt idx="39">
                  <c:v>0.9</c:v>
                </c:pt>
                <c:pt idx="40">
                  <c:v>1</c:v>
                </c:pt>
                <c:pt idx="41">
                  <c:v>1.1000000000000001</c:v>
                </c:pt>
                <c:pt idx="42">
                  <c:v>1.2</c:v>
                </c:pt>
                <c:pt idx="43">
                  <c:v>1.3</c:v>
                </c:pt>
                <c:pt idx="44">
                  <c:v>1.4</c:v>
                </c:pt>
                <c:pt idx="45">
                  <c:v>1.5</c:v>
                </c:pt>
                <c:pt idx="46">
                  <c:v>1.6</c:v>
                </c:pt>
                <c:pt idx="47">
                  <c:v>1.7</c:v>
                </c:pt>
                <c:pt idx="48">
                  <c:v>1.8</c:v>
                </c:pt>
                <c:pt idx="49">
                  <c:v>1.9</c:v>
                </c:pt>
                <c:pt idx="50">
                  <c:v>2</c:v>
                </c:pt>
                <c:pt idx="51">
                  <c:v>2.1</c:v>
                </c:pt>
                <c:pt idx="52">
                  <c:v>2.2000000000000002</c:v>
                </c:pt>
                <c:pt idx="53">
                  <c:v>2.2999999999999998</c:v>
                </c:pt>
                <c:pt idx="54">
                  <c:v>2.4</c:v>
                </c:pt>
                <c:pt idx="55">
                  <c:v>2.5000000000000102</c:v>
                </c:pt>
                <c:pt idx="56">
                  <c:v>2.6</c:v>
                </c:pt>
                <c:pt idx="57">
                  <c:v>2.7</c:v>
                </c:pt>
                <c:pt idx="58">
                  <c:v>2.80000000000001</c:v>
                </c:pt>
                <c:pt idx="59">
                  <c:v>2.9000000000000101</c:v>
                </c:pt>
                <c:pt idx="60">
                  <c:v>3.0000000000000102</c:v>
                </c:pt>
                <c:pt idx="61">
                  <c:v>3.1</c:v>
                </c:pt>
                <c:pt idx="62">
                  <c:v>3.2000000000000099</c:v>
                </c:pt>
                <c:pt idx="63">
                  <c:v>3.30000000000001</c:v>
                </c:pt>
                <c:pt idx="64">
                  <c:v>3.4000000000000101</c:v>
                </c:pt>
                <c:pt idx="65">
                  <c:v>3.5000000000000102</c:v>
                </c:pt>
                <c:pt idx="66">
                  <c:v>3.6000000000000099</c:v>
                </c:pt>
                <c:pt idx="67">
                  <c:v>3.7000000000000099</c:v>
                </c:pt>
                <c:pt idx="68">
                  <c:v>3.80000000000001</c:v>
                </c:pt>
                <c:pt idx="69">
                  <c:v>3.9000000000000101</c:v>
                </c:pt>
                <c:pt idx="70">
                  <c:v>4.0000000000000098</c:v>
                </c:pt>
                <c:pt idx="71">
                  <c:v>4.1000000000000103</c:v>
                </c:pt>
                <c:pt idx="72">
                  <c:v>4.2000000000000099</c:v>
                </c:pt>
                <c:pt idx="73">
                  <c:v>4.3000000000000096</c:v>
                </c:pt>
                <c:pt idx="74">
                  <c:v>4.4000000000000101</c:v>
                </c:pt>
                <c:pt idx="75">
                  <c:v>4.5000000000000098</c:v>
                </c:pt>
                <c:pt idx="76">
                  <c:v>4.6000000000000103</c:v>
                </c:pt>
                <c:pt idx="77">
                  <c:v>4.7000000000000099</c:v>
                </c:pt>
                <c:pt idx="78">
                  <c:v>4.8000000000000096</c:v>
                </c:pt>
                <c:pt idx="79">
                  <c:v>4.9000000000000101</c:v>
                </c:pt>
                <c:pt idx="80">
                  <c:v>5.0000000000000098</c:v>
                </c:pt>
              </c:numCache>
            </c:numRef>
          </c:cat>
          <c:val>
            <c:numRef>
              <c:f>histogram500!$E$5:$E$85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2</c:v>
                </c:pt>
                <c:pt idx="29">
                  <c:v>3</c:v>
                </c:pt>
                <c:pt idx="30">
                  <c:v>4</c:v>
                </c:pt>
                <c:pt idx="31">
                  <c:v>3</c:v>
                </c:pt>
                <c:pt idx="32">
                  <c:v>5</c:v>
                </c:pt>
                <c:pt idx="33">
                  <c:v>2</c:v>
                </c:pt>
                <c:pt idx="34">
                  <c:v>8</c:v>
                </c:pt>
                <c:pt idx="35">
                  <c:v>4</c:v>
                </c:pt>
                <c:pt idx="36">
                  <c:v>7</c:v>
                </c:pt>
                <c:pt idx="37">
                  <c:v>10</c:v>
                </c:pt>
                <c:pt idx="38">
                  <c:v>12</c:v>
                </c:pt>
                <c:pt idx="39">
                  <c:v>9</c:v>
                </c:pt>
                <c:pt idx="40">
                  <c:v>12</c:v>
                </c:pt>
                <c:pt idx="41">
                  <c:v>9</c:v>
                </c:pt>
                <c:pt idx="42">
                  <c:v>12</c:v>
                </c:pt>
                <c:pt idx="43">
                  <c:v>10</c:v>
                </c:pt>
                <c:pt idx="44">
                  <c:v>24</c:v>
                </c:pt>
                <c:pt idx="45">
                  <c:v>21</c:v>
                </c:pt>
                <c:pt idx="46">
                  <c:v>20</c:v>
                </c:pt>
                <c:pt idx="47">
                  <c:v>14</c:v>
                </c:pt>
                <c:pt idx="48">
                  <c:v>15</c:v>
                </c:pt>
                <c:pt idx="49">
                  <c:v>17</c:v>
                </c:pt>
                <c:pt idx="50">
                  <c:v>15</c:v>
                </c:pt>
                <c:pt idx="51">
                  <c:v>19</c:v>
                </c:pt>
                <c:pt idx="52">
                  <c:v>17</c:v>
                </c:pt>
                <c:pt idx="53">
                  <c:v>23</c:v>
                </c:pt>
                <c:pt idx="54">
                  <c:v>23</c:v>
                </c:pt>
                <c:pt idx="55">
                  <c:v>16</c:v>
                </c:pt>
                <c:pt idx="56">
                  <c:v>17</c:v>
                </c:pt>
                <c:pt idx="57">
                  <c:v>21</c:v>
                </c:pt>
                <c:pt idx="58">
                  <c:v>17</c:v>
                </c:pt>
                <c:pt idx="59">
                  <c:v>11</c:v>
                </c:pt>
                <c:pt idx="60">
                  <c:v>16</c:v>
                </c:pt>
                <c:pt idx="61">
                  <c:v>11</c:v>
                </c:pt>
                <c:pt idx="62">
                  <c:v>5</c:v>
                </c:pt>
                <c:pt idx="63">
                  <c:v>12</c:v>
                </c:pt>
                <c:pt idx="64">
                  <c:v>9</c:v>
                </c:pt>
                <c:pt idx="65">
                  <c:v>3</c:v>
                </c:pt>
                <c:pt idx="66">
                  <c:v>9</c:v>
                </c:pt>
                <c:pt idx="67">
                  <c:v>6</c:v>
                </c:pt>
                <c:pt idx="68">
                  <c:v>5</c:v>
                </c:pt>
                <c:pt idx="69">
                  <c:v>4</c:v>
                </c:pt>
                <c:pt idx="70">
                  <c:v>1</c:v>
                </c:pt>
                <c:pt idx="71">
                  <c:v>4</c:v>
                </c:pt>
                <c:pt idx="72">
                  <c:v>1</c:v>
                </c:pt>
                <c:pt idx="73">
                  <c:v>0</c:v>
                </c:pt>
                <c:pt idx="74">
                  <c:v>3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0</c:v>
                </c:pt>
                <c:pt idx="79">
                  <c:v>0</c:v>
                </c:pt>
                <c:pt idx="8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82-4D26-9834-FC519CDB1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7820592"/>
        <c:axId val="1"/>
      </c:barChart>
      <c:catAx>
        <c:axId val="15782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Source Sans CAIM Black" panose="020B0303030403090204" pitchFamily="34" charset="0"/>
                <a:cs typeface="Calibri"/>
              </a:defRPr>
            </a:pPr>
            <a:endParaRPr lang="en-US"/>
          </a:p>
        </c:txPr>
        <c:crossAx val="157820592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histogram500!$N$5:$N$37</c:f>
              <c:numCache>
                <c:formatCode>General</c:formatCode>
                <c:ptCount val="33"/>
                <c:pt idx="0">
                  <c:v>-3</c:v>
                </c:pt>
                <c:pt idx="1">
                  <c:v>-2.75</c:v>
                </c:pt>
                <c:pt idx="2">
                  <c:v>-2.5</c:v>
                </c:pt>
                <c:pt idx="3">
                  <c:v>-2.25</c:v>
                </c:pt>
                <c:pt idx="4">
                  <c:v>-2</c:v>
                </c:pt>
                <c:pt idx="5">
                  <c:v>-1.75</c:v>
                </c:pt>
                <c:pt idx="6">
                  <c:v>-1.5</c:v>
                </c:pt>
                <c:pt idx="7">
                  <c:v>-1.25</c:v>
                </c:pt>
                <c:pt idx="8">
                  <c:v>-1</c:v>
                </c:pt>
                <c:pt idx="9">
                  <c:v>-0.75</c:v>
                </c:pt>
                <c:pt idx="10">
                  <c:v>-0.5</c:v>
                </c:pt>
                <c:pt idx="11">
                  <c:v>-0.25</c:v>
                </c:pt>
                <c:pt idx="12">
                  <c:v>0</c:v>
                </c:pt>
                <c:pt idx="13">
                  <c:v>0.25</c:v>
                </c:pt>
                <c:pt idx="14">
                  <c:v>0.5</c:v>
                </c:pt>
                <c:pt idx="15">
                  <c:v>0.75</c:v>
                </c:pt>
                <c:pt idx="16">
                  <c:v>1</c:v>
                </c:pt>
                <c:pt idx="17">
                  <c:v>1.25</c:v>
                </c:pt>
                <c:pt idx="18">
                  <c:v>1.5</c:v>
                </c:pt>
                <c:pt idx="19">
                  <c:v>1.75</c:v>
                </c:pt>
                <c:pt idx="20">
                  <c:v>2</c:v>
                </c:pt>
                <c:pt idx="21">
                  <c:v>2.25</c:v>
                </c:pt>
                <c:pt idx="22">
                  <c:v>2.5</c:v>
                </c:pt>
                <c:pt idx="23">
                  <c:v>2.75</c:v>
                </c:pt>
                <c:pt idx="24">
                  <c:v>3</c:v>
                </c:pt>
                <c:pt idx="25">
                  <c:v>3.25</c:v>
                </c:pt>
                <c:pt idx="26">
                  <c:v>3.5</c:v>
                </c:pt>
                <c:pt idx="27">
                  <c:v>3.75</c:v>
                </c:pt>
                <c:pt idx="28">
                  <c:v>4</c:v>
                </c:pt>
                <c:pt idx="29">
                  <c:v>4.25</c:v>
                </c:pt>
                <c:pt idx="30">
                  <c:v>4.5</c:v>
                </c:pt>
                <c:pt idx="31">
                  <c:v>4.75</c:v>
                </c:pt>
                <c:pt idx="32">
                  <c:v>5</c:v>
                </c:pt>
              </c:numCache>
            </c:numRef>
          </c:cat>
          <c:val>
            <c:numRef>
              <c:f>histogram500!$O$5:$O$37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2</c:v>
                </c:pt>
                <c:pt idx="12">
                  <c:v>8</c:v>
                </c:pt>
                <c:pt idx="13">
                  <c:v>9</c:v>
                </c:pt>
                <c:pt idx="14">
                  <c:v>13</c:v>
                </c:pt>
                <c:pt idx="15">
                  <c:v>24</c:v>
                </c:pt>
                <c:pt idx="16">
                  <c:v>26</c:v>
                </c:pt>
                <c:pt idx="17">
                  <c:v>23</c:v>
                </c:pt>
                <c:pt idx="18">
                  <c:v>53</c:v>
                </c:pt>
                <c:pt idx="19">
                  <c:v>40</c:v>
                </c:pt>
                <c:pt idx="20">
                  <c:v>41</c:v>
                </c:pt>
                <c:pt idx="21">
                  <c:v>47</c:v>
                </c:pt>
                <c:pt idx="22">
                  <c:v>51</c:v>
                </c:pt>
                <c:pt idx="23">
                  <c:v>45</c:v>
                </c:pt>
                <c:pt idx="24">
                  <c:v>37</c:v>
                </c:pt>
                <c:pt idx="25">
                  <c:v>23</c:v>
                </c:pt>
                <c:pt idx="26">
                  <c:v>17</c:v>
                </c:pt>
                <c:pt idx="27">
                  <c:v>17</c:v>
                </c:pt>
                <c:pt idx="28">
                  <c:v>8</c:v>
                </c:pt>
                <c:pt idx="29">
                  <c:v>5</c:v>
                </c:pt>
                <c:pt idx="30">
                  <c:v>3</c:v>
                </c:pt>
                <c:pt idx="31">
                  <c:v>3</c:v>
                </c:pt>
                <c:pt idx="3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E3-4DEC-B164-B0A5821C8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7820592"/>
        <c:axId val="1"/>
      </c:barChart>
      <c:catAx>
        <c:axId val="15782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Source Sans CAIM Black" panose="020B0303030403090204" pitchFamily="34" charset="0"/>
                <a:cs typeface="Calibri"/>
              </a:defRPr>
            </a:pPr>
            <a:endParaRPr lang="en-US"/>
          </a:p>
        </c:txPr>
        <c:crossAx val="157820592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224117</xdr:colOff>
      <xdr:row>128</xdr:row>
      <xdr:rowOff>134470</xdr:rowOff>
    </xdr:from>
    <xdr:to>
      <xdr:col>10</xdr:col>
      <xdr:colOff>595083</xdr:colOff>
      <xdr:row>150</xdr:row>
      <xdr:rowOff>153681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A9CD0C1-3E11-4030-BFAD-1A6BF66CF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17" y="23084117"/>
          <a:ext cx="6595033" cy="39636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4</xdr:row>
      <xdr:rowOff>19050</xdr:rowOff>
    </xdr:from>
    <xdr:to>
      <xdr:col>12</xdr:col>
      <xdr:colOff>431800</xdr:colOff>
      <xdr:row>18</xdr:row>
      <xdr:rowOff>95250</xdr:rowOff>
    </xdr:to>
    <xdr:graphicFrame macro="">
      <xdr:nvGraphicFramePr>
        <xdr:cNvPr id="2054" name="Chart 1">
          <a:extLst>
            <a:ext uri="{FF2B5EF4-FFF2-40B4-BE49-F238E27FC236}">
              <a16:creationId xmlns:a16="http://schemas.microsoft.com/office/drawing/2014/main" id="{8170418C-EFFD-58EA-5F0B-504FC1B772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4</xdr:row>
      <xdr:rowOff>19050</xdr:rowOff>
    </xdr:from>
    <xdr:to>
      <xdr:col>12</xdr:col>
      <xdr:colOff>431800</xdr:colOff>
      <xdr:row>18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246B07-D2D8-490B-A1B2-CB94FA2CDD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419100</xdr:colOff>
      <xdr:row>4</xdr:row>
      <xdr:rowOff>0</xdr:rowOff>
    </xdr:from>
    <xdr:to>
      <xdr:col>23</xdr:col>
      <xdr:colOff>142875</xdr:colOff>
      <xdr:row>18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208FF3-BC39-4754-AEBA-976D6393A9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CAIM">
  <a:themeElements>
    <a:clrScheme name="CAIM">
      <a:dk1>
        <a:srgbClr val="2C2824"/>
      </a:dk1>
      <a:lt1>
        <a:srgbClr val="FFFFFF"/>
      </a:lt1>
      <a:dk2>
        <a:srgbClr val="D12E28"/>
      </a:dk2>
      <a:lt2>
        <a:srgbClr val="69B578"/>
      </a:lt2>
      <a:accent1>
        <a:srgbClr val="28264B"/>
      </a:accent1>
      <a:accent2>
        <a:srgbClr val="9A221D"/>
      </a:accent2>
      <a:accent3>
        <a:srgbClr val="707070"/>
      </a:accent3>
      <a:accent4>
        <a:srgbClr val="548BE9"/>
      </a:accent4>
      <a:accent5>
        <a:srgbClr val="82ACB3"/>
      </a:accent5>
      <a:accent6>
        <a:srgbClr val="E6BE8A"/>
      </a:accent6>
      <a:hlink>
        <a:srgbClr val="675D54"/>
      </a:hlink>
      <a:folHlink>
        <a:srgbClr val="9E9388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127"/>
  <sheetViews>
    <sheetView showGridLines="0" topLeftCell="A7" zoomScale="85" zoomScaleNormal="85" workbookViewId="0">
      <selection activeCell="T22" sqref="T22"/>
    </sheetView>
  </sheetViews>
  <sheetFormatPr defaultColWidth="9.07421875" defaultRowHeight="14.15"/>
  <cols>
    <col min="1" max="1" width="3.765625" style="2" customWidth="1"/>
    <col min="2" max="2" width="9.3046875" style="2" bestFit="1" customWidth="1"/>
    <col min="3" max="5" width="9.4609375" style="2" bestFit="1" customWidth="1"/>
    <col min="6" max="6" width="9.07421875" style="2"/>
    <col min="7" max="11" width="9.3046875" style="2" bestFit="1" customWidth="1"/>
    <col min="12" max="12" width="9.07421875" style="2"/>
    <col min="13" max="13" width="10.69140625" style="2" customWidth="1"/>
    <col min="14" max="15" width="9.3046875" style="2" bestFit="1" customWidth="1"/>
    <col min="16" max="16384" width="9.07421875" style="2"/>
  </cols>
  <sheetData>
    <row r="2" spans="2:15">
      <c r="B2" s="22" t="s">
        <v>0</v>
      </c>
      <c r="C2" s="22" t="s">
        <v>1</v>
      </c>
      <c r="D2" s="22" t="s">
        <v>2</v>
      </c>
      <c r="E2" s="22" t="s">
        <v>3</v>
      </c>
    </row>
    <row r="3" spans="2:15">
      <c r="B3" s="3" t="s">
        <v>4</v>
      </c>
      <c r="C3" s="4">
        <v>0.02</v>
      </c>
      <c r="D3" s="4">
        <v>0.03</v>
      </c>
      <c r="E3" s="4">
        <v>0.09</v>
      </c>
      <c r="F3" s="5"/>
    </row>
    <row r="4" spans="2:15">
      <c r="B4" s="3" t="s">
        <v>5</v>
      </c>
      <c r="C4" s="4">
        <v>0.01</v>
      </c>
      <c r="D4" s="4">
        <v>0.04</v>
      </c>
      <c r="E4" s="4">
        <v>0.15</v>
      </c>
      <c r="F4" s="5"/>
    </row>
    <row r="6" spans="2:15" s="6" customFormat="1">
      <c r="C6" s="6" t="s">
        <v>6</v>
      </c>
      <c r="H6" s="6" t="s">
        <v>11</v>
      </c>
    </row>
    <row r="7" spans="2:15">
      <c r="B7" s="22"/>
      <c r="C7" s="22" t="str">
        <f t="array" ref="C7:E7">assetnames</f>
        <v>Cash</v>
      </c>
      <c r="D7" s="22" t="str">
        <v>Bonds</v>
      </c>
      <c r="E7" s="22" t="str">
        <v>Stocks</v>
      </c>
      <c r="G7" s="1"/>
      <c r="H7" s="22" t="str">
        <f t="array" ref="H7:J7">assetnames</f>
        <v>Cash</v>
      </c>
      <c r="I7" s="22" t="str">
        <v>Bonds</v>
      </c>
      <c r="J7" s="22" t="str">
        <v>Stocks</v>
      </c>
    </row>
    <row r="8" spans="2:15">
      <c r="B8" s="22" t="str">
        <f t="array" ref="B8:B10">TRANSPOSE(assetnames)</f>
        <v>Cash</v>
      </c>
      <c r="C8" s="7">
        <v>1</v>
      </c>
      <c r="D8" s="7">
        <v>0.9</v>
      </c>
      <c r="E8" s="7">
        <v>0.7</v>
      </c>
      <c r="F8" s="8"/>
      <c r="G8" s="22" t="str">
        <f t="array" ref="G8:G10">TRANSPOSE(assetnames)</f>
        <v>Cash</v>
      </c>
      <c r="H8" s="26">
        <f t="array" ref="H8:J10">CorrAdj(corrs)</f>
        <v>1</v>
      </c>
      <c r="I8" s="26">
        <v>0.9</v>
      </c>
      <c r="J8" s="26">
        <v>0.70000000000000007</v>
      </c>
      <c r="K8" s="9"/>
    </row>
    <row r="9" spans="2:15">
      <c r="B9" s="22" t="str">
        <v>Bonds</v>
      </c>
      <c r="C9" s="7">
        <v>0.9</v>
      </c>
      <c r="D9" s="7">
        <v>1</v>
      </c>
      <c r="E9" s="7">
        <v>0.4</v>
      </c>
      <c r="F9" s="8"/>
      <c r="G9" s="22" t="str">
        <v>Bonds</v>
      </c>
      <c r="H9" s="26">
        <v>0.9</v>
      </c>
      <c r="I9" s="26">
        <v>1</v>
      </c>
      <c r="J9" s="26">
        <v>0.4000000000000003</v>
      </c>
      <c r="K9" s="9"/>
    </row>
    <row r="10" spans="2:15">
      <c r="B10" s="22" t="str">
        <v>Stocks</v>
      </c>
      <c r="C10" s="7">
        <v>0.7</v>
      </c>
      <c r="D10" s="7">
        <v>0.4</v>
      </c>
      <c r="E10" s="7">
        <v>1</v>
      </c>
      <c r="F10" s="8"/>
      <c r="G10" s="22" t="str">
        <v>Stocks</v>
      </c>
      <c r="H10" s="26">
        <v>0.70000000000000007</v>
      </c>
      <c r="I10" s="26">
        <v>0.4000000000000003</v>
      </c>
      <c r="J10" s="26">
        <v>0.99999999999999978</v>
      </c>
      <c r="K10" s="9"/>
    </row>
    <row r="12" spans="2:15" s="6" customFormat="1">
      <c r="C12" s="6" t="s">
        <v>7</v>
      </c>
      <c r="H12" s="6" t="s">
        <v>12</v>
      </c>
    </row>
    <row r="13" spans="2:15">
      <c r="B13" s="10"/>
      <c r="C13" s="7">
        <f t="array" ref="C13:E15">CholeskyDecomp(corrs)</f>
        <v>1</v>
      </c>
      <c r="D13" s="7">
        <v>0</v>
      </c>
      <c r="E13" s="7">
        <v>0</v>
      </c>
      <c r="H13" s="26">
        <f t="array" ref="H13:J15">CholeskyDecomp(adjcorrs)</f>
        <v>1</v>
      </c>
      <c r="I13" s="26">
        <v>0</v>
      </c>
      <c r="J13" s="26">
        <v>0</v>
      </c>
    </row>
    <row r="14" spans="2:15">
      <c r="B14" s="10"/>
      <c r="C14" s="7">
        <v>0.9</v>
      </c>
      <c r="D14" s="7">
        <v>0.43588989435406728</v>
      </c>
      <c r="E14" s="7">
        <v>0</v>
      </c>
      <c r="H14" s="26">
        <v>0.9</v>
      </c>
      <c r="I14" s="26">
        <v>0.43588989435406728</v>
      </c>
      <c r="J14" s="26">
        <v>0</v>
      </c>
    </row>
    <row r="15" spans="2:15">
      <c r="B15" s="11"/>
      <c r="C15" s="7">
        <v>0.7</v>
      </c>
      <c r="D15" s="7">
        <v>-0.52765618790229207</v>
      </c>
      <c r="E15" s="7">
        <v>0.48122650318578786</v>
      </c>
      <c r="H15" s="26">
        <v>0.70000000000000007</v>
      </c>
      <c r="I15" s="26">
        <v>-0.52765618790229174</v>
      </c>
      <c r="J15" s="26">
        <v>0.48122650318578808</v>
      </c>
    </row>
    <row r="16" spans="2:15">
      <c r="C16" s="8"/>
      <c r="D16" s="8"/>
      <c r="E16" s="8"/>
      <c r="H16" s="8"/>
      <c r="I16" s="8"/>
      <c r="J16" s="8"/>
      <c r="M16" s="12">
        <v>1</v>
      </c>
      <c r="N16" s="12">
        <v>2</v>
      </c>
      <c r="O16" s="12">
        <v>3</v>
      </c>
    </row>
    <row r="17" spans="2:17">
      <c r="C17" s="6" t="s">
        <v>14</v>
      </c>
      <c r="H17" s="13" t="s">
        <v>15</v>
      </c>
      <c r="I17" s="14"/>
      <c r="J17" s="14"/>
      <c r="L17" s="6"/>
      <c r="M17" s="6" t="s">
        <v>10</v>
      </c>
      <c r="N17" s="6"/>
      <c r="O17" s="6"/>
      <c r="P17" s="6"/>
    </row>
    <row r="18" spans="2:17">
      <c r="B18" s="1"/>
      <c r="C18" s="22">
        <v>1</v>
      </c>
      <c r="D18" s="22">
        <v>2</v>
      </c>
      <c r="E18" s="22">
        <v>3</v>
      </c>
      <c r="F18" s="12"/>
      <c r="G18" s="1"/>
      <c r="H18" s="22">
        <v>1</v>
      </c>
      <c r="I18" s="22">
        <v>2</v>
      </c>
      <c r="J18" s="22">
        <v>3</v>
      </c>
      <c r="L18" s="1"/>
      <c r="M18" s="22" t="str">
        <f t="array" ref="M18:O18">assetnames</f>
        <v>Cash</v>
      </c>
      <c r="N18" s="22" t="str">
        <v>Bonds</v>
      </c>
      <c r="O18" s="22" t="str">
        <v>Stocks</v>
      </c>
    </row>
    <row r="19" spans="2:17">
      <c r="B19" s="22">
        <v>1</v>
      </c>
      <c r="C19" s="7">
        <f t="shared" ref="C19:E21" ca="1" si="0">CORREL(INDEX(rands,,C$18),INDEX(rands,,$K19))</f>
        <v>1</v>
      </c>
      <c r="D19" s="7">
        <f t="shared" ca="1" si="0"/>
        <v>-2.3794294093128724E-2</v>
      </c>
      <c r="E19" s="7">
        <f t="shared" ca="1" si="0"/>
        <v>3.2780085792842771E-2</v>
      </c>
      <c r="F19" s="8"/>
      <c r="G19" s="22">
        <v>1</v>
      </c>
      <c r="H19" s="7">
        <f t="shared" ref="H19:J21" ca="1" si="1">CORREL(INDEX(randscorrel,,H$18),INDEX(randscorrel,,$K19))</f>
        <v>1</v>
      </c>
      <c r="I19" s="7">
        <f t="shared" ca="1" si="1"/>
        <v>0.83566390115621325</v>
      </c>
      <c r="J19" s="7">
        <f t="shared" ca="1" si="1"/>
        <v>0.61499819694017077</v>
      </c>
      <c r="K19" s="15">
        <v>1</v>
      </c>
      <c r="L19" s="22" t="str">
        <f t="array" ref="L19:L21">TRANSPOSE(assetnames)</f>
        <v>Cash</v>
      </c>
      <c r="M19" s="7">
        <f t="shared" ref="M19:O21" ca="1" si="2">CORREL(INDEX(simreturns,,M$16),INDEX(simreturns,,$K19))</f>
        <v>0.99999999999999989</v>
      </c>
      <c r="N19" s="7">
        <f t="shared" ca="1" si="2"/>
        <v>0.83566390115621392</v>
      </c>
      <c r="O19" s="7">
        <f t="shared" ca="1" si="2"/>
        <v>0.61499819694017033</v>
      </c>
    </row>
    <row r="20" spans="2:17">
      <c r="B20" s="22">
        <v>2</v>
      </c>
      <c r="C20" s="7">
        <f t="shared" ca="1" si="0"/>
        <v>-2.3794294093128724E-2</v>
      </c>
      <c r="D20" s="7">
        <f t="shared" ca="1" si="0"/>
        <v>0.99999999999999978</v>
      </c>
      <c r="E20" s="7">
        <f t="shared" ca="1" si="0"/>
        <v>-5.5365015346723535E-2</v>
      </c>
      <c r="F20" s="8"/>
      <c r="G20" s="22">
        <v>2</v>
      </c>
      <c r="H20" s="7">
        <f t="shared" ca="1" si="1"/>
        <v>0.83566390115621325</v>
      </c>
      <c r="I20" s="7">
        <f t="shared" ca="1" si="1"/>
        <v>1</v>
      </c>
      <c r="J20" s="7">
        <f t="shared" ca="1" si="1"/>
        <v>0.17562929257318641</v>
      </c>
      <c r="K20" s="15">
        <v>2</v>
      </c>
      <c r="L20" s="22" t="str">
        <v>Bonds</v>
      </c>
      <c r="M20" s="7">
        <f t="shared" ca="1" si="2"/>
        <v>0.83566390115621392</v>
      </c>
      <c r="N20" s="7">
        <f t="shared" ca="1" si="2"/>
        <v>1</v>
      </c>
      <c r="O20" s="7">
        <f t="shared" ca="1" si="2"/>
        <v>0.17562929257318646</v>
      </c>
    </row>
    <row r="21" spans="2:17">
      <c r="B21" s="22">
        <v>3</v>
      </c>
      <c r="C21" s="7">
        <f t="shared" ca="1" si="0"/>
        <v>3.2780085792842771E-2</v>
      </c>
      <c r="D21" s="7">
        <f t="shared" ca="1" si="0"/>
        <v>-5.5365015346723535E-2</v>
      </c>
      <c r="E21" s="7">
        <f t="shared" ca="1" si="0"/>
        <v>1.0000000000000002</v>
      </c>
      <c r="F21" s="8"/>
      <c r="G21" s="22">
        <v>3</v>
      </c>
      <c r="H21" s="7">
        <f t="shared" ca="1" si="1"/>
        <v>0.61499819694017077</v>
      </c>
      <c r="I21" s="7">
        <f t="shared" ca="1" si="1"/>
        <v>0.17562929257318641</v>
      </c>
      <c r="J21" s="7">
        <f t="shared" ca="1" si="1"/>
        <v>1</v>
      </c>
      <c r="K21" s="15">
        <v>3</v>
      </c>
      <c r="L21" s="22" t="str">
        <v>Stocks</v>
      </c>
      <c r="M21" s="7">
        <f t="shared" ca="1" si="2"/>
        <v>0.61499819694017033</v>
      </c>
      <c r="N21" s="7">
        <f t="shared" ca="1" si="2"/>
        <v>0.17562929257318646</v>
      </c>
      <c r="O21" s="7">
        <f t="shared" ca="1" si="2"/>
        <v>1.0000000000000002</v>
      </c>
    </row>
    <row r="22" spans="2:17">
      <c r="B22" s="23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</row>
    <row r="23" spans="2:17">
      <c r="C23" s="22">
        <v>1</v>
      </c>
      <c r="D23" s="22">
        <v>2</v>
      </c>
      <c r="E23" s="22">
        <v>3</v>
      </c>
      <c r="F23" s="12"/>
      <c r="G23" s="12"/>
      <c r="H23" s="22">
        <v>1</v>
      </c>
      <c r="I23" s="22">
        <v>2</v>
      </c>
      <c r="J23" s="22">
        <v>3</v>
      </c>
      <c r="M23" s="22" t="str">
        <f t="array" ref="M23:O23">assetnames</f>
        <v>Cash</v>
      </c>
      <c r="N23" s="22" t="str">
        <v>Bonds</v>
      </c>
      <c r="O23" s="22" t="str">
        <v>Stocks</v>
      </c>
    </row>
    <row r="24" spans="2:17">
      <c r="B24" s="3" t="s">
        <v>4</v>
      </c>
      <c r="C24" s="16">
        <f ca="1">AVERAGE(C28:C127)</f>
        <v>-1.8176812906053566E-2</v>
      </c>
      <c r="D24" s="16">
        <f ca="1">AVERAGE(D28:D127)</f>
        <v>2.5765506745401515E-2</v>
      </c>
      <c r="E24" s="16">
        <f ca="1">AVERAGE(E28:E127)</f>
        <v>2.6411823432628906E-2</v>
      </c>
      <c r="F24" s="17"/>
      <c r="G24" s="3" t="s">
        <v>4</v>
      </c>
      <c r="H24" s="16">
        <f ca="1">AVERAGE(H28:H127)</f>
        <v>-1.8176812906053566E-2</v>
      </c>
      <c r="I24" s="16">
        <f ca="1">AVERAGE(I28:I127)</f>
        <v>-5.1282076022161997E-3</v>
      </c>
      <c r="J24" s="16">
        <f ca="1">AVERAGE(J28:J127)</f>
        <v>-1.360902866964238E-2</v>
      </c>
      <c r="K24" s="17"/>
      <c r="L24" s="3" t="s">
        <v>4</v>
      </c>
      <c r="M24" s="18">
        <f ca="1">AVERAGE(M28:M127)</f>
        <v>1.9818231870939472E-2</v>
      </c>
      <c r="N24" s="18">
        <f ca="1">AVERAGE(N28:N127)</f>
        <v>2.9794871695911343E-2</v>
      </c>
      <c r="O24" s="18">
        <f ca="1">AVERAGE(O28:O127)</f>
        <v>8.7958645699553667E-2</v>
      </c>
    </row>
    <row r="25" spans="2:17">
      <c r="B25" s="3" t="s">
        <v>5</v>
      </c>
      <c r="C25" s="16">
        <f ca="1">STDEV(C28:C127)</f>
        <v>0.78095575260861694</v>
      </c>
      <c r="D25" s="16">
        <f ca="1">STDEV(D28:D127)</f>
        <v>1.0437713020974086</v>
      </c>
      <c r="E25" s="16">
        <f ca="1">STDEV(E28:E127)</f>
        <v>0.95829765267818001</v>
      </c>
      <c r="F25" s="17"/>
      <c r="G25" s="3" t="s">
        <v>5</v>
      </c>
      <c r="H25" s="16">
        <f ca="1">STDEV(H28:H127)</f>
        <v>0.78095575260861694</v>
      </c>
      <c r="I25" s="16">
        <f ca="1">STDEV(I28:I127)</f>
        <v>0.8281254001437337</v>
      </c>
      <c r="J25" s="16">
        <f ca="1">STDEV(J28:J127)</f>
        <v>0.93478419974224325</v>
      </c>
      <c r="K25" s="17"/>
      <c r="L25" s="3" t="s">
        <v>5</v>
      </c>
      <c r="M25" s="18">
        <f ca="1">STDEV(M28:M127)</f>
        <v>7.809557526086165E-3</v>
      </c>
      <c r="N25" s="18">
        <f ca="1">STDEV(N28:N127)</f>
        <v>3.3125016005749366E-2</v>
      </c>
      <c r="O25" s="18">
        <f ca="1">STDEV(O28:O127)</f>
        <v>0.14021762996133647</v>
      </c>
    </row>
    <row r="27" spans="2:17" s="6" customFormat="1">
      <c r="C27" s="6" t="s">
        <v>8</v>
      </c>
      <c r="H27" s="6" t="s">
        <v>13</v>
      </c>
      <c r="M27" s="6" t="s">
        <v>9</v>
      </c>
    </row>
    <row r="28" spans="2:17">
      <c r="B28" s="12">
        <v>1</v>
      </c>
      <c r="C28" s="19">
        <f ca="1">NORMSINV(RAND())</f>
        <v>-0.45033663513697414</v>
      </c>
      <c r="D28" s="19">
        <f t="shared" ref="D28:E43" ca="1" si="3">NORMSINV(RAND())</f>
        <v>0.427763734804333</v>
      </c>
      <c r="E28" s="19">
        <f t="shared" ca="1" si="3"/>
        <v>-0.23562123376131355</v>
      </c>
      <c r="F28" s="20"/>
      <c r="H28" s="19">
        <f t="array" aca="1" ref="H28:J28" ca="1">TRANSPOSE(MMULT(adjchol,TRANSPOSE(C28:E28)))</f>
        <v>-0.45033663513697414</v>
      </c>
      <c r="I28" s="19">
        <f ca="1"/>
        <v>-0.21884508245091475</v>
      </c>
      <c r="J28" s="19">
        <f ca="1"/>
        <v>-0.65433500862486116</v>
      </c>
      <c r="K28" s="20"/>
      <c r="M28" s="21">
        <f t="shared" ref="M28:M91" ca="1" si="4">C$3+H28*C$4</f>
        <v>1.549663364863026E-2</v>
      </c>
      <c r="N28" s="21">
        <f t="shared" ref="N28:N91" ca="1" si="5">D$3+I28*D$4</f>
        <v>2.1246196701963409E-2</v>
      </c>
      <c r="O28" s="21">
        <f t="shared" ref="O28:O91" ca="1" si="6">E$3+J28*E$4</f>
        <v>-8.1502512937291771E-3</v>
      </c>
    </row>
    <row r="29" spans="2:17">
      <c r="B29" s="12">
        <v>2</v>
      </c>
      <c r="C29" s="19">
        <f t="shared" ref="C29:E92" ca="1" si="7">NORMSINV(RAND())</f>
        <v>-0.2805643754184427</v>
      </c>
      <c r="D29" s="19">
        <f t="shared" ca="1" si="3"/>
        <v>-0.15692235394151519</v>
      </c>
      <c r="E29" s="19">
        <f t="shared" ca="1" si="3"/>
        <v>-0.53739696255852776</v>
      </c>
      <c r="F29" s="20"/>
      <c r="H29" s="19">
        <f t="array" aca="1" ref="H29:J29" ca="1">TRANSPOSE(MMULT(adjchol,TRANSPOSE(C29:E29)))</f>
        <v>-0.2805643754184427</v>
      </c>
      <c r="I29" s="19">
        <f ca="1"/>
        <v>-0.32090880615795703</v>
      </c>
      <c r="J29" s="19">
        <f ca="1"/>
        <v>-0.37220367283018002</v>
      </c>
      <c r="K29" s="20"/>
      <c r="M29" s="21">
        <f t="shared" ca="1" si="4"/>
        <v>1.7194356245815574E-2</v>
      </c>
      <c r="N29" s="21">
        <f t="shared" ca="1" si="5"/>
        <v>1.7163647753681718E-2</v>
      </c>
      <c r="O29" s="21">
        <f t="shared" ca="1" si="6"/>
        <v>3.4169449075472993E-2</v>
      </c>
    </row>
    <row r="30" spans="2:17">
      <c r="B30" s="12">
        <v>3</v>
      </c>
      <c r="C30" s="19">
        <f t="shared" ca="1" si="7"/>
        <v>-1.9613814784757337</v>
      </c>
      <c r="D30" s="19">
        <f t="shared" ca="1" si="3"/>
        <v>1.2736445518637014</v>
      </c>
      <c r="E30" s="19">
        <f t="shared" ca="1" si="3"/>
        <v>0.38842527067107424</v>
      </c>
      <c r="F30" s="20"/>
      <c r="H30" s="19">
        <f t="array" aca="1" ref="H30:J30" ca="1">TRANSPOSE(MMULT(adjchol,TRANSPOSE(C30:E30)))</f>
        <v>-1.9613814784757337</v>
      </c>
      <c r="I30" s="19">
        <f ca="1"/>
        <v>-1.2100745414716583</v>
      </c>
      <c r="J30" s="19">
        <f ca="1"/>
        <v>-1.8580929291579029</v>
      </c>
      <c r="K30" s="20"/>
      <c r="M30" s="21">
        <f t="shared" ca="1" si="4"/>
        <v>3.861852152426612E-4</v>
      </c>
      <c r="N30" s="21">
        <f t="shared" ca="1" si="5"/>
        <v>-1.8402981658866335E-2</v>
      </c>
      <c r="O30" s="21">
        <f t="shared" ca="1" si="6"/>
        <v>-0.18871393937368544</v>
      </c>
    </row>
    <row r="31" spans="2:17">
      <c r="B31" s="12">
        <v>4</v>
      </c>
      <c r="C31" s="19">
        <f t="shared" ca="1" si="7"/>
        <v>0.73342646520179855</v>
      </c>
      <c r="D31" s="19">
        <f t="shared" ca="1" si="3"/>
        <v>2.4011434700498162</v>
      </c>
      <c r="E31" s="19">
        <f t="shared" ca="1" si="3"/>
        <v>0.61794308412502552</v>
      </c>
      <c r="F31" s="20"/>
      <c r="H31" s="19">
        <f t="array" aca="1" ref="H31:J31" ca="1">TRANSPOSE(MMULT(adjchol,TRANSPOSE(C31:E31)))</f>
        <v>0.73342646520179855</v>
      </c>
      <c r="I31" s="19">
        <f ca="1"/>
        <v>1.7067179921705915</v>
      </c>
      <c r="J31" s="19">
        <f ca="1"/>
        <v>-0.45620909483038047</v>
      </c>
      <c r="K31" s="20"/>
      <c r="M31" s="21">
        <f t="shared" ca="1" si="4"/>
        <v>2.7334264652017985E-2</v>
      </c>
      <c r="N31" s="21">
        <f t="shared" ca="1" si="5"/>
        <v>9.8268719686823658E-2</v>
      </c>
      <c r="O31" s="21">
        <f t="shared" ca="1" si="6"/>
        <v>2.1568635775442935E-2</v>
      </c>
    </row>
    <row r="32" spans="2:17">
      <c r="B32" s="12">
        <v>5</v>
      </c>
      <c r="C32" s="19">
        <f t="shared" ca="1" si="7"/>
        <v>0.681265346599355</v>
      </c>
      <c r="D32" s="19">
        <f t="shared" ca="1" si="3"/>
        <v>-1.0320171094214421</v>
      </c>
      <c r="E32" s="19">
        <f t="shared" ca="1" si="3"/>
        <v>1.1177167549437697</v>
      </c>
      <c r="F32" s="20"/>
      <c r="H32" s="19">
        <f t="array" aca="1" ref="H32:J32" ca="1">TRANSPOSE(MMULT(adjchol,TRANSPOSE(C32:E32)))</f>
        <v>0.681265346599355</v>
      </c>
      <c r="I32" s="19">
        <f ca="1"/>
        <v>0.16329298314211727</v>
      </c>
      <c r="J32" s="19">
        <f ca="1"/>
        <v>1.5593108819605657</v>
      </c>
      <c r="K32" s="20"/>
      <c r="M32" s="21">
        <f t="shared" ca="1" si="4"/>
        <v>2.6812653465993552E-2</v>
      </c>
      <c r="N32" s="21">
        <f t="shared" ca="1" si="5"/>
        <v>3.6531719325684692E-2</v>
      </c>
      <c r="O32" s="21">
        <f t="shared" ca="1" si="6"/>
        <v>0.32389663229408483</v>
      </c>
    </row>
    <row r="33" spans="2:15">
      <c r="B33" s="12">
        <v>6</v>
      </c>
      <c r="C33" s="19">
        <f t="shared" ca="1" si="7"/>
        <v>-0.43131549977196665</v>
      </c>
      <c r="D33" s="19">
        <f t="shared" ca="1" si="3"/>
        <v>-0.56672105645753301</v>
      </c>
      <c r="E33" s="19">
        <f t="shared" ca="1" si="3"/>
        <v>0.39201989345360572</v>
      </c>
      <c r="F33" s="20"/>
      <c r="H33" s="19">
        <f t="array" aca="1" ref="H33:J33" ca="1">TRANSPOSE(MMULT(adjchol,TRANSPOSE(C33:E33)))</f>
        <v>-0.43131549977196665</v>
      </c>
      <c r="I33" s="19">
        <f ca="1"/>
        <v>-0.63521193122226949</v>
      </c>
      <c r="J33" s="19">
        <f ca="1"/>
        <v>0.18576338491990849</v>
      </c>
      <c r="K33" s="20"/>
      <c r="M33" s="21">
        <f t="shared" ca="1" si="4"/>
        <v>1.5686845002280334E-2</v>
      </c>
      <c r="N33" s="21">
        <f t="shared" ca="1" si="5"/>
        <v>4.5915227511092171E-3</v>
      </c>
      <c r="O33" s="21">
        <f t="shared" ca="1" si="6"/>
        <v>0.11786450773798626</v>
      </c>
    </row>
    <row r="34" spans="2:15">
      <c r="B34" s="12">
        <v>7</v>
      </c>
      <c r="C34" s="19">
        <f t="shared" ca="1" si="7"/>
        <v>-4.2670649634364025E-2</v>
      </c>
      <c r="D34" s="19">
        <f t="shared" ca="1" si="3"/>
        <v>0.17924012647169363</v>
      </c>
      <c r="E34" s="19">
        <f t="shared" ca="1" si="3"/>
        <v>1.4618022595230833</v>
      </c>
      <c r="F34" s="20"/>
      <c r="H34" s="19">
        <f t="array" aca="1" ref="H34:J34" ca="1">TRANSPOSE(MMULT(adjchol,TRANSPOSE(C34:E34)))</f>
        <v>-4.2670649634364025E-2</v>
      </c>
      <c r="I34" s="19">
        <f ca="1"/>
        <v>3.9725375120828563E-2</v>
      </c>
      <c r="J34" s="19">
        <f ca="1"/>
        <v>0.5790113731021439</v>
      </c>
      <c r="K34" s="20"/>
      <c r="M34" s="21">
        <f t="shared" ca="1" si="4"/>
        <v>1.9573293503656362E-2</v>
      </c>
      <c r="N34" s="21">
        <f t="shared" ca="1" si="5"/>
        <v>3.1589015004833139E-2</v>
      </c>
      <c r="O34" s="21">
        <f t="shared" ca="1" si="6"/>
        <v>0.17685170596532157</v>
      </c>
    </row>
    <row r="35" spans="2:15">
      <c r="B35" s="12">
        <v>8</v>
      </c>
      <c r="C35" s="19">
        <f t="shared" ca="1" si="7"/>
        <v>0.22408955343546982</v>
      </c>
      <c r="D35" s="19">
        <f t="shared" ca="1" si="3"/>
        <v>-0.78361492038418068</v>
      </c>
      <c r="E35" s="19">
        <f t="shared" ca="1" si="3"/>
        <v>0.61323402832729945</v>
      </c>
      <c r="F35" s="20"/>
      <c r="H35" s="19">
        <f t="array" aca="1" ref="H35:J35" ca="1">TRANSPOSE(MMULT(adjchol,TRANSPOSE(C35:E35)))</f>
        <v>0.22408955343546982</v>
      </c>
      <c r="I35" s="19">
        <f ca="1"/>
        <v>-0.13988922676860849</v>
      </c>
      <c r="J35" s="19">
        <f ca="1"/>
        <v>0.86544641616458429</v>
      </c>
      <c r="K35" s="20"/>
      <c r="M35" s="21">
        <f t="shared" ca="1" si="4"/>
        <v>2.2240895534354699E-2</v>
      </c>
      <c r="N35" s="21">
        <f t="shared" ca="1" si="5"/>
        <v>2.440443092925566E-2</v>
      </c>
      <c r="O35" s="21">
        <f t="shared" ca="1" si="6"/>
        <v>0.21981696242468762</v>
      </c>
    </row>
    <row r="36" spans="2:15">
      <c r="B36" s="12">
        <v>9</v>
      </c>
      <c r="C36" s="19">
        <f t="shared" ca="1" si="7"/>
        <v>-0.38662301587020997</v>
      </c>
      <c r="D36" s="19">
        <f t="shared" ca="1" si="3"/>
        <v>-1.3390843365429235</v>
      </c>
      <c r="E36" s="19">
        <f t="shared" ca="1" si="3"/>
        <v>0.17410886480709148</v>
      </c>
      <c r="F36" s="20"/>
      <c r="H36" s="19">
        <f t="array" aca="1" ref="H36:J36" ca="1">TRANSPOSE(MMULT(adjchol,TRANSPOSE(C36:E36)))</f>
        <v>-0.38662301587020997</v>
      </c>
      <c r="I36" s="19">
        <f ca="1"/>
        <v>-0.93165404427007015</v>
      </c>
      <c r="J36" s="19">
        <f ca="1"/>
        <v>0.51972582537552525</v>
      </c>
      <c r="K36" s="20"/>
      <c r="M36" s="21">
        <f t="shared" ca="1" si="4"/>
        <v>1.6133769841297902E-2</v>
      </c>
      <c r="N36" s="21">
        <f t="shared" ca="1" si="5"/>
        <v>-7.2661617708028106E-3</v>
      </c>
      <c r="O36" s="21">
        <f t="shared" ca="1" si="6"/>
        <v>0.16795887380632879</v>
      </c>
    </row>
    <row r="37" spans="2:15">
      <c r="B37" s="12">
        <v>10</v>
      </c>
      <c r="C37" s="19">
        <f t="shared" ca="1" si="7"/>
        <v>0.61872850464798845</v>
      </c>
      <c r="D37" s="19">
        <f t="shared" ca="1" si="3"/>
        <v>-0.63771104911942511</v>
      </c>
      <c r="E37" s="19">
        <f t="shared" ca="1" si="3"/>
        <v>-0.27233521470535227</v>
      </c>
      <c r="F37" s="20"/>
      <c r="H37" s="19">
        <f t="array" aca="1" ref="H37:J37" ca="1">TRANSPOSE(MMULT(adjchol,TRANSPOSE(C37:E37)))</f>
        <v>0.61872850464798845</v>
      </c>
      <c r="I37" s="19">
        <f ca="1"/>
        <v>0.27888385235410201</v>
      </c>
      <c r="J37" s="19">
        <f ca="1"/>
        <v>0.63854721134811143</v>
      </c>
      <c r="K37" s="20"/>
      <c r="M37" s="21">
        <f t="shared" ca="1" si="4"/>
        <v>2.6187285046479887E-2</v>
      </c>
      <c r="N37" s="21">
        <f t="shared" ca="1" si="5"/>
        <v>4.1155354094164077E-2</v>
      </c>
      <c r="O37" s="21">
        <f t="shared" ca="1" si="6"/>
        <v>0.18578208170221672</v>
      </c>
    </row>
    <row r="38" spans="2:15">
      <c r="B38" s="12">
        <v>11</v>
      </c>
      <c r="C38" s="19">
        <f t="shared" ca="1" si="7"/>
        <v>1.2296461824494791</v>
      </c>
      <c r="D38" s="19">
        <f t="shared" ca="1" si="3"/>
        <v>-1.0836246858309828</v>
      </c>
      <c r="E38" s="19">
        <f t="shared" ca="1" si="3"/>
        <v>-7.3828526208441866E-2</v>
      </c>
      <c r="F38" s="20"/>
      <c r="H38" s="19">
        <f t="array" aca="1" ref="H38:J38" ca="1">TRANSPOSE(MMULT(adjchol,TRANSPOSE(C38:E38)))</f>
        <v>1.2296461824494791</v>
      </c>
      <c r="I38" s="19">
        <f ca="1"/>
        <v>0.6343405143782046</v>
      </c>
      <c r="J38" s="19">
        <f ca="1"/>
        <v>1.3970053550543817</v>
      </c>
      <c r="K38" s="20"/>
      <c r="M38" s="21">
        <f t="shared" ca="1" si="4"/>
        <v>3.229646182449479E-2</v>
      </c>
      <c r="N38" s="21">
        <f t="shared" ca="1" si="5"/>
        <v>5.537362057512818E-2</v>
      </c>
      <c r="O38" s="21">
        <f t="shared" ca="1" si="6"/>
        <v>0.29955080325815725</v>
      </c>
    </row>
    <row r="39" spans="2:15">
      <c r="B39" s="12">
        <v>12</v>
      </c>
      <c r="C39" s="19">
        <f t="shared" ca="1" si="7"/>
        <v>-0.87321285732509657</v>
      </c>
      <c r="D39" s="19">
        <f t="shared" ca="1" si="3"/>
        <v>-1.5786145385584616</v>
      </c>
      <c r="E39" s="19">
        <f t="shared" ca="1" si="3"/>
        <v>1.1127707199076282</v>
      </c>
      <c r="F39" s="20"/>
      <c r="H39" s="19">
        <f t="array" aca="1" ref="H39:J39" ca="1">TRANSPOSE(MMULT(adjchol,TRANSPOSE(C39:E39)))</f>
        <v>-0.87321285732509657</v>
      </c>
      <c r="I39" s="19">
        <f ca="1"/>
        <v>-1.4739936960306295</v>
      </c>
      <c r="J39" s="19">
        <f ca="1"/>
        <v>0.75721149184400549</v>
      </c>
      <c r="K39" s="20"/>
      <c r="M39" s="21">
        <f t="shared" ca="1" si="4"/>
        <v>1.1267871426749034E-2</v>
      </c>
      <c r="N39" s="21">
        <f t="shared" ca="1" si="5"/>
        <v>-2.8959747841225181E-2</v>
      </c>
      <c r="O39" s="21">
        <f t="shared" ca="1" si="6"/>
        <v>0.20358172377660083</v>
      </c>
    </row>
    <row r="40" spans="2:15">
      <c r="B40" s="12">
        <v>13</v>
      </c>
      <c r="C40" s="19">
        <f t="shared" ca="1" si="7"/>
        <v>-0.6616786700654943</v>
      </c>
      <c r="D40" s="19">
        <f t="shared" ca="1" si="3"/>
        <v>-0.15363164182948436</v>
      </c>
      <c r="E40" s="19">
        <f t="shared" ca="1" si="3"/>
        <v>-2.1873116776466475</v>
      </c>
      <c r="F40" s="20"/>
      <c r="H40" s="19">
        <f t="array" aca="1" ref="H40:J40" ca="1">TRANSPOSE(MMULT(adjchol,TRANSPOSE(C40:E40)))</f>
        <v>-0.6616786700654943</v>
      </c>
      <c r="I40" s="19">
        <f ca="1"/>
        <v>-0.66247728318544075</v>
      </c>
      <c r="J40" s="19">
        <f ca="1"/>
        <v>-1.434702732588266</v>
      </c>
      <c r="K40" s="20"/>
      <c r="M40" s="21">
        <f t="shared" ca="1" si="4"/>
        <v>1.3383213299345057E-2</v>
      </c>
      <c r="N40" s="21">
        <f t="shared" ca="1" si="5"/>
        <v>3.5009086725823688E-3</v>
      </c>
      <c r="O40" s="21">
        <f t="shared" ca="1" si="6"/>
        <v>-0.12520540988823989</v>
      </c>
    </row>
    <row r="41" spans="2:15">
      <c r="B41" s="12">
        <v>14</v>
      </c>
      <c r="C41" s="19">
        <f t="shared" ca="1" si="7"/>
        <v>6.626451488503679E-2</v>
      </c>
      <c r="D41" s="19">
        <f t="shared" ca="1" si="3"/>
        <v>1.185769821696639</v>
      </c>
      <c r="E41" s="19">
        <f t="shared" ca="1" si="3"/>
        <v>-0.17402265293966457</v>
      </c>
      <c r="F41" s="20"/>
      <c r="H41" s="19">
        <f t="array" aca="1" ref="H41:J41" ca="1">TRANSPOSE(MMULT(adjchol,TRANSPOSE(C41:E41)))</f>
        <v>6.626451488503679E-2</v>
      </c>
      <c r="I41" s="19">
        <f ca="1"/>
        <v>0.57650314570412231</v>
      </c>
      <c r="J41" s="19">
        <f ca="1"/>
        <v>-0.66303793617577167</v>
      </c>
      <c r="K41" s="20"/>
      <c r="M41" s="21">
        <f t="shared" ca="1" si="4"/>
        <v>2.066264514885037E-2</v>
      </c>
      <c r="N41" s="21">
        <f t="shared" ca="1" si="5"/>
        <v>5.306012582816489E-2</v>
      </c>
      <c r="O41" s="21">
        <f t="shared" ca="1" si="6"/>
        <v>-9.455690426365751E-3</v>
      </c>
    </row>
    <row r="42" spans="2:15">
      <c r="B42" s="12">
        <v>15</v>
      </c>
      <c r="C42" s="19">
        <f t="shared" ca="1" si="7"/>
        <v>-0.91187441415747938</v>
      </c>
      <c r="D42" s="19">
        <f t="shared" ca="1" si="3"/>
        <v>0.86692914462346993</v>
      </c>
      <c r="E42" s="19">
        <f t="shared" ca="1" si="3"/>
        <v>-1.4298111892933221</v>
      </c>
      <c r="F42" s="20"/>
      <c r="H42" s="19">
        <f t="array" aca="1" ref="H42:J42" ca="1">TRANSPOSE(MMULT(adjchol,TRANSPOSE(C42:E42)))</f>
        <v>-0.91187441415747938</v>
      </c>
      <c r="I42" s="19">
        <f ca="1"/>
        <v>-0.4428013194793452</v>
      </c>
      <c r="J42" s="19">
        <f ca="1"/>
        <v>-1.7838156563831886</v>
      </c>
      <c r="K42" s="20"/>
      <c r="M42" s="21">
        <f t="shared" ca="1" si="4"/>
        <v>1.0881255858425207E-2</v>
      </c>
      <c r="N42" s="21">
        <f t="shared" ca="1" si="5"/>
        <v>1.2287947220826191E-2</v>
      </c>
      <c r="O42" s="21">
        <f t="shared" ca="1" si="6"/>
        <v>-0.1775723484574783</v>
      </c>
    </row>
    <row r="43" spans="2:15">
      <c r="B43" s="12">
        <v>16</v>
      </c>
      <c r="C43" s="19">
        <f t="shared" ca="1" si="7"/>
        <v>-0.35767542196691882</v>
      </c>
      <c r="D43" s="19">
        <f t="shared" ca="1" si="3"/>
        <v>-1.6157183496627239</v>
      </c>
      <c r="E43" s="19">
        <f t="shared" ca="1" si="3"/>
        <v>1.2484989842116125</v>
      </c>
      <c r="F43" s="20"/>
      <c r="H43" s="19">
        <f t="array" aca="1" ref="H43:J43" ca="1">TRANSPOSE(MMULT(adjchol,TRANSPOSE(C43:E43)))</f>
        <v>-0.35767542196691882</v>
      </c>
      <c r="I43" s="19">
        <f ca="1"/>
        <v>-1.0261831805106396</v>
      </c>
      <c r="J43" s="19">
        <f ca="1"/>
        <v>1.2029817901331343</v>
      </c>
      <c r="K43" s="20"/>
      <c r="M43" s="21">
        <f t="shared" ca="1" si="4"/>
        <v>1.6423245780330813E-2</v>
      </c>
      <c r="N43" s="21">
        <f t="shared" ca="1" si="5"/>
        <v>-1.1047327220425583E-2</v>
      </c>
      <c r="O43" s="21">
        <f t="shared" ca="1" si="6"/>
        <v>0.27044726851997014</v>
      </c>
    </row>
    <row r="44" spans="2:15">
      <c r="B44" s="12">
        <v>17</v>
      </c>
      <c r="C44" s="19">
        <f t="shared" ca="1" si="7"/>
        <v>-1.6520040320011113</v>
      </c>
      <c r="D44" s="19">
        <f t="shared" ca="1" si="7"/>
        <v>-0.15522907375521997</v>
      </c>
      <c r="E44" s="19">
        <f t="shared" ca="1" si="7"/>
        <v>-0.92532273844425106</v>
      </c>
      <c r="F44" s="20"/>
      <c r="H44" s="19">
        <f t="array" aca="1" ref="H44:J44" ca="1">TRANSPOSE(MMULT(adjchol,TRANSPOSE(C44:E44)))</f>
        <v>-1.6520040320011113</v>
      </c>
      <c r="I44" s="19">
        <f ca="1"/>
        <v>-1.5544664133608428</v>
      </c>
      <c r="J44" s="19">
        <f ca="1"/>
        <v>-1.5197850668313195</v>
      </c>
      <c r="K44" s="20"/>
      <c r="M44" s="21">
        <f t="shared" ca="1" si="4"/>
        <v>3.4799596799888859E-3</v>
      </c>
      <c r="N44" s="21">
        <f t="shared" ca="1" si="5"/>
        <v>-3.2178656534433712E-2</v>
      </c>
      <c r="O44" s="21">
        <f t="shared" ca="1" si="6"/>
        <v>-0.13796776002469793</v>
      </c>
    </row>
    <row r="45" spans="2:15">
      <c r="B45" s="12">
        <v>18</v>
      </c>
      <c r="C45" s="19">
        <f t="shared" ca="1" si="7"/>
        <v>0.27344266421538876</v>
      </c>
      <c r="D45" s="19">
        <f t="shared" ca="1" si="7"/>
        <v>-0.46714797374884537</v>
      </c>
      <c r="E45" s="19">
        <f t="shared" ca="1" si="7"/>
        <v>0.29323180115661074</v>
      </c>
      <c r="F45" s="20"/>
      <c r="H45" s="19">
        <f t="array" aca="1" ref="H45:J45" ca="1">TRANSPOSE(MMULT(adjchol,TRANSPOSE(C45:E45)))</f>
        <v>0.27344266421538876</v>
      </c>
      <c r="I45" s="19">
        <f ca="1"/>
        <v>4.2473316868749111E-2</v>
      </c>
      <c r="J45" s="19">
        <f ca="1"/>
        <v>0.57901429825883388</v>
      </c>
      <c r="K45" s="20"/>
      <c r="M45" s="21">
        <f t="shared" ca="1" si="4"/>
        <v>2.2734426642153888E-2</v>
      </c>
      <c r="N45" s="21">
        <f t="shared" ca="1" si="5"/>
        <v>3.1698932674749963E-2</v>
      </c>
      <c r="O45" s="21">
        <f t="shared" ca="1" si="6"/>
        <v>0.17685214473882507</v>
      </c>
    </row>
    <row r="46" spans="2:15">
      <c r="B46" s="12">
        <v>19</v>
      </c>
      <c r="C46" s="19">
        <f t="shared" ca="1" si="7"/>
        <v>0.28423481074958429</v>
      </c>
      <c r="D46" s="19">
        <f t="shared" ca="1" si="7"/>
        <v>9.0748961432757916E-2</v>
      </c>
      <c r="E46" s="19">
        <f t="shared" ca="1" si="7"/>
        <v>-0.55469848674540045</v>
      </c>
      <c r="F46" s="20"/>
      <c r="H46" s="19">
        <f t="array" aca="1" ref="H46:J46" ca="1">TRANSPOSE(MMULT(adjchol,TRANSPOSE(C46:E46)))</f>
        <v>0.28423481074958429</v>
      </c>
      <c r="I46" s="19">
        <f ca="1"/>
        <v>0.29536788488629206</v>
      </c>
      <c r="J46" s="19">
        <f ca="1"/>
        <v>-0.11585549661992939</v>
      </c>
      <c r="K46" s="20"/>
      <c r="M46" s="21">
        <f t="shared" ca="1" si="4"/>
        <v>2.2842348107495844E-2</v>
      </c>
      <c r="N46" s="21">
        <f t="shared" ca="1" si="5"/>
        <v>4.1814715395451681E-2</v>
      </c>
      <c r="O46" s="21">
        <f t="shared" ca="1" si="6"/>
        <v>7.2621675507010597E-2</v>
      </c>
    </row>
    <row r="47" spans="2:15">
      <c r="B47" s="12">
        <v>20</v>
      </c>
      <c r="C47" s="19">
        <f t="shared" ca="1" si="7"/>
        <v>1.07522019806387</v>
      </c>
      <c r="D47" s="19">
        <f t="shared" ca="1" si="7"/>
        <v>1.3966709709813172</v>
      </c>
      <c r="E47" s="19">
        <f t="shared" ca="1" si="7"/>
        <v>-0.41583884193607301</v>
      </c>
      <c r="F47" s="20"/>
      <c r="H47" s="19">
        <f t="array" aca="1" ref="H47:J47" ca="1">TRANSPOSE(MMULT(adjchol,TRANSPOSE(C47:E47)))</f>
        <v>1.07522019806387</v>
      </c>
      <c r="I47" s="19">
        <f ca="1"/>
        <v>1.576492940245922</v>
      </c>
      <c r="J47" s="19">
        <f ca="1"/>
        <v>-0.18442061345080921</v>
      </c>
      <c r="K47" s="20"/>
      <c r="M47" s="21">
        <f t="shared" ca="1" si="4"/>
        <v>3.0752201980638702E-2</v>
      </c>
      <c r="N47" s="21">
        <f t="shared" ca="1" si="5"/>
        <v>9.3059717609836876E-2</v>
      </c>
      <c r="O47" s="21">
        <f t="shared" ca="1" si="6"/>
        <v>6.233690798237862E-2</v>
      </c>
    </row>
    <row r="48" spans="2:15">
      <c r="B48" s="12">
        <v>21</v>
      </c>
      <c r="C48" s="19">
        <f t="shared" ca="1" si="7"/>
        <v>-0.6442332653224232</v>
      </c>
      <c r="D48" s="19">
        <f t="shared" ca="1" si="7"/>
        <v>0.87678455064260119</v>
      </c>
      <c r="E48" s="19">
        <f t="shared" ca="1" si="7"/>
        <v>1.4954991149612618</v>
      </c>
      <c r="F48" s="20"/>
      <c r="H48" s="19">
        <f t="array" aca="1" ref="H48:J48" ca="1">TRANSPOSE(MMULT(adjchol,TRANSPOSE(C48:E48)))</f>
        <v>-0.6442332653224232</v>
      </c>
      <c r="I48" s="19">
        <f ca="1"/>
        <v>-0.19762841363929917</v>
      </c>
      <c r="J48" s="19">
        <f ca="1"/>
        <v>-0.19393026971914629</v>
      </c>
      <c r="K48" s="20"/>
      <c r="M48" s="21">
        <f t="shared" ca="1" si="4"/>
        <v>1.3557667346775768E-2</v>
      </c>
      <c r="N48" s="21">
        <f t="shared" ca="1" si="5"/>
        <v>2.2094863454428033E-2</v>
      </c>
      <c r="O48" s="21">
        <f t="shared" ca="1" si="6"/>
        <v>6.0910459542128051E-2</v>
      </c>
    </row>
    <row r="49" spans="2:15">
      <c r="B49" s="12">
        <v>22</v>
      </c>
      <c r="C49" s="19">
        <f t="shared" ca="1" si="7"/>
        <v>-0.57652899806709135</v>
      </c>
      <c r="D49" s="19">
        <f t="shared" ca="1" si="7"/>
        <v>-9.6494366469438667E-2</v>
      </c>
      <c r="E49" s="19">
        <f t="shared" ca="1" si="7"/>
        <v>-8.0254942435737497E-2</v>
      </c>
      <c r="F49" s="20"/>
      <c r="H49" s="19">
        <f t="array" aca="1" ref="H49:J49" ca="1">TRANSPOSE(MMULT(adjchol,TRANSPOSE(C49:E49)))</f>
        <v>-0.57652899806709135</v>
      </c>
      <c r="I49" s="19">
        <f ca="1"/>
        <v>-0.56093701746650859</v>
      </c>
      <c r="J49" s="19">
        <f ca="1"/>
        <v>-0.3912752543933799</v>
      </c>
      <c r="K49" s="20"/>
      <c r="M49" s="21">
        <f t="shared" ca="1" si="4"/>
        <v>1.4234710019329088E-2</v>
      </c>
      <c r="N49" s="21">
        <f t="shared" ca="1" si="5"/>
        <v>7.5625193013396548E-3</v>
      </c>
      <c r="O49" s="21">
        <f t="shared" ca="1" si="6"/>
        <v>3.1308711840993014E-2</v>
      </c>
    </row>
    <row r="50" spans="2:15">
      <c r="B50" s="12">
        <v>23</v>
      </c>
      <c r="C50" s="19">
        <f t="shared" ca="1" si="7"/>
        <v>-1.0706805069544127</v>
      </c>
      <c r="D50" s="19">
        <f t="shared" ca="1" si="7"/>
        <v>0.95759930649491265</v>
      </c>
      <c r="E50" s="19">
        <f t="shared" ca="1" si="7"/>
        <v>0.92474378657437806</v>
      </c>
      <c r="F50" s="20"/>
      <c r="H50" s="19">
        <f t="array" aca="1" ref="H50:J50" ca="1">TRANSPOSE(MMULT(adjchol,TRANSPOSE(C50:E50)))</f>
        <v>-1.0706805069544127</v>
      </c>
      <c r="I50" s="19">
        <f ca="1"/>
        <v>-0.54620459571737601</v>
      </c>
      <c r="J50" s="19">
        <f ca="1"/>
        <v>-0.80974833571510008</v>
      </c>
      <c r="K50" s="20"/>
      <c r="M50" s="21">
        <f t="shared" ca="1" si="4"/>
        <v>9.2931949304558732E-3</v>
      </c>
      <c r="N50" s="21">
        <f t="shared" ca="1" si="5"/>
        <v>8.151816171304959E-3</v>
      </c>
      <c r="O50" s="21">
        <f t="shared" ca="1" si="6"/>
        <v>-3.1462250357265006E-2</v>
      </c>
    </row>
    <row r="51" spans="2:15">
      <c r="B51" s="12">
        <v>24</v>
      </c>
      <c r="C51" s="19">
        <f t="shared" ca="1" si="7"/>
        <v>0.35203852387533685</v>
      </c>
      <c r="D51" s="19">
        <f t="shared" ca="1" si="7"/>
        <v>1.791665431159144</v>
      </c>
      <c r="E51" s="19">
        <f t="shared" ca="1" si="7"/>
        <v>1.0929964312835398</v>
      </c>
      <c r="F51" s="20"/>
      <c r="H51" s="19">
        <f t="array" aca="1" ref="H51:J51" ca="1">TRANSPOSE(MMULT(adjchol,TRANSPOSE(C51:E51)))</f>
        <v>0.35203852387533685</v>
      </c>
      <c r="I51" s="19">
        <f ca="1"/>
        <v>1.0978035269935968</v>
      </c>
      <c r="J51" s="19">
        <f ca="1"/>
        <v>-0.17297753406789063</v>
      </c>
      <c r="K51" s="20"/>
      <c r="M51" s="21">
        <f t="shared" ca="1" si="4"/>
        <v>2.3520385238753369E-2</v>
      </c>
      <c r="N51" s="21">
        <f t="shared" ca="1" si="5"/>
        <v>7.3912141079743865E-2</v>
      </c>
      <c r="O51" s="21">
        <f t="shared" ca="1" si="6"/>
        <v>6.40533698898164E-2</v>
      </c>
    </row>
    <row r="52" spans="2:15">
      <c r="B52" s="12">
        <v>25</v>
      </c>
      <c r="C52" s="19">
        <f t="shared" ca="1" si="7"/>
        <v>-2.4096574886497568</v>
      </c>
      <c r="D52" s="19">
        <f t="shared" ca="1" si="7"/>
        <v>0.57767531796019911</v>
      </c>
      <c r="E52" s="19">
        <f t="shared" ca="1" si="7"/>
        <v>0.75437411886692718</v>
      </c>
      <c r="F52" s="20"/>
      <c r="H52" s="19">
        <f t="array" aca="1" ref="H52:J52" ca="1">TRANSPOSE(MMULT(adjchol,TRANSPOSE(C52:E52)))</f>
        <v>-2.4096574886497568</v>
      </c>
      <c r="I52" s="19">
        <f ca="1"/>
        <v>-1.916888906468158</v>
      </c>
      <c r="J52" s="19">
        <f ca="1"/>
        <v>-1.6285493788587615</v>
      </c>
      <c r="K52" s="20"/>
      <c r="M52" s="21">
        <f t="shared" ca="1" si="4"/>
        <v>-4.0965748864975685E-3</v>
      </c>
      <c r="N52" s="21">
        <f t="shared" ca="1" si="5"/>
        <v>-4.6675556258726325E-2</v>
      </c>
      <c r="O52" s="21">
        <f t="shared" ca="1" si="6"/>
        <v>-0.15428240682881422</v>
      </c>
    </row>
    <row r="53" spans="2:15">
      <c r="B53" s="12">
        <v>26</v>
      </c>
      <c r="C53" s="19">
        <f t="shared" ca="1" si="7"/>
        <v>-1.5052036554953152</v>
      </c>
      <c r="D53" s="19">
        <f t="shared" ca="1" si="7"/>
        <v>0.30386895197830455</v>
      </c>
      <c r="E53" s="19">
        <f t="shared" ca="1" si="7"/>
        <v>-0.20290761029182253</v>
      </c>
      <c r="F53" s="20"/>
      <c r="H53" s="19">
        <f t="array" aca="1" ref="H53:J53" ca="1">TRANSPOSE(MMULT(adjchol,TRANSPOSE(C53:E53)))</f>
        <v>-1.5052036554953152</v>
      </c>
      <c r="I53" s="19">
        <f ca="1"/>
        <v>-1.2222298845704793</v>
      </c>
      <c r="J53" s="19">
        <f ca="1"/>
        <v>-1.3116254114399759</v>
      </c>
      <c r="K53" s="20"/>
      <c r="M53" s="21">
        <f t="shared" ca="1" si="4"/>
        <v>4.947963445046848E-3</v>
      </c>
      <c r="N53" s="21">
        <f t="shared" ca="1" si="5"/>
        <v>-1.8889195382819177E-2</v>
      </c>
      <c r="O53" s="21">
        <f t="shared" ca="1" si="6"/>
        <v>-0.1067438117159964</v>
      </c>
    </row>
    <row r="54" spans="2:15">
      <c r="B54" s="12">
        <v>27</v>
      </c>
      <c r="C54" s="19">
        <f t="shared" ca="1" si="7"/>
        <v>-0.19119764798395811</v>
      </c>
      <c r="D54" s="19">
        <f t="shared" ca="1" si="7"/>
        <v>1.2798959055158066</v>
      </c>
      <c r="E54" s="19">
        <f t="shared" ca="1" si="7"/>
        <v>-0.75257408184497554</v>
      </c>
      <c r="F54" s="20"/>
      <c r="H54" s="19">
        <f t="array" aca="1" ref="H54:J54" ca="1">TRANSPOSE(MMULT(adjchol,TRANSPOSE(C54:E54)))</f>
        <v>-0.19119764798395811</v>
      </c>
      <c r="I54" s="19">
        <f ca="1"/>
        <v>0.38581580785392589</v>
      </c>
      <c r="J54" s="19">
        <f ca="1"/>
        <v>-1.1713419417995057</v>
      </c>
      <c r="K54" s="20"/>
      <c r="M54" s="21">
        <f t="shared" ca="1" si="4"/>
        <v>1.808802352016042E-2</v>
      </c>
      <c r="N54" s="21">
        <f t="shared" ca="1" si="5"/>
        <v>4.5432632314157034E-2</v>
      </c>
      <c r="O54" s="21">
        <f t="shared" ca="1" si="6"/>
        <v>-8.5701291269925844E-2</v>
      </c>
    </row>
    <row r="55" spans="2:15">
      <c r="B55" s="12">
        <v>28</v>
      </c>
      <c r="C55" s="19">
        <f t="shared" ca="1" si="7"/>
        <v>6.7365371795030798E-2</v>
      </c>
      <c r="D55" s="19">
        <f t="shared" ca="1" si="7"/>
        <v>1.0312036741912449</v>
      </c>
      <c r="E55" s="19">
        <f t="shared" ca="1" si="7"/>
        <v>0.52912119201107288</v>
      </c>
      <c r="F55" s="20"/>
      <c r="H55" s="19">
        <f t="array" aca="1" ref="H55:J55" ca="1">TRANSPOSE(MMULT(adjchol,TRANSPOSE(C55:E55)))</f>
        <v>6.7365371795030798E-2</v>
      </c>
      <c r="I55" s="19">
        <f ca="1"/>
        <v>0.51012009521627555</v>
      </c>
      <c r="J55" s="19">
        <f ca="1"/>
        <v>-0.24233809842508303</v>
      </c>
      <c r="K55" s="20"/>
      <c r="M55" s="21">
        <f t="shared" ca="1" si="4"/>
        <v>2.0673653717950307E-2</v>
      </c>
      <c r="N55" s="21">
        <f t="shared" ca="1" si="5"/>
        <v>5.0404803808651019E-2</v>
      </c>
      <c r="O55" s="21">
        <f t="shared" ca="1" si="6"/>
        <v>5.3649285236237541E-2</v>
      </c>
    </row>
    <row r="56" spans="2:15">
      <c r="B56" s="12">
        <v>29</v>
      </c>
      <c r="C56" s="19">
        <f t="shared" ca="1" si="7"/>
        <v>0.60296479273507797</v>
      </c>
      <c r="D56" s="19">
        <f t="shared" ca="1" si="7"/>
        <v>0.57054644674366684</v>
      </c>
      <c r="E56" s="19">
        <f t="shared" ca="1" si="7"/>
        <v>-0.82594779950670316</v>
      </c>
      <c r="F56" s="20"/>
      <c r="H56" s="19">
        <f t="array" aca="1" ref="H56:J56" ca="1">TRANSPOSE(MMULT(adjchol,TRANSPOSE(C56:E56)))</f>
        <v>0.60296479273507797</v>
      </c>
      <c r="I56" s="19">
        <f ca="1"/>
        <v>0.79136374385675556</v>
      </c>
      <c r="J56" s="19">
        <f ca="1"/>
        <v>-0.27644497956601366</v>
      </c>
      <c r="K56" s="20"/>
      <c r="M56" s="21">
        <f t="shared" ca="1" si="4"/>
        <v>2.6029647927350779E-2</v>
      </c>
      <c r="N56" s="21">
        <f t="shared" ca="1" si="5"/>
        <v>6.1654549754270219E-2</v>
      </c>
      <c r="O56" s="21">
        <f t="shared" ca="1" si="6"/>
        <v>4.8533253065097946E-2</v>
      </c>
    </row>
    <row r="57" spans="2:15">
      <c r="B57" s="12">
        <v>30</v>
      </c>
      <c r="C57" s="19">
        <f t="shared" ca="1" si="7"/>
        <v>-0.60700391006149346</v>
      </c>
      <c r="D57" s="19">
        <f t="shared" ca="1" si="7"/>
        <v>-2.0839531913917391</v>
      </c>
      <c r="E57" s="19">
        <f t="shared" ca="1" si="7"/>
        <v>-0.67731738117497498</v>
      </c>
      <c r="F57" s="20"/>
      <c r="H57" s="19">
        <f t="array" aca="1" ref="H57:J57" ca="1">TRANSPOSE(MMULT(adjchol,TRANSPOSE(C57:E57)))</f>
        <v>-0.60700391006149346</v>
      </c>
      <c r="I57" s="19">
        <f ca="1"/>
        <v>-1.4546776554899106</v>
      </c>
      <c r="J57" s="19">
        <f ca="1"/>
        <v>0.34876498480374579</v>
      </c>
      <c r="K57" s="20"/>
      <c r="M57" s="21">
        <f t="shared" ca="1" si="4"/>
        <v>1.3929960899385065E-2</v>
      </c>
      <c r="N57" s="21">
        <f t="shared" ca="1" si="5"/>
        <v>-2.8187106219596428E-2</v>
      </c>
      <c r="O57" s="21">
        <f t="shared" ca="1" si="6"/>
        <v>0.14231474772056185</v>
      </c>
    </row>
    <row r="58" spans="2:15">
      <c r="B58" s="12">
        <v>31</v>
      </c>
      <c r="C58" s="19">
        <f t="shared" ca="1" si="7"/>
        <v>0.47795399219531493</v>
      </c>
      <c r="D58" s="19">
        <f t="shared" ca="1" si="7"/>
        <v>-0.38246532451967219</v>
      </c>
      <c r="E58" s="19">
        <f t="shared" ca="1" si="7"/>
        <v>0.88922308567094843</v>
      </c>
      <c r="F58" s="20"/>
      <c r="H58" s="19">
        <f t="array" aca="1" ref="H58:J58" ca="1">TRANSPOSE(MMULT(adjchol,TRANSPOSE(C58:E58)))</f>
        <v>0.47795399219531493</v>
      </c>
      <c r="I58" s="19">
        <f ca="1"/>
        <v>0.26344582307680953</v>
      </c>
      <c r="J58" s="19">
        <f ca="1"/>
        <v>0.96429570574709045</v>
      </c>
      <c r="K58" s="20"/>
      <c r="M58" s="21">
        <f t="shared" ca="1" si="4"/>
        <v>2.4779539921953149E-2</v>
      </c>
      <c r="N58" s="21">
        <f t="shared" ca="1" si="5"/>
        <v>4.0537832923072378E-2</v>
      </c>
      <c r="O58" s="21">
        <f t="shared" ca="1" si="6"/>
        <v>0.23464435586206356</v>
      </c>
    </row>
    <row r="59" spans="2:15">
      <c r="B59" s="12">
        <v>32</v>
      </c>
      <c r="C59" s="19">
        <f t="shared" ca="1" si="7"/>
        <v>-0.3651980936725594</v>
      </c>
      <c r="D59" s="19">
        <f t="shared" ca="1" si="7"/>
        <v>-0.2246076789481497</v>
      </c>
      <c r="E59" s="19">
        <f t="shared" ca="1" si="7"/>
        <v>-1.3435414146088946</v>
      </c>
      <c r="F59" s="20"/>
      <c r="H59" s="19">
        <f t="array" aca="1" ref="H59:J59" ca="1">TRANSPOSE(MMULT(adjchol,TRANSPOSE(C59:E59)))</f>
        <v>-0.3651980936725594</v>
      </c>
      <c r="I59" s="19">
        <f ca="1"/>
        <v>-0.42658250175312473</v>
      </c>
      <c r="J59" s="19">
        <f ca="1"/>
        <v>-0.78367077076095448</v>
      </c>
      <c r="K59" s="20"/>
      <c r="M59" s="21">
        <f t="shared" ca="1" si="4"/>
        <v>1.6348019063274405E-2</v>
      </c>
      <c r="N59" s="21">
        <f t="shared" ca="1" si="5"/>
        <v>1.293669992987501E-2</v>
      </c>
      <c r="O59" s="21">
        <f t="shared" ca="1" si="6"/>
        <v>-2.7550615614143167E-2</v>
      </c>
    </row>
    <row r="60" spans="2:15">
      <c r="B60" s="12">
        <v>33</v>
      </c>
      <c r="C60" s="19">
        <f t="shared" ca="1" si="7"/>
        <v>0.69020591957689026</v>
      </c>
      <c r="D60" s="19">
        <f t="shared" ca="1" si="7"/>
        <v>0.62153341134887308</v>
      </c>
      <c r="E60" s="19">
        <f t="shared" ca="1" si="7"/>
        <v>1.1551549636500045</v>
      </c>
      <c r="F60" s="20"/>
      <c r="H60" s="19">
        <f t="array" aca="1" ref="H60:J60" ca="1">TRANSPOSE(MMULT(adjchol,TRANSPOSE(C60:E60)))</f>
        <v>0.69020591957689026</v>
      </c>
      <c r="I60" s="19">
        <f ca="1"/>
        <v>0.89210546062958451</v>
      </c>
      <c r="J60" s="19">
        <f ca="1"/>
        <v>0.71107937701256763</v>
      </c>
      <c r="K60" s="20"/>
      <c r="M60" s="21">
        <f t="shared" ca="1" si="4"/>
        <v>2.6902059195768904E-2</v>
      </c>
      <c r="N60" s="21">
        <f t="shared" ca="1" si="5"/>
        <v>6.5684218425183377E-2</v>
      </c>
      <c r="O60" s="21">
        <f t="shared" ca="1" si="6"/>
        <v>0.19666190655188515</v>
      </c>
    </row>
    <row r="61" spans="2:15">
      <c r="B61" s="12">
        <v>34</v>
      </c>
      <c r="C61" s="19">
        <f t="shared" ca="1" si="7"/>
        <v>-0.22500499417896341</v>
      </c>
      <c r="D61" s="19">
        <f t="shared" ca="1" si="7"/>
        <v>-0.42856749488512003</v>
      </c>
      <c r="E61" s="19">
        <f t="shared" ca="1" si="7"/>
        <v>-0.16933639733632685</v>
      </c>
      <c r="F61" s="20"/>
      <c r="H61" s="19">
        <f t="array" aca="1" ref="H61:J61" ca="1">TRANSPOSE(MMULT(adjchol,TRANSPOSE(C61:E61)))</f>
        <v>-0.22500499417896341</v>
      </c>
      <c r="I61" s="19">
        <f ca="1"/>
        <v>-0.38931273483012929</v>
      </c>
      <c r="J61" s="19">
        <f ca="1"/>
        <v>-1.2856367667596819E-2</v>
      </c>
      <c r="K61" s="20"/>
      <c r="M61" s="21">
        <f t="shared" ca="1" si="4"/>
        <v>1.7749950058210368E-2</v>
      </c>
      <c r="N61" s="21">
        <f t="shared" ca="1" si="5"/>
        <v>1.4427490606794827E-2</v>
      </c>
      <c r="O61" s="21">
        <f t="shared" ca="1" si="6"/>
        <v>8.8071544849860475E-2</v>
      </c>
    </row>
    <row r="62" spans="2:15">
      <c r="B62" s="12">
        <v>35</v>
      </c>
      <c r="C62" s="19">
        <f t="shared" ca="1" si="7"/>
        <v>0.66630361176847952</v>
      </c>
      <c r="D62" s="19">
        <f t="shared" ca="1" si="7"/>
        <v>0.30822711830057514</v>
      </c>
      <c r="E62" s="19">
        <f t="shared" ca="1" si="7"/>
        <v>0.17509653537266964</v>
      </c>
      <c r="F62" s="20"/>
      <c r="H62" s="19">
        <f t="array" aca="1" ref="H62:J62" ca="1">TRANSPOSE(MMULT(adjchol,TRANSPOSE(C62:E62)))</f>
        <v>0.66630361176847952</v>
      </c>
      <c r="I62" s="19">
        <f ca="1"/>
        <v>0.73402633662472783</v>
      </c>
      <c r="J62" s="19">
        <f ca="1"/>
        <v>0.38803567542468198</v>
      </c>
      <c r="K62" s="20"/>
      <c r="M62" s="21">
        <f t="shared" ca="1" si="4"/>
        <v>2.6663036117684797E-2</v>
      </c>
      <c r="N62" s="21">
        <f t="shared" ca="1" si="5"/>
        <v>5.9361053464989114E-2</v>
      </c>
      <c r="O62" s="21">
        <f t="shared" ca="1" si="6"/>
        <v>0.1482053513137023</v>
      </c>
    </row>
    <row r="63" spans="2:15">
      <c r="B63" s="12">
        <v>36</v>
      </c>
      <c r="C63" s="19">
        <f t="shared" ca="1" si="7"/>
        <v>0.9749126369930381</v>
      </c>
      <c r="D63" s="19">
        <f t="shared" ca="1" si="7"/>
        <v>0.59400386718371456</v>
      </c>
      <c r="E63" s="19">
        <f t="shared" ca="1" si="7"/>
        <v>0.93126052001887605</v>
      </c>
      <c r="F63" s="20"/>
      <c r="H63" s="19">
        <f t="array" aca="1" ref="H63:J63" ca="1">TRANSPOSE(MMULT(adjchol,TRANSPOSE(C63:E63)))</f>
        <v>0.9749126369930381</v>
      </c>
      <c r="I63" s="19">
        <f ca="1"/>
        <v>1.1363416562063511</v>
      </c>
      <c r="J63" s="19">
        <f ca="1"/>
        <v>0.81715627334141105</v>
      </c>
      <c r="K63" s="20"/>
      <c r="M63" s="21">
        <f t="shared" ca="1" si="4"/>
        <v>2.9749126369930382E-2</v>
      </c>
      <c r="N63" s="21">
        <f t="shared" ca="1" si="5"/>
        <v>7.5453666248254045E-2</v>
      </c>
      <c r="O63" s="21">
        <f t="shared" ca="1" si="6"/>
        <v>0.21257344100121164</v>
      </c>
    </row>
    <row r="64" spans="2:15">
      <c r="B64" s="12">
        <v>37</v>
      </c>
      <c r="C64" s="19">
        <f t="shared" ca="1" si="7"/>
        <v>-0.62435308532448153</v>
      </c>
      <c r="D64" s="19">
        <f t="shared" ca="1" si="7"/>
        <v>-0.56107327496045178</v>
      </c>
      <c r="E64" s="19">
        <f t="shared" ca="1" si="7"/>
        <v>-1.1017480181956805</v>
      </c>
      <c r="F64" s="20"/>
      <c r="H64" s="19">
        <f t="array" aca="1" ref="H64:J64" ca="1">TRANSPOSE(MMULT(adjchol,TRANSPOSE(C64:E64)))</f>
        <v>-0.62435308532448153</v>
      </c>
      <c r="I64" s="19">
        <f ca="1"/>
        <v>-0.80648394733943518</v>
      </c>
      <c r="J64" s="19">
        <f ca="1"/>
        <v>-0.67118372051582997</v>
      </c>
      <c r="K64" s="20"/>
      <c r="M64" s="21">
        <f t="shared" ca="1" si="4"/>
        <v>1.3756469146755185E-2</v>
      </c>
      <c r="N64" s="21">
        <f t="shared" ca="1" si="5"/>
        <v>-2.25935789357741E-3</v>
      </c>
      <c r="O64" s="21">
        <f t="shared" ca="1" si="6"/>
        <v>-1.0677558077374499E-2</v>
      </c>
    </row>
    <row r="65" spans="2:15">
      <c r="B65" s="12">
        <v>38</v>
      </c>
      <c r="C65" s="19">
        <f t="shared" ca="1" si="7"/>
        <v>-1.1970759993245241</v>
      </c>
      <c r="D65" s="19">
        <f t="shared" ca="1" si="7"/>
        <v>-9.5533626078177086E-2</v>
      </c>
      <c r="E65" s="19">
        <f t="shared" ca="1" si="7"/>
        <v>0.46841117763919837</v>
      </c>
      <c r="F65" s="20"/>
      <c r="H65" s="19">
        <f t="array" aca="1" ref="H65:J65" ca="1">TRANSPOSE(MMULT(adjchol,TRANSPOSE(C65:E65)))</f>
        <v>-1.1970759993245241</v>
      </c>
      <c r="I65" s="19">
        <f ca="1"/>
        <v>-1.1190105415705494</v>
      </c>
      <c r="J65" s="19">
        <f ca="1"/>
        <v>-0.56213241750582466</v>
      </c>
      <c r="K65" s="20"/>
      <c r="M65" s="21">
        <f t="shared" ca="1" si="4"/>
        <v>8.0292400067547582E-3</v>
      </c>
      <c r="N65" s="21">
        <f t="shared" ca="1" si="5"/>
        <v>-1.4760421662821974E-2</v>
      </c>
      <c r="O65" s="21">
        <f t="shared" ca="1" si="6"/>
        <v>5.6801373741263012E-3</v>
      </c>
    </row>
    <row r="66" spans="2:15">
      <c r="B66" s="12">
        <v>39</v>
      </c>
      <c r="C66" s="19">
        <f t="shared" ca="1" si="7"/>
        <v>-0.61689330747950055</v>
      </c>
      <c r="D66" s="19">
        <f t="shared" ca="1" si="7"/>
        <v>0.6669777535935405</v>
      </c>
      <c r="E66" s="19">
        <f t="shared" ca="1" si="7"/>
        <v>-0.13492472676135317</v>
      </c>
      <c r="F66" s="20"/>
      <c r="H66" s="19">
        <f t="array" aca="1" ref="H66:J66" ca="1">TRANSPOSE(MMULT(adjchol,TRANSPOSE(C66:E66)))</f>
        <v>-0.61689330747950055</v>
      </c>
      <c r="I66" s="19">
        <f ca="1"/>
        <v>-0.26447511418114905</v>
      </c>
      <c r="J66" s="19">
        <f ca="1"/>
        <v>-0.84868960856511599</v>
      </c>
      <c r="K66" s="20"/>
      <c r="M66" s="21">
        <f t="shared" ca="1" si="4"/>
        <v>1.3831066925204995E-2</v>
      </c>
      <c r="N66" s="21">
        <f t="shared" ca="1" si="5"/>
        <v>1.9420995432754037E-2</v>
      </c>
      <c r="O66" s="21">
        <f t="shared" ca="1" si="6"/>
        <v>-3.7303441284767397E-2</v>
      </c>
    </row>
    <row r="67" spans="2:15">
      <c r="B67" s="12">
        <v>40</v>
      </c>
      <c r="C67" s="19">
        <f t="shared" ca="1" si="7"/>
        <v>-0.13995198594885541</v>
      </c>
      <c r="D67" s="19">
        <f t="shared" ca="1" si="7"/>
        <v>-0.13812663491042937</v>
      </c>
      <c r="E67" s="19">
        <f t="shared" ca="1" si="7"/>
        <v>0.65721031733720481</v>
      </c>
      <c r="F67" s="20"/>
      <c r="H67" s="19">
        <f t="array" aca="1" ref="H67:J67" ca="1">TRANSPOSE(MMULT(adjchol,TRANSPOSE(C67:E67)))</f>
        <v>-0.13995198594885541</v>
      </c>
      <c r="I67" s="19">
        <f ca="1"/>
        <v>-0.18616479165255975</v>
      </c>
      <c r="J67" s="19">
        <f ca="1"/>
        <v>0.29118400633021513</v>
      </c>
      <c r="K67" s="20"/>
      <c r="M67" s="21">
        <f t="shared" ca="1" si="4"/>
        <v>1.8600480140511445E-2</v>
      </c>
      <c r="N67" s="21">
        <f t="shared" ca="1" si="5"/>
        <v>2.2553408333897608E-2</v>
      </c>
      <c r="O67" s="21">
        <f t="shared" ca="1" si="6"/>
        <v>0.13367760094953227</v>
      </c>
    </row>
    <row r="68" spans="2:15">
      <c r="B68" s="12">
        <v>41</v>
      </c>
      <c r="C68" s="19">
        <f t="shared" ca="1" si="7"/>
        <v>-0.38682606860476948</v>
      </c>
      <c r="D68" s="19">
        <f t="shared" ca="1" si="7"/>
        <v>-0.13389191086337243</v>
      </c>
      <c r="E68" s="19">
        <f t="shared" ca="1" si="7"/>
        <v>1.9148577233819615</v>
      </c>
      <c r="F68" s="20"/>
      <c r="H68" s="19">
        <f t="array" aca="1" ref="H68:J68" ca="1">TRANSPOSE(MMULT(adjchol,TRANSPOSE(C68:E68)))</f>
        <v>-0.38682606860476948</v>
      </c>
      <c r="I68" s="19">
        <f ca="1"/>
        <v>-0.40650559262539215</v>
      </c>
      <c r="J68" s="19">
        <f ca="1"/>
        <v>0.72135093357518232</v>
      </c>
      <c r="K68" s="20"/>
      <c r="M68" s="21">
        <f t="shared" ca="1" si="4"/>
        <v>1.6131739313952304E-2</v>
      </c>
      <c r="N68" s="21">
        <f t="shared" ca="1" si="5"/>
        <v>1.3739776294984313E-2</v>
      </c>
      <c r="O68" s="21">
        <f t="shared" ca="1" si="6"/>
        <v>0.19820264003627736</v>
      </c>
    </row>
    <row r="69" spans="2:15">
      <c r="B69" s="12">
        <v>42</v>
      </c>
      <c r="C69" s="19">
        <f t="shared" ca="1" si="7"/>
        <v>-1.4199373998210605</v>
      </c>
      <c r="D69" s="19">
        <f t="shared" ca="1" si="7"/>
        <v>-2.1064398900790868</v>
      </c>
      <c r="E69" s="19">
        <f t="shared" ca="1" si="7"/>
        <v>0.31083612337537853</v>
      </c>
      <c r="F69" s="20"/>
      <c r="H69" s="19">
        <f t="array" aca="1" ref="H69:J69" ca="1">TRANSPOSE(MMULT(adjchol,TRANSPOSE(C69:E69)))</f>
        <v>-1.4199373998210605</v>
      </c>
      <c r="I69" s="19">
        <f ca="1"/>
        <v>-2.1961195209887205</v>
      </c>
      <c r="J69" s="19">
        <f ca="1"/>
        <v>0.26710244328547061</v>
      </c>
      <c r="K69" s="20"/>
      <c r="M69" s="21">
        <f t="shared" ca="1" si="4"/>
        <v>5.8006260017893947E-3</v>
      </c>
      <c r="N69" s="21">
        <f t="shared" ca="1" si="5"/>
        <v>-5.7844780839548818E-2</v>
      </c>
      <c r="O69" s="21">
        <f t="shared" ca="1" si="6"/>
        <v>0.13006536649282058</v>
      </c>
    </row>
    <row r="70" spans="2:15">
      <c r="B70" s="12">
        <v>43</v>
      </c>
      <c r="C70" s="19">
        <f t="shared" ca="1" si="7"/>
        <v>0.5638412962886824</v>
      </c>
      <c r="D70" s="19">
        <f t="shared" ca="1" si="7"/>
        <v>0.19518615450765184</v>
      </c>
      <c r="E70" s="19">
        <f t="shared" ca="1" si="7"/>
        <v>-0.45408401547162086</v>
      </c>
      <c r="F70" s="20"/>
      <c r="H70" s="19">
        <f t="array" aca="1" ref="H70:J70" ca="1">TRANSPOSE(MMULT(adjchol,TRANSPOSE(C70:E70)))</f>
        <v>0.5638412962886824</v>
      </c>
      <c r="I70" s="19">
        <f ca="1"/>
        <v>0.59253683892753117</v>
      </c>
      <c r="J70" s="19">
        <f ca="1"/>
        <v>7.3180462265293011E-2</v>
      </c>
      <c r="K70" s="20"/>
      <c r="M70" s="21">
        <f t="shared" ca="1" si="4"/>
        <v>2.5638412962886825E-2</v>
      </c>
      <c r="N70" s="21">
        <f t="shared" ca="1" si="5"/>
        <v>5.3701473557101247E-2</v>
      </c>
      <c r="O70" s="21">
        <f t="shared" ca="1" si="6"/>
        <v>0.10097706933979395</v>
      </c>
    </row>
    <row r="71" spans="2:15">
      <c r="B71" s="12">
        <v>44</v>
      </c>
      <c r="C71" s="19">
        <f t="shared" ca="1" si="7"/>
        <v>-7.2204625248778173E-2</v>
      </c>
      <c r="D71" s="19">
        <f t="shared" ca="1" si="7"/>
        <v>-1.1898087672446196</v>
      </c>
      <c r="E71" s="19">
        <f t="shared" ca="1" si="7"/>
        <v>5.9726148438997446E-3</v>
      </c>
      <c r="F71" s="20"/>
      <c r="H71" s="19">
        <f t="array" aca="1" ref="H71:J71" ca="1">TRANSPOSE(MMULT(adjchol,TRANSPOSE(C71:E71)))</f>
        <v>-7.2204625248778173E-2</v>
      </c>
      <c r="I71" s="19">
        <f ca="1"/>
        <v>-0.5836097805797007</v>
      </c>
      <c r="J71" s="19">
        <f ca="1"/>
        <v>0.5801409013390818</v>
      </c>
      <c r="K71" s="20"/>
      <c r="M71" s="21">
        <f t="shared" ca="1" si="4"/>
        <v>1.9277953747512219E-2</v>
      </c>
      <c r="N71" s="21">
        <f t="shared" ca="1" si="5"/>
        <v>6.6556087768119693E-3</v>
      </c>
      <c r="O71" s="21">
        <f t="shared" ca="1" si="6"/>
        <v>0.17702113520086227</v>
      </c>
    </row>
    <row r="72" spans="2:15">
      <c r="B72" s="12">
        <v>45</v>
      </c>
      <c r="C72" s="19">
        <f t="shared" ca="1" si="7"/>
        <v>1.7444548550052237</v>
      </c>
      <c r="D72" s="19">
        <f t="shared" ca="1" si="7"/>
        <v>0.25995220443905898</v>
      </c>
      <c r="E72" s="19">
        <f t="shared" ca="1" si="7"/>
        <v>1.3017514965659125</v>
      </c>
      <c r="F72" s="20"/>
      <c r="H72" s="19">
        <f t="array" aca="1" ref="H72:J72" ca="1">TRANSPOSE(MMULT(adjchol,TRANSPOSE(C72:E72)))</f>
        <v>1.7444548550052237</v>
      </c>
      <c r="I72" s="19">
        <f ca="1"/>
        <v>1.6833199084347497</v>
      </c>
      <c r="J72" s="19">
        <f ca="1"/>
        <v>1.7103903299818262</v>
      </c>
      <c r="K72" s="20"/>
      <c r="M72" s="21">
        <f t="shared" ca="1" si="4"/>
        <v>3.7444548550052234E-2</v>
      </c>
      <c r="N72" s="21">
        <f t="shared" ca="1" si="5"/>
        <v>9.733279633738999E-2</v>
      </c>
      <c r="O72" s="21">
        <f t="shared" ca="1" si="6"/>
        <v>0.34655854949727394</v>
      </c>
    </row>
    <row r="73" spans="2:15">
      <c r="B73" s="12">
        <v>46</v>
      </c>
      <c r="C73" s="19">
        <f t="shared" ca="1" si="7"/>
        <v>0.44792578249780168</v>
      </c>
      <c r="D73" s="19">
        <f t="shared" ca="1" si="7"/>
        <v>0.54113471645044275</v>
      </c>
      <c r="E73" s="19">
        <f t="shared" ca="1" si="7"/>
        <v>0.80221751107307082</v>
      </c>
      <c r="F73" s="20"/>
      <c r="H73" s="19">
        <f t="array" aca="1" ref="H73:J73" ca="1">TRANSPOSE(MMULT(adjchol,TRANSPOSE(C73:E73)))</f>
        <v>0.44792578249780168</v>
      </c>
      <c r="I73" s="19">
        <f ca="1"/>
        <v>0.63900835863292316</v>
      </c>
      <c r="J73" s="19">
        <f ca="1"/>
        <v>0.41406329377273315</v>
      </c>
      <c r="K73" s="20"/>
      <c r="M73" s="21">
        <f t="shared" ca="1" si="4"/>
        <v>2.4479257824978017E-2</v>
      </c>
      <c r="N73" s="21">
        <f t="shared" ca="1" si="5"/>
        <v>5.5560334345316931E-2</v>
      </c>
      <c r="O73" s="21">
        <f t="shared" ca="1" si="6"/>
        <v>0.15210949406590996</v>
      </c>
    </row>
    <row r="74" spans="2:15">
      <c r="B74" s="12">
        <v>47</v>
      </c>
      <c r="C74" s="19">
        <f t="shared" ca="1" si="7"/>
        <v>0.29658202804274542</v>
      </c>
      <c r="D74" s="19">
        <f t="shared" ca="1" si="7"/>
        <v>1.8589558646548456</v>
      </c>
      <c r="E74" s="19">
        <f t="shared" ca="1" si="7"/>
        <v>-0.41883328786695856</v>
      </c>
      <c r="F74" s="20"/>
      <c r="H74" s="19">
        <f t="array" aca="1" ref="H74:J74" ca="1">TRANSPOSE(MMULT(adjchol,TRANSPOSE(C74:E74)))</f>
        <v>0.29658202804274542</v>
      </c>
      <c r="I74" s="19">
        <f ca="1"/>
        <v>1.0772239006917452</v>
      </c>
      <c r="J74" s="19">
        <f ca="1"/>
        <v>-0.97483582393048573</v>
      </c>
      <c r="K74" s="20"/>
      <c r="M74" s="21">
        <f t="shared" ca="1" si="4"/>
        <v>2.2965820280427453E-2</v>
      </c>
      <c r="N74" s="21">
        <f t="shared" ca="1" si="5"/>
        <v>7.3088956027669807E-2</v>
      </c>
      <c r="O74" s="21">
        <f t="shared" ca="1" si="6"/>
        <v>-5.6225373589572858E-2</v>
      </c>
    </row>
    <row r="75" spans="2:15">
      <c r="B75" s="12">
        <v>48</v>
      </c>
      <c r="C75" s="19">
        <f t="shared" ca="1" si="7"/>
        <v>0.15991838881549628</v>
      </c>
      <c r="D75" s="19">
        <f t="shared" ca="1" si="7"/>
        <v>1.01558161139062</v>
      </c>
      <c r="E75" s="19">
        <f t="shared" ca="1" si="7"/>
        <v>0.54150691313772747</v>
      </c>
      <c r="F75" s="20"/>
      <c r="H75" s="19">
        <f t="array" aca="1" ref="H75:J75" ca="1">TRANSPOSE(MMULT(adjchol,TRANSPOSE(C75:E75)))</f>
        <v>0.15991838881549628</v>
      </c>
      <c r="I75" s="19">
        <f ca="1"/>
        <v>0.58660831123093748</v>
      </c>
      <c r="J75" s="19">
        <f ca="1"/>
        <v>-0.1633475711389949</v>
      </c>
      <c r="K75" s="20"/>
      <c r="M75" s="21">
        <f t="shared" ca="1" si="4"/>
        <v>2.1599183888154964E-2</v>
      </c>
      <c r="N75" s="21">
        <f t="shared" ca="1" si="5"/>
        <v>5.3464332449237498E-2</v>
      </c>
      <c r="O75" s="21">
        <f t="shared" ca="1" si="6"/>
        <v>6.5497864329150765E-2</v>
      </c>
    </row>
    <row r="76" spans="2:15">
      <c r="B76" s="12">
        <v>49</v>
      </c>
      <c r="C76" s="19">
        <f t="shared" ca="1" si="7"/>
        <v>0.81565231014658957</v>
      </c>
      <c r="D76" s="19">
        <f t="shared" ca="1" si="7"/>
        <v>-0.75153257156273578</v>
      </c>
      <c r="E76" s="19">
        <f t="shared" ca="1" si="7"/>
        <v>-0.20492783065382672</v>
      </c>
      <c r="F76" s="20"/>
      <c r="H76" s="19">
        <f t="array" aca="1" ref="H76:J76" ca="1">TRANSPOSE(MMULT(adjchol,TRANSPOSE(C76:E76)))</f>
        <v>0.81565231014658957</v>
      </c>
      <c r="I76" s="19">
        <f ca="1"/>
        <v>0.40650162590980921</v>
      </c>
      <c r="J76" s="19">
        <f ca="1"/>
        <v>0.86889072554682167</v>
      </c>
      <c r="K76" s="20"/>
      <c r="M76" s="21">
        <f t="shared" ca="1" si="4"/>
        <v>2.8156523101465894E-2</v>
      </c>
      <c r="N76" s="21">
        <f t="shared" ca="1" si="5"/>
        <v>4.6260065036392364E-2</v>
      </c>
      <c r="O76" s="21">
        <f t="shared" ca="1" si="6"/>
        <v>0.22033360883202324</v>
      </c>
    </row>
    <row r="77" spans="2:15">
      <c r="B77" s="12">
        <v>50</v>
      </c>
      <c r="C77" s="19">
        <f t="shared" ca="1" si="7"/>
        <v>-6.3731410762443236E-2</v>
      </c>
      <c r="D77" s="19">
        <f t="shared" ca="1" si="7"/>
        <v>-0.21517738456722463</v>
      </c>
      <c r="E77" s="19">
        <f t="shared" ca="1" si="7"/>
        <v>0.21590403286514226</v>
      </c>
      <c r="F77" s="20"/>
      <c r="H77" s="19">
        <f t="array" aca="1" ref="H77:J77" ca="1">TRANSPOSE(MMULT(adjchol,TRANSPOSE(C77:E77)))</f>
        <v>-6.3731410762443236E-2</v>
      </c>
      <c r="I77" s="19">
        <f ca="1"/>
        <v>-0.15115191711259096</v>
      </c>
      <c r="J77" s="19">
        <f ca="1"/>
        <v>0.17282643368921879</v>
      </c>
      <c r="K77" s="20"/>
      <c r="M77" s="21">
        <f t="shared" ca="1" si="4"/>
        <v>1.9362685892375567E-2</v>
      </c>
      <c r="N77" s="21">
        <f t="shared" ca="1" si="5"/>
        <v>2.395392331549636E-2</v>
      </c>
      <c r="O77" s="21">
        <f t="shared" ca="1" si="6"/>
        <v>0.11592396505338282</v>
      </c>
    </row>
    <row r="78" spans="2:15">
      <c r="B78" s="12">
        <v>51</v>
      </c>
      <c r="C78" s="19">
        <f t="shared" ca="1" si="7"/>
        <v>1.0429239615771893</v>
      </c>
      <c r="D78" s="19">
        <f t="shared" ca="1" si="7"/>
        <v>-0.91497568207355129</v>
      </c>
      <c r="E78" s="19">
        <f t="shared" ca="1" si="7"/>
        <v>0.21842430243832631</v>
      </c>
      <c r="F78" s="20"/>
      <c r="H78" s="19">
        <f t="array" aca="1" ref="H78:J78" ca="1">TRANSPOSE(MMULT(adjchol,TRANSPOSE(C78:E78)))</f>
        <v>1.0429239615771893</v>
      </c>
      <c r="I78" s="19">
        <f ca="1"/>
        <v>0.53980291202388941</v>
      </c>
      <c r="J78" s="19">
        <f ca="1"/>
        <v>1.3179509168034524</v>
      </c>
      <c r="K78" s="20"/>
      <c r="M78" s="21">
        <f t="shared" ca="1" si="4"/>
        <v>3.0429239615771896E-2</v>
      </c>
      <c r="N78" s="21">
        <f t="shared" ca="1" si="5"/>
        <v>5.1592116480955574E-2</v>
      </c>
      <c r="O78" s="21">
        <f t="shared" ca="1" si="6"/>
        <v>0.28769263752051788</v>
      </c>
    </row>
    <row r="79" spans="2:15">
      <c r="B79" s="12">
        <v>52</v>
      </c>
      <c r="C79" s="19">
        <f t="shared" ca="1" si="7"/>
        <v>-0.87284272409670605</v>
      </c>
      <c r="D79" s="19">
        <f t="shared" ca="1" si="7"/>
        <v>-0.19101729989522709</v>
      </c>
      <c r="E79" s="19">
        <f t="shared" ca="1" si="7"/>
        <v>1.3719357583914649</v>
      </c>
      <c r="F79" s="20"/>
      <c r="H79" s="19">
        <f t="array" aca="1" ref="H79:J79" ca="1">TRANSPOSE(MMULT(adjchol,TRANSPOSE(C79:E79)))</f>
        <v>-0.87284272409670605</v>
      </c>
      <c r="I79" s="19">
        <f ca="1"/>
        <v>-0.86882096235816508</v>
      </c>
      <c r="J79" s="19">
        <f ca="1"/>
        <v>0.15001340102467697</v>
      </c>
      <c r="K79" s="20"/>
      <c r="M79" s="21">
        <f t="shared" ca="1" si="4"/>
        <v>1.1271572759032939E-2</v>
      </c>
      <c r="N79" s="21">
        <f t="shared" ca="1" si="5"/>
        <v>-4.7528384943266028E-3</v>
      </c>
      <c r="O79" s="21">
        <f t="shared" ca="1" si="6"/>
        <v>0.11250201015370154</v>
      </c>
    </row>
    <row r="80" spans="2:15">
      <c r="B80" s="12">
        <v>53</v>
      </c>
      <c r="C80" s="19">
        <f t="shared" ca="1" si="7"/>
        <v>-0.53784126958431722</v>
      </c>
      <c r="D80" s="19">
        <f t="shared" ca="1" si="7"/>
        <v>0.6347983248019643</v>
      </c>
      <c r="E80" s="19">
        <f t="shared" ca="1" si="7"/>
        <v>0.49810956067589257</v>
      </c>
      <c r="F80" s="20"/>
      <c r="H80" s="19">
        <f t="array" aca="1" ref="H80:J80" ca="1">TRANSPOSE(MMULT(adjchol,TRANSPOSE(C80:E80)))</f>
        <v>-0.53784126958431722</v>
      </c>
      <c r="I80" s="19">
        <f ca="1"/>
        <v>-0.2073549678918184</v>
      </c>
      <c r="J80" s="19">
        <f ca="1"/>
        <v>-0.4717406307733184</v>
      </c>
      <c r="K80" s="20"/>
      <c r="M80" s="21">
        <f t="shared" ca="1" si="4"/>
        <v>1.4621587304156828E-2</v>
      </c>
      <c r="N80" s="21">
        <f t="shared" ca="1" si="5"/>
        <v>2.1705801284327263E-2</v>
      </c>
      <c r="O80" s="21">
        <f t="shared" ca="1" si="6"/>
        <v>1.9238905384002233E-2</v>
      </c>
    </row>
    <row r="81" spans="2:15">
      <c r="B81" s="12">
        <v>54</v>
      </c>
      <c r="C81" s="19">
        <f t="shared" ca="1" si="7"/>
        <v>0.82627776892030858</v>
      </c>
      <c r="D81" s="19">
        <f t="shared" ca="1" si="7"/>
        <v>-0.43655464065619637</v>
      </c>
      <c r="E81" s="19">
        <f t="shared" ca="1" si="7"/>
        <v>-1.0155474856243123</v>
      </c>
      <c r="F81" s="20"/>
      <c r="H81" s="19">
        <f t="array" aca="1" ref="H81:J81" ca="1">TRANSPOSE(MMULT(adjchol,TRANSPOSE(C81:E81)))</f>
        <v>0.82627776892030858</v>
      </c>
      <c r="I81" s="19">
        <f ca="1"/>
        <v>0.55336023583287053</v>
      </c>
      <c r="J81" s="19">
        <f ca="1"/>
        <v>0.32003683041781239</v>
      </c>
      <c r="K81" s="20"/>
      <c r="M81" s="21">
        <f t="shared" ca="1" si="4"/>
        <v>2.8262777689203086E-2</v>
      </c>
      <c r="N81" s="21">
        <f t="shared" ca="1" si="5"/>
        <v>5.2134409433314821E-2</v>
      </c>
      <c r="O81" s="21">
        <f t="shared" ca="1" si="6"/>
        <v>0.13800552456267184</v>
      </c>
    </row>
    <row r="82" spans="2:15">
      <c r="B82" s="12">
        <v>55</v>
      </c>
      <c r="C82" s="19">
        <f t="shared" ca="1" si="7"/>
        <v>-0.10291733552572747</v>
      </c>
      <c r="D82" s="19">
        <f t="shared" ca="1" si="7"/>
        <v>0.15628078641577478</v>
      </c>
      <c r="E82" s="19">
        <f t="shared" ca="1" si="7"/>
        <v>1.6070548340523598</v>
      </c>
      <c r="F82" s="20"/>
      <c r="H82" s="19">
        <f t="array" aca="1" ref="H82:J82" ca="1">TRANSPOSE(MMULT(adjchol,TRANSPOSE(C82:E82)))</f>
        <v>-0.10291733552572747</v>
      </c>
      <c r="I82" s="19">
        <f ca="1"/>
        <v>-2.45043864928121E-2</v>
      </c>
      <c r="J82" s="19">
        <f ca="1"/>
        <v>0.61885271934830488</v>
      </c>
      <c r="K82" s="20"/>
      <c r="M82" s="21">
        <f t="shared" ca="1" si="4"/>
        <v>1.8970826644742724E-2</v>
      </c>
      <c r="N82" s="21">
        <f t="shared" ca="1" si="5"/>
        <v>2.9019824540287516E-2</v>
      </c>
      <c r="O82" s="21">
        <f t="shared" ca="1" si="6"/>
        <v>0.18282790790224573</v>
      </c>
    </row>
    <row r="83" spans="2:15">
      <c r="B83" s="12">
        <v>56</v>
      </c>
      <c r="C83" s="19">
        <f t="shared" ca="1" si="7"/>
        <v>0.57498038253603789</v>
      </c>
      <c r="D83" s="19">
        <f t="shared" ca="1" si="7"/>
        <v>1.144591793929862</v>
      </c>
      <c r="E83" s="19">
        <f t="shared" ca="1" si="7"/>
        <v>-0.21591291963637838</v>
      </c>
      <c r="F83" s="20"/>
      <c r="H83" s="19">
        <f t="array" aca="1" ref="H83:J83" ca="1">TRANSPOSE(MMULT(adjchol,TRANSPOSE(C83:E83)))</f>
        <v>0.57498038253603789</v>
      </c>
      <c r="I83" s="19">
        <f ca="1"/>
        <v>1.016398340417054</v>
      </c>
      <c r="J83" s="19">
        <f ca="1"/>
        <v>-0.30536769422329829</v>
      </c>
      <c r="K83" s="20"/>
      <c r="M83" s="21">
        <f t="shared" ca="1" si="4"/>
        <v>2.5749803825360379E-2</v>
      </c>
      <c r="N83" s="21">
        <f t="shared" ca="1" si="5"/>
        <v>7.0655933616682154E-2</v>
      </c>
      <c r="O83" s="21">
        <f t="shared" ca="1" si="6"/>
        <v>4.4194845866505253E-2</v>
      </c>
    </row>
    <row r="84" spans="2:15">
      <c r="B84" s="12">
        <v>57</v>
      </c>
      <c r="C84" s="19">
        <f t="shared" ca="1" si="7"/>
        <v>-0.7314927332212211</v>
      </c>
      <c r="D84" s="19">
        <f t="shared" ca="1" si="7"/>
        <v>-0.68085287240134873</v>
      </c>
      <c r="E84" s="19">
        <f t="shared" ca="1" si="7"/>
        <v>5.5185566973369189E-2</v>
      </c>
      <c r="F84" s="20"/>
      <c r="H84" s="19">
        <f t="array" aca="1" ref="H84:J84" ca="1">TRANSPOSE(MMULT(adjchol,TRANSPOSE(C84:E84)))</f>
        <v>-0.7314927332212211</v>
      </c>
      <c r="I84" s="19">
        <f ca="1"/>
        <v>-0.95512034652078626</v>
      </c>
      <c r="J84" s="19">
        <f ca="1"/>
        <v>-0.12623192466031408</v>
      </c>
      <c r="K84" s="20"/>
      <c r="M84" s="21">
        <f t="shared" ca="1" si="4"/>
        <v>1.2685072667787789E-2</v>
      </c>
      <c r="N84" s="21">
        <f t="shared" ca="1" si="5"/>
        <v>-8.204813860831453E-3</v>
      </c>
      <c r="O84" s="21">
        <f t="shared" ca="1" si="6"/>
        <v>7.1065211300952891E-2</v>
      </c>
    </row>
    <row r="85" spans="2:15">
      <c r="B85" s="12">
        <v>58</v>
      </c>
      <c r="C85" s="19">
        <f t="shared" ca="1" si="7"/>
        <v>0.20112461287318475</v>
      </c>
      <c r="D85" s="19">
        <f t="shared" ca="1" si="7"/>
        <v>-1.5175323201738111</v>
      </c>
      <c r="E85" s="19">
        <f t="shared" ca="1" si="7"/>
        <v>-0.29831009573650147</v>
      </c>
      <c r="F85" s="20"/>
      <c r="H85" s="19">
        <f t="array" aca="1" ref="H85:J85" ca="1">TRANSPOSE(MMULT(adjchol,TRANSPOSE(C85:E85)))</f>
        <v>0.20112461287318475</v>
      </c>
      <c r="I85" s="19">
        <f ca="1"/>
        <v>-0.48046485113357884</v>
      </c>
      <c r="J85" s="19">
        <f ca="1"/>
        <v>0.79796782385636833</v>
      </c>
      <c r="K85" s="20"/>
      <c r="M85" s="21">
        <f t="shared" ca="1" si="4"/>
        <v>2.201124612873185E-2</v>
      </c>
      <c r="N85" s="21">
        <f t="shared" ca="1" si="5"/>
        <v>1.0781405954656844E-2</v>
      </c>
      <c r="O85" s="21">
        <f t="shared" ca="1" si="6"/>
        <v>0.20969517357845524</v>
      </c>
    </row>
    <row r="86" spans="2:15">
      <c r="B86" s="12">
        <v>59</v>
      </c>
      <c r="C86" s="19">
        <f t="shared" ca="1" si="7"/>
        <v>0.34668956583969718</v>
      </c>
      <c r="D86" s="19">
        <f t="shared" ca="1" si="7"/>
        <v>-0.9239840965634778</v>
      </c>
      <c r="E86" s="19">
        <f t="shared" ca="1" si="7"/>
        <v>1.1778250823592495</v>
      </c>
      <c r="F86" s="20"/>
      <c r="H86" s="19">
        <f t="array" aca="1" ref="H86:J86" ca="1">TRANSPOSE(MMULT(adjchol,TRANSPOSE(C86:E86)))</f>
        <v>0.34668956583969718</v>
      </c>
      <c r="I86" s="19">
        <f ca="1"/>
        <v>-9.0734720980165162E-2</v>
      </c>
      <c r="J86" s="19">
        <f ca="1"/>
        <v>1.2970292679110704</v>
      </c>
      <c r="K86" s="20"/>
      <c r="M86" s="21">
        <f t="shared" ca="1" si="4"/>
        <v>2.346689565839697E-2</v>
      </c>
      <c r="N86" s="21">
        <f t="shared" ca="1" si="5"/>
        <v>2.6370611160793391E-2</v>
      </c>
      <c r="O86" s="21">
        <f t="shared" ca="1" si="6"/>
        <v>0.28455439018666057</v>
      </c>
    </row>
    <row r="87" spans="2:15">
      <c r="B87" s="12">
        <v>60</v>
      </c>
      <c r="C87" s="19">
        <f t="shared" ca="1" si="7"/>
        <v>0.3711511800210171</v>
      </c>
      <c r="D87" s="19">
        <f t="shared" ca="1" si="7"/>
        <v>9.9669784926781704E-2</v>
      </c>
      <c r="E87" s="19">
        <f t="shared" ca="1" si="7"/>
        <v>0.89391785610228147</v>
      </c>
      <c r="F87" s="20"/>
      <c r="H87" s="19">
        <f t="array" aca="1" ref="H87:J87" ca="1">TRANSPOSE(MMULT(adjchol,TRANSPOSE(C87:E87)))</f>
        <v>0.3711511800210171</v>
      </c>
      <c r="I87" s="19">
        <f ca="1"/>
        <v>0.37748111404094287</v>
      </c>
      <c r="J87" s="19">
        <f ca="1"/>
        <v>0.63739141127864241</v>
      </c>
      <c r="K87" s="20"/>
      <c r="M87" s="21">
        <f t="shared" ca="1" si="4"/>
        <v>2.371151180021017E-2</v>
      </c>
      <c r="N87" s="21">
        <f t="shared" ca="1" si="5"/>
        <v>4.5099244561637712E-2</v>
      </c>
      <c r="O87" s="21">
        <f t="shared" ca="1" si="6"/>
        <v>0.18560871169179635</v>
      </c>
    </row>
    <row r="88" spans="2:15">
      <c r="B88" s="12">
        <v>61</v>
      </c>
      <c r="C88" s="19">
        <f t="shared" ca="1" si="7"/>
        <v>1.6995282390179214</v>
      </c>
      <c r="D88" s="19">
        <f t="shared" ca="1" si="7"/>
        <v>-2.0018457596301635</v>
      </c>
      <c r="E88" s="19">
        <f t="shared" ca="1" si="7"/>
        <v>-9.3862004914399499E-2</v>
      </c>
      <c r="F88" s="20"/>
      <c r="H88" s="19">
        <f t="array" aca="1" ref="H88:J88" ca="1">TRANSPOSE(MMULT(adjchol,TRANSPOSE(C88:E88)))</f>
        <v>1.6995282390179214</v>
      </c>
      <c r="I88" s="19">
        <f ca="1"/>
        <v>0.6569910784377998</v>
      </c>
      <c r="J88" s="19">
        <f ca="1"/>
        <v>2.2007871852004013</v>
      </c>
      <c r="K88" s="20"/>
      <c r="M88" s="21">
        <f t="shared" ca="1" si="4"/>
        <v>3.6995282390179213E-2</v>
      </c>
      <c r="N88" s="21">
        <f t="shared" ca="1" si="5"/>
        <v>5.6279643137511992E-2</v>
      </c>
      <c r="O88" s="21">
        <f t="shared" ca="1" si="6"/>
        <v>0.42011807778006016</v>
      </c>
    </row>
    <row r="89" spans="2:15">
      <c r="B89" s="12">
        <v>62</v>
      </c>
      <c r="C89" s="19">
        <f t="shared" ca="1" si="7"/>
        <v>-0.11918911456120079</v>
      </c>
      <c r="D89" s="19">
        <f t="shared" ca="1" si="7"/>
        <v>-3.8805445594783293E-2</v>
      </c>
      <c r="E89" s="19">
        <f t="shared" ca="1" si="7"/>
        <v>0.59379015835282556</v>
      </c>
      <c r="F89" s="20"/>
      <c r="H89" s="19">
        <f t="array" aca="1" ref="H89:J89" ca="1">TRANSPOSE(MMULT(adjchol,TRANSPOSE(C89:E89)))</f>
        <v>-0.11918911456120079</v>
      </c>
      <c r="I89" s="19">
        <f ca="1"/>
        <v>-0.12418510468575331</v>
      </c>
      <c r="J89" s="19">
        <f ca="1"/>
        <v>0.22279111482981817</v>
      </c>
      <c r="K89" s="20"/>
      <c r="M89" s="21">
        <f t="shared" ca="1" si="4"/>
        <v>1.8808108854387991E-2</v>
      </c>
      <c r="N89" s="21">
        <f t="shared" ca="1" si="5"/>
        <v>2.5032595812569867E-2</v>
      </c>
      <c r="O89" s="21">
        <f t="shared" ca="1" si="6"/>
        <v>0.12341866722447273</v>
      </c>
    </row>
    <row r="90" spans="2:15">
      <c r="B90" s="12">
        <v>63</v>
      </c>
      <c r="C90" s="19">
        <f t="shared" ca="1" si="7"/>
        <v>-1.0914843412283503E-2</v>
      </c>
      <c r="D90" s="19">
        <f t="shared" ca="1" si="7"/>
        <v>4.9131294840191832E-2</v>
      </c>
      <c r="E90" s="19">
        <f t="shared" ca="1" si="7"/>
        <v>0.94271588457221411</v>
      </c>
      <c r="F90" s="20"/>
      <c r="H90" s="19">
        <f t="array" aca="1" ref="H90:J90" ca="1">TRANSPOSE(MMULT(adjchol,TRANSPOSE(C90:E90)))</f>
        <v>-1.0914843412283503E-2</v>
      </c>
      <c r="I90" s="19">
        <f ca="1"/>
        <v>1.1592475846314594E-2</v>
      </c>
      <c r="J90" s="19">
        <f ca="1"/>
        <v>0.42009504649970597</v>
      </c>
      <c r="K90" s="20"/>
      <c r="M90" s="21">
        <f t="shared" ca="1" si="4"/>
        <v>1.9890851565877166E-2</v>
      </c>
      <c r="N90" s="21">
        <f t="shared" ca="1" si="5"/>
        <v>3.0463699033852584E-2</v>
      </c>
      <c r="O90" s="21">
        <f t="shared" ca="1" si="6"/>
        <v>0.15301425697495591</v>
      </c>
    </row>
    <row r="91" spans="2:15">
      <c r="B91" s="12">
        <v>64</v>
      </c>
      <c r="C91" s="19">
        <f t="shared" ca="1" si="7"/>
        <v>0.28876210476120528</v>
      </c>
      <c r="D91" s="19">
        <f t="shared" ca="1" si="7"/>
        <v>0.7480729711002182</v>
      </c>
      <c r="E91" s="19">
        <f t="shared" ca="1" si="7"/>
        <v>-0.67373747819081642</v>
      </c>
      <c r="F91" s="20"/>
      <c r="H91" s="19">
        <f t="array" aca="1" ref="H91:J91" ca="1">TRANSPOSE(MMULT(adjchol,TRANSPOSE(C91:E91)))</f>
        <v>0.28876210476120528</v>
      </c>
      <c r="I91" s="19">
        <f ca="1"/>
        <v>0.58596334262709204</v>
      </c>
      <c r="J91" s="19">
        <f ca="1"/>
        <v>-0.51681218956561636</v>
      </c>
      <c r="K91" s="20"/>
      <c r="M91" s="21">
        <f t="shared" ca="1" si="4"/>
        <v>2.2887621047612054E-2</v>
      </c>
      <c r="N91" s="21">
        <f t="shared" ca="1" si="5"/>
        <v>5.3438533705083682E-2</v>
      </c>
      <c r="O91" s="21">
        <f t="shared" ca="1" si="6"/>
        <v>1.2478171565157542E-2</v>
      </c>
    </row>
    <row r="92" spans="2:15">
      <c r="B92" s="12">
        <v>65</v>
      </c>
      <c r="C92" s="19">
        <f t="shared" ca="1" si="7"/>
        <v>1.7339280223721677E-3</v>
      </c>
      <c r="D92" s="19">
        <f t="shared" ca="1" si="7"/>
        <v>-0.22794886668249326</v>
      </c>
      <c r="E92" s="19">
        <f t="shared" ca="1" si="7"/>
        <v>-0.78806261650660014</v>
      </c>
      <c r="F92" s="20"/>
      <c r="H92" s="19">
        <f t="array" aca="1" ref="H92:J92" ca="1">TRANSPOSE(MMULT(adjchol,TRANSPOSE(C92:E92)))</f>
        <v>1.7339280223721677E-3</v>
      </c>
      <c r="I92" s="19">
        <f ca="1"/>
        <v>-9.7800072196226398E-2</v>
      </c>
      <c r="J92" s="19">
        <f ca="1"/>
        <v>-0.25774423758692128</v>
      </c>
      <c r="K92" s="20"/>
      <c r="M92" s="21">
        <f t="shared" ref="M92:M127" ca="1" si="8">C$3+H92*C$4</f>
        <v>2.0017339280223721E-2</v>
      </c>
      <c r="N92" s="21">
        <f t="shared" ref="N92:N127" ca="1" si="9">D$3+I92*D$4</f>
        <v>2.6087997112150943E-2</v>
      </c>
      <c r="O92" s="21">
        <f t="shared" ref="O92:O127" ca="1" si="10">E$3+J92*E$4</f>
        <v>5.1338364361961805E-2</v>
      </c>
    </row>
    <row r="93" spans="2:15">
      <c r="B93" s="12">
        <v>66</v>
      </c>
      <c r="C93" s="19">
        <f t="shared" ref="C93:E127" ca="1" si="11">NORMSINV(RAND())</f>
        <v>-6.1192901347893201E-2</v>
      </c>
      <c r="D93" s="19">
        <f t="shared" ca="1" si="11"/>
        <v>-0.2726814193310198</v>
      </c>
      <c r="E93" s="19">
        <f t="shared" ca="1" si="11"/>
        <v>-0.34953518476739659</v>
      </c>
      <c r="F93" s="20"/>
      <c r="H93" s="19">
        <f t="array" aca="1" ref="H93:J93" ca="1">TRANSPOSE(MMULT(adjchol,TRANSPOSE(C93:E93)))</f>
        <v>-6.1192901347893201E-2</v>
      </c>
      <c r="I93" s="19">
        <f ca="1"/>
        <v>-0.17393268627761924</v>
      </c>
      <c r="J93" s="19">
        <f ca="1"/>
        <v>-6.7158587413545662E-2</v>
      </c>
      <c r="K93" s="20"/>
      <c r="M93" s="21">
        <f t="shared" ca="1" si="8"/>
        <v>1.938807098652107E-2</v>
      </c>
      <c r="N93" s="21">
        <f t="shared" ca="1" si="9"/>
        <v>2.3042692548895231E-2</v>
      </c>
      <c r="O93" s="21">
        <f t="shared" ca="1" si="10"/>
        <v>7.992621188796814E-2</v>
      </c>
    </row>
    <row r="94" spans="2:15">
      <c r="B94" s="12">
        <v>67</v>
      </c>
      <c r="C94" s="19">
        <f t="shared" ca="1" si="11"/>
        <v>-0.73497640133917519</v>
      </c>
      <c r="D94" s="19">
        <f t="shared" ca="1" si="11"/>
        <v>1.9668650039266355</v>
      </c>
      <c r="E94" s="19">
        <f t="shared" ca="1" si="11"/>
        <v>0.55548634568211985</v>
      </c>
      <c r="F94" s="20"/>
      <c r="H94" s="19">
        <f t="array" aca="1" ref="H94:J94" ca="1">TRANSPOSE(MMULT(adjchol,TRANSPOSE(C94:E94)))</f>
        <v>-0.73497640133917519</v>
      </c>
      <c r="I94" s="19">
        <f ca="1"/>
        <v>0.19585781756503551</v>
      </c>
      <c r="J94" s="19">
        <f ca="1"/>
        <v>-1.2849972193277188</v>
      </c>
      <c r="K94" s="20"/>
      <c r="M94" s="21">
        <f t="shared" ca="1" si="8"/>
        <v>1.2650235986608249E-2</v>
      </c>
      <c r="N94" s="21">
        <f t="shared" ca="1" si="9"/>
        <v>3.7834312702601416E-2</v>
      </c>
      <c r="O94" s="21">
        <f t="shared" ca="1" si="10"/>
        <v>-0.10274958289915781</v>
      </c>
    </row>
    <row r="95" spans="2:15">
      <c r="B95" s="12">
        <v>68</v>
      </c>
      <c r="C95" s="19">
        <f t="shared" ca="1" si="11"/>
        <v>0.24278987103130839</v>
      </c>
      <c r="D95" s="19">
        <f t="shared" ca="1" si="11"/>
        <v>-2.1828609482569719</v>
      </c>
      <c r="E95" s="19">
        <f t="shared" ca="1" si="11"/>
        <v>0.54472904820622703</v>
      </c>
      <c r="F95" s="20"/>
      <c r="H95" s="19">
        <f t="array" aca="1" ref="H95:J95" ca="1">TRANSPOSE(MMULT(adjchol,TRANSPOSE(C95:E95)))</f>
        <v>0.24278987103130839</v>
      </c>
      <c r="I95" s="19">
        <f ca="1"/>
        <v>-0.73297614419717305</v>
      </c>
      <c r="J95" s="19">
        <f ca="1"/>
        <v>1.5838910514519766</v>
      </c>
      <c r="K95" s="20"/>
      <c r="M95" s="21">
        <f t="shared" ca="1" si="8"/>
        <v>2.2427898710313084E-2</v>
      </c>
      <c r="N95" s="21">
        <f t="shared" ca="1" si="9"/>
        <v>6.8095423211307626E-4</v>
      </c>
      <c r="O95" s="21">
        <f t="shared" ca="1" si="10"/>
        <v>0.32758365771779652</v>
      </c>
    </row>
    <row r="96" spans="2:15">
      <c r="B96" s="12">
        <v>69</v>
      </c>
      <c r="C96" s="19">
        <f t="shared" ca="1" si="11"/>
        <v>0.24994589834648706</v>
      </c>
      <c r="D96" s="19">
        <f t="shared" ca="1" si="11"/>
        <v>-0.83733862037175488</v>
      </c>
      <c r="E96" s="19">
        <f t="shared" ca="1" si="11"/>
        <v>0.4609060430884992</v>
      </c>
      <c r="F96" s="20"/>
      <c r="H96" s="19">
        <f t="array" aca="1" ref="H96:J96" ca="1">TRANSPOSE(MMULT(adjchol,TRANSPOSE(C96:E96)))</f>
        <v>0.24994589834648706</v>
      </c>
      <c r="I96" s="19">
        <f ca="1"/>
        <v>-0.14003613426058631</v>
      </c>
      <c r="J96" s="19">
        <f ca="1"/>
        <v>0.83858923666394203</v>
      </c>
      <c r="K96" s="20"/>
      <c r="M96" s="21">
        <f t="shared" ca="1" si="8"/>
        <v>2.2499458983464872E-2</v>
      </c>
      <c r="N96" s="21">
        <f t="shared" ca="1" si="9"/>
        <v>2.4398554629576547E-2</v>
      </c>
      <c r="O96" s="21">
        <f t="shared" ca="1" si="10"/>
        <v>0.21578838549959128</v>
      </c>
    </row>
    <row r="97" spans="2:15">
      <c r="B97" s="12">
        <v>70</v>
      </c>
      <c r="C97" s="19">
        <f t="shared" ca="1" si="11"/>
        <v>-0.79418575828217608</v>
      </c>
      <c r="D97" s="19">
        <f t="shared" ca="1" si="11"/>
        <v>1.1128274284104622</v>
      </c>
      <c r="E97" s="19">
        <f t="shared" ca="1" si="11"/>
        <v>-0.21301615556204068</v>
      </c>
      <c r="F97" s="20"/>
      <c r="H97" s="19">
        <f t="array" aca="1" ref="H97:J97" ca="1">TRANSPOSE(MMULT(adjchol,TRANSPOSE(C97:E97)))</f>
        <v>-0.79418575828217608</v>
      </c>
      <c r="I97" s="19">
        <f ca="1"/>
        <v>-0.22969695224981379</v>
      </c>
      <c r="J97" s="19">
        <f ca="1"/>
        <v>-1.2456293291288989</v>
      </c>
      <c r="K97" s="20"/>
      <c r="M97" s="21">
        <f t="shared" ca="1" si="8"/>
        <v>1.2058142417178239E-2</v>
      </c>
      <c r="N97" s="21">
        <f t="shared" ca="1" si="9"/>
        <v>2.0812121910007447E-2</v>
      </c>
      <c r="O97" s="21">
        <f t="shared" ca="1" si="10"/>
        <v>-9.6844399369334838E-2</v>
      </c>
    </row>
    <row r="98" spans="2:15">
      <c r="B98" s="12">
        <v>71</v>
      </c>
      <c r="C98" s="19">
        <f t="shared" ca="1" si="11"/>
        <v>-7.812871186957171E-2</v>
      </c>
      <c r="D98" s="19">
        <f t="shared" ca="1" si="11"/>
        <v>-0.24780654816876571</v>
      </c>
      <c r="E98" s="19">
        <f t="shared" ca="1" si="11"/>
        <v>-0.40013546586983206</v>
      </c>
      <c r="F98" s="20"/>
      <c r="H98" s="19">
        <f t="array" aca="1" ref="H98:J98" ca="1">TRANSPOSE(MMULT(adjchol,TRANSPOSE(C98:E98)))</f>
        <v>-7.812871186957171E-2</v>
      </c>
      <c r="I98" s="19">
        <f ca="1"/>
        <v>-0.17833221078414391</v>
      </c>
      <c r="J98" s="19">
        <f ca="1"/>
        <v>-0.11648923080589918</v>
      </c>
      <c r="K98" s="20"/>
      <c r="M98" s="21">
        <f t="shared" ca="1" si="8"/>
        <v>1.9218712881304282E-2</v>
      </c>
      <c r="N98" s="21">
        <f t="shared" ca="1" si="9"/>
        <v>2.2866711568634242E-2</v>
      </c>
      <c r="O98" s="21">
        <f t="shared" ca="1" si="10"/>
        <v>7.2526615379115117E-2</v>
      </c>
    </row>
    <row r="99" spans="2:15">
      <c r="B99" s="12">
        <v>72</v>
      </c>
      <c r="C99" s="19">
        <f t="shared" ca="1" si="11"/>
        <v>0.13493555164732621</v>
      </c>
      <c r="D99" s="19">
        <f t="shared" ca="1" si="11"/>
        <v>-1.1155362645164963</v>
      </c>
      <c r="E99" s="19">
        <f t="shared" ca="1" si="11"/>
        <v>8.448681935461283E-2</v>
      </c>
      <c r="F99" s="20"/>
      <c r="H99" s="19">
        <f t="array" aca="1" ref="H99:J99" ca="1">TRANSPOSE(MMULT(adjchol,TRANSPOSE(C99:E99)))</f>
        <v>0.13493555164732621</v>
      </c>
      <c r="I99" s="19">
        <f ca="1"/>
        <v>-0.36480898800563288</v>
      </c>
      <c r="J99" s="19">
        <f ca="1"/>
        <v>0.72373179559797496</v>
      </c>
      <c r="K99" s="20"/>
      <c r="M99" s="21">
        <f t="shared" ca="1" si="8"/>
        <v>2.1349355516473264E-2</v>
      </c>
      <c r="N99" s="21">
        <f t="shared" ca="1" si="9"/>
        <v>1.5407640479774684E-2</v>
      </c>
      <c r="O99" s="21">
        <f t="shared" ca="1" si="10"/>
        <v>0.19855976933969624</v>
      </c>
    </row>
    <row r="100" spans="2:15">
      <c r="B100" s="12">
        <v>73</v>
      </c>
      <c r="C100" s="19">
        <f t="shared" ca="1" si="11"/>
        <v>-2.676150185686639E-2</v>
      </c>
      <c r="D100" s="19">
        <f t="shared" ca="1" si="11"/>
        <v>0.69286638868066752</v>
      </c>
      <c r="E100" s="19">
        <f t="shared" ca="1" si="11"/>
        <v>-0.73327560413537007</v>
      </c>
      <c r="F100" s="20"/>
      <c r="H100" s="19">
        <f t="array" aca="1" ref="H100:J100" ca="1">TRANSPOSE(MMULT(adjchol,TRANSPOSE(C100:E100)))</f>
        <v>-2.676150185686639E-2</v>
      </c>
      <c r="I100" s="19">
        <f ca="1"/>
        <v>0.27792810529232054</v>
      </c>
      <c r="J100" s="19">
        <f ca="1"/>
        <v>-0.73719994352618534</v>
      </c>
      <c r="K100" s="20"/>
      <c r="M100" s="21">
        <f t="shared" ca="1" si="8"/>
        <v>1.9732384981431338E-2</v>
      </c>
      <c r="N100" s="21">
        <f t="shared" ca="1" si="9"/>
        <v>4.1117124211692821E-2</v>
      </c>
      <c r="O100" s="21">
        <f t="shared" ca="1" si="10"/>
        <v>-2.0579991528927796E-2</v>
      </c>
    </row>
    <row r="101" spans="2:15">
      <c r="B101" s="12">
        <v>74</v>
      </c>
      <c r="C101" s="19">
        <f t="shared" ca="1" si="11"/>
        <v>-2.6450534607006498E-2</v>
      </c>
      <c r="D101" s="19">
        <f t="shared" ca="1" si="11"/>
        <v>1.6212872664093907</v>
      </c>
      <c r="E101" s="19">
        <f t="shared" ca="1" si="11"/>
        <v>-0.80497245048318067</v>
      </c>
      <c r="F101" s="20"/>
      <c r="H101" s="19">
        <f t="array" aca="1" ref="H101:J101" ca="1">TRANSPOSE(MMULT(adjchol,TRANSPOSE(C101:E101)))</f>
        <v>-2.6450534607006498E-2</v>
      </c>
      <c r="I101" s="19">
        <f ca="1"/>
        <v>0.68289725412647795</v>
      </c>
      <c r="J101" s="19">
        <f ca="1"/>
        <v>-1.2613717102199269</v>
      </c>
      <c r="K101" s="20"/>
      <c r="M101" s="21">
        <f t="shared" ca="1" si="8"/>
        <v>1.9735494653929934E-2</v>
      </c>
      <c r="N101" s="21">
        <f t="shared" ca="1" si="9"/>
        <v>5.7315890165059113E-2</v>
      </c>
      <c r="O101" s="21">
        <f t="shared" ca="1" si="10"/>
        <v>-9.920575653298902E-2</v>
      </c>
    </row>
    <row r="102" spans="2:15">
      <c r="B102" s="12">
        <v>75</v>
      </c>
      <c r="C102" s="19">
        <f t="shared" ca="1" si="11"/>
        <v>0.65086358771010777</v>
      </c>
      <c r="D102" s="19">
        <f t="shared" ca="1" si="11"/>
        <v>0.355231040834525</v>
      </c>
      <c r="E102" s="19">
        <f t="shared" ca="1" si="11"/>
        <v>1.6559570580813878</v>
      </c>
      <c r="F102" s="20"/>
      <c r="H102" s="19">
        <f t="array" aca="1" ref="H102:J102" ca="1">TRANSPOSE(MMULT(adjchol,TRANSPOSE(C102:E102)))</f>
        <v>0.65086358771010777</v>
      </c>
      <c r="I102" s="19">
        <f ca="1"/>
        <v>0.74061884979974346</v>
      </c>
      <c r="J102" s="19">
        <f ca="1"/>
        <v>1.0650550790520978</v>
      </c>
      <c r="K102" s="20"/>
      <c r="M102" s="21">
        <f t="shared" ca="1" si="8"/>
        <v>2.6508635877101078E-2</v>
      </c>
      <c r="N102" s="21">
        <f t="shared" ca="1" si="9"/>
        <v>5.9624753991989743E-2</v>
      </c>
      <c r="O102" s="21">
        <f t="shared" ca="1" si="10"/>
        <v>0.24975826185781466</v>
      </c>
    </row>
    <row r="103" spans="2:15">
      <c r="B103" s="12">
        <v>76</v>
      </c>
      <c r="C103" s="19">
        <f t="shared" ca="1" si="11"/>
        <v>1.844002526782609E-2</v>
      </c>
      <c r="D103" s="19">
        <f t="shared" ca="1" si="11"/>
        <v>-4.8433101690020609E-2</v>
      </c>
      <c r="E103" s="19">
        <f t="shared" ca="1" si="11"/>
        <v>-1.9836563562473137</v>
      </c>
      <c r="F103" s="20"/>
      <c r="H103" s="19">
        <f t="array" aca="1" ref="H103:J103" ca="1">TRANSPOSE(MMULT(adjchol,TRANSPOSE(C103:E103)))</f>
        <v>1.844002526782609E-2</v>
      </c>
      <c r="I103" s="19">
        <f ca="1"/>
        <v>-4.5154768378593974E-3</v>
      </c>
      <c r="J103" s="19">
        <f ca="1"/>
        <v>-0.91612396834563803</v>
      </c>
      <c r="K103" s="20"/>
      <c r="M103" s="21">
        <f t="shared" ca="1" si="8"/>
        <v>2.0184400252678262E-2</v>
      </c>
      <c r="N103" s="21">
        <f t="shared" ca="1" si="9"/>
        <v>2.9819380926485624E-2</v>
      </c>
      <c r="O103" s="21">
        <f t="shared" ca="1" si="10"/>
        <v>-4.7418595251845691E-2</v>
      </c>
    </row>
    <row r="104" spans="2:15">
      <c r="B104" s="12">
        <v>77</v>
      </c>
      <c r="C104" s="19">
        <f t="shared" ca="1" si="11"/>
        <v>0.93446606150237288</v>
      </c>
      <c r="D104" s="19">
        <f t="shared" ca="1" si="11"/>
        <v>-2.5218347889943553</v>
      </c>
      <c r="E104" s="19">
        <f t="shared" ca="1" si="11"/>
        <v>1.3365361297807021</v>
      </c>
      <c r="F104" s="20"/>
      <c r="H104" s="19">
        <f t="array" aca="1" ref="H104:J104" ca="1">TRANSPOSE(MMULT(adjchol,TRANSPOSE(C104:E104)))</f>
        <v>0.93446606150237288</v>
      </c>
      <c r="I104" s="19">
        <f ca="1"/>
        <v>-0.25822284440102539</v>
      </c>
      <c r="J104" s="19">
        <f ca="1"/>
        <v>2.6279645824476372</v>
      </c>
      <c r="K104" s="20"/>
      <c r="M104" s="21">
        <f t="shared" ca="1" si="8"/>
        <v>2.9344660615023728E-2</v>
      </c>
      <c r="N104" s="21">
        <f t="shared" ca="1" si="9"/>
        <v>1.9671086223958981E-2</v>
      </c>
      <c r="O104" s="21">
        <f t="shared" ca="1" si="10"/>
        <v>0.48419468736714555</v>
      </c>
    </row>
    <row r="105" spans="2:15">
      <c r="B105" s="12">
        <v>78</v>
      </c>
      <c r="C105" s="19">
        <f t="shared" ca="1" si="11"/>
        <v>-0.42753639951958422</v>
      </c>
      <c r="D105" s="19">
        <f t="shared" ca="1" si="11"/>
        <v>0.20367381463380521</v>
      </c>
      <c r="E105" s="19">
        <f t="shared" ca="1" si="11"/>
        <v>-2.4335900585276136</v>
      </c>
      <c r="F105" s="20"/>
      <c r="H105" s="19">
        <f t="array" aca="1" ref="H105:J105" ca="1">TRANSPOSE(MMULT(adjchol,TRANSPOSE(C105:E105)))</f>
        <v>-0.42753639951958422</v>
      </c>
      <c r="I105" s="19">
        <f ca="1"/>
        <v>-0.29600340202420661</v>
      </c>
      <c r="J105" s="19">
        <f ca="1"/>
        <v>-1.5778532623218413</v>
      </c>
      <c r="K105" s="20"/>
      <c r="M105" s="21">
        <f t="shared" ca="1" si="8"/>
        <v>1.5724636004804157E-2</v>
      </c>
      <c r="N105" s="21">
        <f t="shared" ca="1" si="9"/>
        <v>1.8159863919031734E-2</v>
      </c>
      <c r="O105" s="21">
        <f t="shared" ca="1" si="10"/>
        <v>-0.14667798934827619</v>
      </c>
    </row>
    <row r="106" spans="2:15">
      <c r="B106" s="12">
        <v>79</v>
      </c>
      <c r="C106" s="19">
        <f t="shared" ca="1" si="11"/>
        <v>-0.7033732301182769</v>
      </c>
      <c r="D106" s="19">
        <f t="shared" ca="1" si="11"/>
        <v>-0.94439888379987746</v>
      </c>
      <c r="E106" s="19">
        <f t="shared" ca="1" si="11"/>
        <v>0.97269721524736685</v>
      </c>
      <c r="F106" s="20"/>
      <c r="H106" s="19">
        <f t="array" aca="1" ref="H106:J106" ca="1">TRANSPOSE(MMULT(adjchol,TRANSPOSE(C106:E106)))</f>
        <v>-0.7033732301182769</v>
      </c>
      <c r="I106" s="19">
        <f ca="1"/>
        <v>-1.0446898367940769</v>
      </c>
      <c r="J106" s="19">
        <f ca="1"/>
        <v>0.47404433335427304</v>
      </c>
      <c r="K106" s="20"/>
      <c r="M106" s="21">
        <f t="shared" ca="1" si="8"/>
        <v>1.2966267698817232E-2</v>
      </c>
      <c r="N106" s="21">
        <f t="shared" ca="1" si="9"/>
        <v>-1.1787593471763079E-2</v>
      </c>
      <c r="O106" s="21">
        <f t="shared" ca="1" si="10"/>
        <v>0.16110665000314095</v>
      </c>
    </row>
    <row r="107" spans="2:15">
      <c r="B107" s="12">
        <v>80</v>
      </c>
      <c r="C107" s="19">
        <f t="shared" ca="1" si="11"/>
        <v>1.6772587695291907</v>
      </c>
      <c r="D107" s="19">
        <f t="shared" ca="1" si="11"/>
        <v>-0.75250534319922879</v>
      </c>
      <c r="E107" s="19">
        <f t="shared" ca="1" si="11"/>
        <v>-1.8707755622279096</v>
      </c>
      <c r="F107" s="20"/>
      <c r="H107" s="19">
        <f t="array" aca="1" ref="H107:J107" ca="1">TRANSPOSE(MMULT(adjchol,TRANSPOSE(C107:E107)))</f>
        <v>1.6772587695291907</v>
      </c>
      <c r="I107" s="19">
        <f ca="1"/>
        <v>1.1815234180282888</v>
      </c>
      <c r="J107" s="19">
        <f ca="1"/>
        <v>0.67087845738268093</v>
      </c>
      <c r="K107" s="20"/>
      <c r="M107" s="21">
        <f t="shared" ca="1" si="8"/>
        <v>3.677258769529191E-2</v>
      </c>
      <c r="N107" s="21">
        <f t="shared" ca="1" si="9"/>
        <v>7.7260936721131546E-2</v>
      </c>
      <c r="O107" s="21">
        <f t="shared" ca="1" si="10"/>
        <v>0.19063176860740214</v>
      </c>
    </row>
    <row r="108" spans="2:15">
      <c r="B108" s="12">
        <v>81</v>
      </c>
      <c r="C108" s="19">
        <f t="shared" ca="1" si="11"/>
        <v>1.8650086993517228</v>
      </c>
      <c r="D108" s="19">
        <f t="shared" ca="1" si="11"/>
        <v>-0.38365121938477309</v>
      </c>
      <c r="E108" s="19">
        <f t="shared" ca="1" si="11"/>
        <v>0.25947189636860385</v>
      </c>
      <c r="F108" s="20"/>
      <c r="H108" s="19">
        <f t="array" aca="1" ref="H108:J108" ca="1">TRANSPOSE(MMULT(adjchol,TRANSPOSE(C108:E108)))</f>
        <v>1.8650086993517228</v>
      </c>
      <c r="I108" s="19">
        <f ca="1"/>
        <v>1.5112781399301127</v>
      </c>
      <c r="J108" s="19">
        <f ca="1"/>
        <v>1.6328067828152897</v>
      </c>
      <c r="K108" s="20"/>
      <c r="M108" s="21">
        <f t="shared" ca="1" si="8"/>
        <v>3.8650086993517227E-2</v>
      </c>
      <c r="N108" s="21">
        <f t="shared" ca="1" si="9"/>
        <v>9.0451125597204501E-2</v>
      </c>
      <c r="O108" s="21">
        <f t="shared" ca="1" si="10"/>
        <v>0.33492101742229341</v>
      </c>
    </row>
    <row r="109" spans="2:15">
      <c r="B109" s="12">
        <v>82</v>
      </c>
      <c r="C109" s="19">
        <f t="shared" ca="1" si="11"/>
        <v>0.30073905631439923</v>
      </c>
      <c r="D109" s="19">
        <f t="shared" ca="1" si="11"/>
        <v>0.70719047685018965</v>
      </c>
      <c r="E109" s="19">
        <f t="shared" ca="1" si="11"/>
        <v>-0.71665559917526522</v>
      </c>
      <c r="F109" s="20"/>
      <c r="H109" s="19">
        <f t="array" aca="1" ref="H109:J109" ca="1">TRANSPOSE(MMULT(adjchol,TRANSPOSE(C109:E109)))</f>
        <v>0.30073905631439923</v>
      </c>
      <c r="I109" s="19">
        <f ca="1"/>
        <v>0.57892233292539097</v>
      </c>
      <c r="J109" s="19">
        <f ca="1"/>
        <v>-0.50750975969512413</v>
      </c>
      <c r="K109" s="20"/>
      <c r="M109" s="21">
        <f t="shared" ca="1" si="8"/>
        <v>2.3007390563143992E-2</v>
      </c>
      <c r="N109" s="21">
        <f t="shared" ca="1" si="9"/>
        <v>5.315689331701564E-2</v>
      </c>
      <c r="O109" s="21">
        <f t="shared" ca="1" si="10"/>
        <v>1.3873536045731383E-2</v>
      </c>
    </row>
    <row r="110" spans="2:15">
      <c r="B110" s="12">
        <v>83</v>
      </c>
      <c r="C110" s="19">
        <f t="shared" ca="1" si="11"/>
        <v>-0.57937517822759532</v>
      </c>
      <c r="D110" s="19">
        <f t="shared" ca="1" si="11"/>
        <v>-1.1325176655469722</v>
      </c>
      <c r="E110" s="19">
        <f t="shared" ca="1" si="11"/>
        <v>-2.0431917903821111</v>
      </c>
      <c r="F110" s="20"/>
      <c r="H110" s="19">
        <f t="array" aca="1" ref="H110:J110" ca="1">TRANSPOSE(MMULT(adjchol,TRANSPOSE(C110:E110)))</f>
        <v>-0.57937517822759532</v>
      </c>
      <c r="I110" s="19">
        <f ca="1"/>
        <v>-1.0150906659942205</v>
      </c>
      <c r="J110" s="19">
        <f ca="1"/>
        <v>-0.79122071124829185</v>
      </c>
      <c r="K110" s="20"/>
      <c r="M110" s="21">
        <f t="shared" ca="1" si="8"/>
        <v>1.4206248217724048E-2</v>
      </c>
      <c r="N110" s="21">
        <f t="shared" ca="1" si="9"/>
        <v>-1.0603626639768819E-2</v>
      </c>
      <c r="O110" s="21">
        <f t="shared" ca="1" si="10"/>
        <v>-2.8683106687243776E-2</v>
      </c>
    </row>
    <row r="111" spans="2:15">
      <c r="B111" s="12">
        <v>84</v>
      </c>
      <c r="C111" s="19">
        <f t="shared" ca="1" si="11"/>
        <v>0.50693807994914686</v>
      </c>
      <c r="D111" s="19">
        <f t="shared" ca="1" si="11"/>
        <v>0.38768214865759015</v>
      </c>
      <c r="E111" s="19">
        <f t="shared" ca="1" si="11"/>
        <v>-1.7697439421339174</v>
      </c>
      <c r="F111" s="20"/>
      <c r="H111" s="19">
        <f t="array" aca="1" ref="H111:J111" ca="1">TRANSPOSE(MMULT(adjchol,TRANSPOSE(C111:E111)))</f>
        <v>0.50693807994914686</v>
      </c>
      <c r="I111" s="19">
        <f ca="1"/>
        <v>0.625231002775547</v>
      </c>
      <c r="J111" s="19">
        <f ca="1"/>
        <v>-0.70135391752136744</v>
      </c>
      <c r="K111" s="20"/>
      <c r="M111" s="21">
        <f t="shared" ca="1" si="8"/>
        <v>2.5069380799491468E-2</v>
      </c>
      <c r="N111" s="21">
        <f t="shared" ca="1" si="9"/>
        <v>5.500924011102188E-2</v>
      </c>
      <c r="O111" s="21">
        <f t="shared" ca="1" si="10"/>
        <v>-1.5203087628205117E-2</v>
      </c>
    </row>
    <row r="112" spans="2:15">
      <c r="B112" s="12">
        <v>85</v>
      </c>
      <c r="C112" s="19">
        <f t="shared" ca="1" si="11"/>
        <v>-0.73997411607219055</v>
      </c>
      <c r="D112" s="19">
        <f t="shared" ca="1" si="11"/>
        <v>-0.52864990989894223</v>
      </c>
      <c r="E112" s="19">
        <f t="shared" ca="1" si="11"/>
        <v>-0.58082915707334115</v>
      </c>
      <c r="F112" s="20"/>
      <c r="H112" s="19">
        <f t="array" aca="1" ref="H112:J112" ca="1">TRANSPOSE(MMULT(adjchol,TRANSPOSE(C112:E112)))</f>
        <v>-0.73997411607219055</v>
      </c>
      <c r="I112" s="19">
        <f ca="1"/>
        <v>-0.8964098578411086</v>
      </c>
      <c r="J112" s="19">
        <f ca="1"/>
        <v>-0.5185468692651205</v>
      </c>
      <c r="K112" s="20"/>
      <c r="M112" s="21">
        <f t="shared" ca="1" si="8"/>
        <v>1.2600258839278095E-2</v>
      </c>
      <c r="N112" s="21">
        <f t="shared" ca="1" si="9"/>
        <v>-5.8563943136443475E-3</v>
      </c>
      <c r="O112" s="21">
        <f t="shared" ca="1" si="10"/>
        <v>1.221796961023193E-2</v>
      </c>
    </row>
    <row r="113" spans="2:15">
      <c r="B113" s="12">
        <v>86</v>
      </c>
      <c r="C113" s="19">
        <f t="shared" ca="1" si="11"/>
        <v>0.43534923251400487</v>
      </c>
      <c r="D113" s="19">
        <f t="shared" ca="1" si="11"/>
        <v>-0.43882857804463998</v>
      </c>
      <c r="E113" s="19">
        <f t="shared" ca="1" si="11"/>
        <v>-1.1153257398069849</v>
      </c>
      <c r="F113" s="20"/>
      <c r="H113" s="19">
        <f t="array" aca="1" ref="H113:J113" ca="1">TRANSPOSE(MMULT(adjchol,TRANSPOSE(C113:E113)))</f>
        <v>0.43534923251400487</v>
      </c>
      <c r="I113" s="19">
        <f ca="1"/>
        <v>0.20053336673918074</v>
      </c>
      <c r="J113" s="19">
        <f ca="1"/>
        <v>-4.2922828699598625E-4</v>
      </c>
      <c r="K113" s="20"/>
      <c r="M113" s="21">
        <f t="shared" ca="1" si="8"/>
        <v>2.4353492325140051E-2</v>
      </c>
      <c r="N113" s="21">
        <f t="shared" ca="1" si="9"/>
        <v>3.8021334669567225E-2</v>
      </c>
      <c r="O113" s="21">
        <f t="shared" ca="1" si="10"/>
        <v>8.9935615756950596E-2</v>
      </c>
    </row>
    <row r="114" spans="2:15">
      <c r="B114" s="12">
        <v>87</v>
      </c>
      <c r="C114" s="19">
        <f t="shared" ca="1" si="11"/>
        <v>0.19743658821153454</v>
      </c>
      <c r="D114" s="19">
        <f t="shared" ca="1" si="11"/>
        <v>-5.3357937624971229E-2</v>
      </c>
      <c r="E114" s="19">
        <f t="shared" ca="1" si="11"/>
        <v>1.9375018130657424</v>
      </c>
      <c r="F114" s="20"/>
      <c r="H114" s="19">
        <f t="array" aca="1" ref="H114:J114" ca="1">TRANSPOSE(MMULT(adjchol,TRANSPOSE(C114:E114)))</f>
        <v>0.19743658821153454</v>
      </c>
      <c r="I114" s="19">
        <f ca="1"/>
        <v>0.15443474359608148</v>
      </c>
      <c r="J114" s="19">
        <f ca="1"/>
        <v>1.0987374801273464</v>
      </c>
      <c r="K114" s="20"/>
      <c r="M114" s="21">
        <f t="shared" ca="1" si="8"/>
        <v>2.1974365882115345E-2</v>
      </c>
      <c r="N114" s="21">
        <f t="shared" ca="1" si="9"/>
        <v>3.6177389743843255E-2</v>
      </c>
      <c r="O114" s="21">
        <f t="shared" ca="1" si="10"/>
        <v>0.25481062201910198</v>
      </c>
    </row>
    <row r="115" spans="2:15">
      <c r="B115" s="12">
        <v>88</v>
      </c>
      <c r="C115" s="19">
        <f t="shared" ca="1" si="11"/>
        <v>0.20835762230327476</v>
      </c>
      <c r="D115" s="19">
        <f t="shared" ca="1" si="11"/>
        <v>0.6839873129298657</v>
      </c>
      <c r="E115" s="19">
        <f t="shared" ca="1" si="11"/>
        <v>-0.49594795017874027</v>
      </c>
      <c r="F115" s="20"/>
      <c r="H115" s="19">
        <f t="array" aca="1" ref="H115:J115" ca="1">TRANSPOSE(MMULT(adjchol,TRANSPOSE(C115:E115)))</f>
        <v>0.20835762230327476</v>
      </c>
      <c r="I115" s="19">
        <f ca="1"/>
        <v>0.48566501764546882</v>
      </c>
      <c r="J115" s="19">
        <f ca="1"/>
        <v>-0.45372310032848706</v>
      </c>
      <c r="K115" s="20"/>
      <c r="M115" s="21">
        <f t="shared" ca="1" si="8"/>
        <v>2.2083576223032749E-2</v>
      </c>
      <c r="N115" s="21">
        <f t="shared" ca="1" si="9"/>
        <v>4.9426600705818752E-2</v>
      </c>
      <c r="O115" s="21">
        <f t="shared" ca="1" si="10"/>
        <v>2.194153495072694E-2</v>
      </c>
    </row>
    <row r="116" spans="2:15">
      <c r="B116" s="12">
        <v>89</v>
      </c>
      <c r="C116" s="19">
        <f t="shared" ca="1" si="11"/>
        <v>0.36456592541656457</v>
      </c>
      <c r="D116" s="19">
        <f t="shared" ca="1" si="11"/>
        <v>0.52706513461851001</v>
      </c>
      <c r="E116" s="19">
        <f t="shared" ca="1" si="11"/>
        <v>-0.47684013711593465</v>
      </c>
      <c r="F116" s="20"/>
      <c r="H116" s="19">
        <f t="array" aca="1" ref="H116:J116" ca="1">TRANSPOSE(MMULT(adjchol,TRANSPOSE(C116:E116)))</f>
        <v>0.36456592541656457</v>
      </c>
      <c r="I116" s="19">
        <f ca="1"/>
        <v>0.55785169872148266</v>
      </c>
      <c r="J116" s="19">
        <f ca="1"/>
        <v>-0.25238114368034892</v>
      </c>
      <c r="K116" s="20"/>
      <c r="M116" s="21">
        <f t="shared" ca="1" si="8"/>
        <v>2.3645659254165646E-2</v>
      </c>
      <c r="N116" s="21">
        <f t="shared" ca="1" si="9"/>
        <v>5.2314067948859302E-2</v>
      </c>
      <c r="O116" s="21">
        <f t="shared" ca="1" si="10"/>
        <v>5.214282844794766E-2</v>
      </c>
    </row>
    <row r="117" spans="2:15">
      <c r="B117" s="12">
        <v>90</v>
      </c>
      <c r="C117" s="19">
        <f t="shared" ca="1" si="11"/>
        <v>1.1246668756582494</v>
      </c>
      <c r="D117" s="19">
        <f t="shared" ca="1" si="11"/>
        <v>3.6669678954629141</v>
      </c>
      <c r="E117" s="19">
        <f t="shared" ca="1" si="11"/>
        <v>-0.86974863091130805</v>
      </c>
      <c r="F117" s="20"/>
      <c r="H117" s="19">
        <f t="array" aca="1" ref="H117:J117" ca="1">TRANSPOSE(MMULT(adjchol,TRANSPOSE(C117:E117)))</f>
        <v>1.1246668756582494</v>
      </c>
      <c r="I117" s="19">
        <f ca="1"/>
        <v>2.6105944366455107</v>
      </c>
      <c r="J117" s="19">
        <f ca="1"/>
        <v>-1.5661775802233515</v>
      </c>
      <c r="K117" s="20"/>
      <c r="M117" s="21">
        <f t="shared" ca="1" si="8"/>
        <v>3.1246668756582496E-2</v>
      </c>
      <c r="N117" s="21">
        <f t="shared" ca="1" si="9"/>
        <v>0.13442377746582043</v>
      </c>
      <c r="O117" s="21">
        <f t="shared" ca="1" si="10"/>
        <v>-0.14492663703350273</v>
      </c>
    </row>
    <row r="118" spans="2:15">
      <c r="B118" s="12">
        <v>91</v>
      </c>
      <c r="C118" s="19">
        <f t="shared" ca="1" si="11"/>
        <v>-0.81201239776254786</v>
      </c>
      <c r="D118" s="19">
        <f t="shared" ca="1" si="11"/>
        <v>-0.64321955624245064</v>
      </c>
      <c r="E118" s="19">
        <f t="shared" ca="1" si="11"/>
        <v>-0.37517883129810425</v>
      </c>
      <c r="F118" s="20"/>
      <c r="H118" s="19">
        <f t="array" aca="1" ref="H118:J118" ca="1">TRANSPOSE(MMULT(adjchol,TRANSPOSE(C118:E118)))</f>
        <v>-0.81201239776254786</v>
      </c>
      <c r="I118" s="19">
        <f ca="1"/>
        <v>-1.0111840624032848</v>
      </c>
      <c r="J118" s="19">
        <f ca="1"/>
        <v>-0.40955589645760571</v>
      </c>
      <c r="K118" s="20"/>
      <c r="M118" s="21">
        <f t="shared" ca="1" si="8"/>
        <v>1.1879876022374522E-2</v>
      </c>
      <c r="N118" s="21">
        <f t="shared" ca="1" si="9"/>
        <v>-1.0447362496131395E-2</v>
      </c>
      <c r="O118" s="21">
        <f t="shared" ca="1" si="10"/>
        <v>2.8566615531359141E-2</v>
      </c>
    </row>
    <row r="119" spans="2:15">
      <c r="B119" s="12">
        <v>92</v>
      </c>
      <c r="C119" s="19">
        <f t="shared" ca="1" si="11"/>
        <v>-0.92762176791230799</v>
      </c>
      <c r="D119" s="19">
        <f t="shared" ca="1" si="11"/>
        <v>0.94742800438012409</v>
      </c>
      <c r="E119" s="19">
        <f t="shared" ca="1" si="11"/>
        <v>-1.499628099948956</v>
      </c>
      <c r="F119" s="20"/>
      <c r="H119" s="19">
        <f t="array" aca="1" ref="H119:J119" ca="1">TRANSPOSE(MMULT(adjchol,TRANSPOSE(C119:E119)))</f>
        <v>-0.92762176791230799</v>
      </c>
      <c r="I119" s="19">
        <f ca="1"/>
        <v>-0.42188529838374011</v>
      </c>
      <c r="J119" s="19">
        <f ca="1"/>
        <v>-1.8709122732592913</v>
      </c>
      <c r="K119" s="20"/>
      <c r="M119" s="21">
        <f t="shared" ca="1" si="8"/>
        <v>1.072378232087692E-2</v>
      </c>
      <c r="N119" s="21">
        <f t="shared" ca="1" si="9"/>
        <v>1.3124588064650392E-2</v>
      </c>
      <c r="O119" s="21">
        <f t="shared" ca="1" si="10"/>
        <v>-0.19063684098889369</v>
      </c>
    </row>
    <row r="120" spans="2:15">
      <c r="B120" s="12">
        <v>93</v>
      </c>
      <c r="C120" s="19">
        <f t="shared" ca="1" si="11"/>
        <v>-0.11551333735544732</v>
      </c>
      <c r="D120" s="19">
        <f t="shared" ca="1" si="11"/>
        <v>-0.85868568730646533</v>
      </c>
      <c r="E120" s="19">
        <f t="shared" ca="1" si="11"/>
        <v>-0.98299396235339687</v>
      </c>
      <c r="F120" s="20"/>
      <c r="H120" s="19">
        <f t="array" aca="1" ref="H120:J120" ca="1">TRANSPOSE(MMULT(adjchol,TRANSPOSE(C120:E120)))</f>
        <v>-0.11551333735544732</v>
      </c>
      <c r="I120" s="19">
        <f ca="1"/>
        <v>-0.47825441714326744</v>
      </c>
      <c r="J120" s="19">
        <f ca="1"/>
        <v>-0.10081126693449172</v>
      </c>
      <c r="K120" s="20"/>
      <c r="M120" s="21">
        <f t="shared" ca="1" si="8"/>
        <v>1.8844866626445526E-2</v>
      </c>
      <c r="N120" s="21">
        <f t="shared" ca="1" si="9"/>
        <v>1.0869823314269302E-2</v>
      </c>
      <c r="O120" s="21">
        <f t="shared" ca="1" si="10"/>
        <v>7.4878309959826236E-2</v>
      </c>
    </row>
    <row r="121" spans="2:15">
      <c r="B121" s="12">
        <v>94</v>
      </c>
      <c r="C121" s="19">
        <f t="shared" ca="1" si="11"/>
        <v>0.56949773813993432</v>
      </c>
      <c r="D121" s="19">
        <f t="shared" ca="1" si="11"/>
        <v>-0.96065153920636348</v>
      </c>
      <c r="E121" s="19">
        <f t="shared" ca="1" si="11"/>
        <v>0.22608442083514022</v>
      </c>
      <c r="F121" s="20"/>
      <c r="H121" s="19">
        <f t="array" aca="1" ref="H121:J121" ca="1">TRANSPOSE(MMULT(adjchol,TRANSPOSE(C121:E121)))</f>
        <v>0.56949773813993432</v>
      </c>
      <c r="I121" s="19">
        <f ca="1"/>
        <v>9.3809666390206936E-2</v>
      </c>
      <c r="J121" s="19">
        <f ca="1"/>
        <v>1.0143399610413313</v>
      </c>
      <c r="K121" s="20"/>
      <c r="M121" s="21">
        <f t="shared" ca="1" si="8"/>
        <v>2.5694977381399343E-2</v>
      </c>
      <c r="N121" s="21">
        <f t="shared" ca="1" si="9"/>
        <v>3.3752386655608278E-2</v>
      </c>
      <c r="O121" s="21">
        <f t="shared" ca="1" si="10"/>
        <v>0.24215099415619967</v>
      </c>
    </row>
    <row r="122" spans="2:15">
      <c r="B122" s="12">
        <v>95</v>
      </c>
      <c r="C122" s="19">
        <f t="shared" ca="1" si="11"/>
        <v>0.93691948392395796</v>
      </c>
      <c r="D122" s="19">
        <f t="shared" ca="1" si="11"/>
        <v>1.1536052845361875</v>
      </c>
      <c r="E122" s="19">
        <f t="shared" ca="1" si="11"/>
        <v>0.58060831258238166</v>
      </c>
      <c r="F122" s="20"/>
      <c r="H122" s="19">
        <f t="array" aca="1" ref="H122:J122" ca="1">TRANSPOSE(MMULT(adjchol,TRANSPOSE(C122:E122)))</f>
        <v>0.93691948392395796</v>
      </c>
      <c r="I122" s="19">
        <f ca="1"/>
        <v>1.3460724211343347</v>
      </c>
      <c r="J122" s="19">
        <f ca="1"/>
        <v>0.32654077994908787</v>
      </c>
      <c r="K122" s="20"/>
      <c r="M122" s="21">
        <f t="shared" ca="1" si="8"/>
        <v>2.9369194839239582E-2</v>
      </c>
      <c r="N122" s="21">
        <f t="shared" ca="1" si="9"/>
        <v>8.3842896845373382E-2</v>
      </c>
      <c r="O122" s="21">
        <f t="shared" ca="1" si="10"/>
        <v>0.13898111699236318</v>
      </c>
    </row>
    <row r="123" spans="2:15">
      <c r="B123" s="12">
        <v>96</v>
      </c>
      <c r="C123" s="19">
        <f t="shared" ca="1" si="11"/>
        <v>-0.21795316885233554</v>
      </c>
      <c r="D123" s="19">
        <f t="shared" ca="1" si="11"/>
        <v>1.0143357695682174</v>
      </c>
      <c r="E123" s="19">
        <f t="shared" ca="1" si="11"/>
        <v>-1.5966715399982432</v>
      </c>
      <c r="F123" s="20"/>
      <c r="H123" s="19">
        <f t="array" aca="1" ref="H123:J123" ca="1">TRANSPOSE(MMULT(adjchol,TRANSPOSE(C123:E123)))</f>
        <v>-0.21795316885233554</v>
      </c>
      <c r="I123" s="19">
        <f ca="1"/>
        <v>0.24598085946953982</v>
      </c>
      <c r="J123" s="19">
        <f ca="1"/>
        <v>-1.4561484255495596</v>
      </c>
      <c r="K123" s="20"/>
      <c r="M123" s="21">
        <f t="shared" ca="1" si="8"/>
        <v>1.7820468311476646E-2</v>
      </c>
      <c r="N123" s="21">
        <f t="shared" ca="1" si="9"/>
        <v>3.9839234378781591E-2</v>
      </c>
      <c r="O123" s="21">
        <f t="shared" ca="1" si="10"/>
        <v>-0.12842226383243394</v>
      </c>
    </row>
    <row r="124" spans="2:15">
      <c r="B124" s="12">
        <v>97</v>
      </c>
      <c r="C124" s="19">
        <f t="shared" ca="1" si="11"/>
        <v>0.16717615811849648</v>
      </c>
      <c r="D124" s="19">
        <f t="shared" ca="1" si="11"/>
        <v>-0.10179818080944771</v>
      </c>
      <c r="E124" s="19">
        <f t="shared" ca="1" si="11"/>
        <v>0.4251172497886293</v>
      </c>
      <c r="F124" s="20"/>
      <c r="H124" s="19">
        <f t="array" aca="1" ref="H124:J124" ca="1">TRANSPOSE(MMULT(adjchol,TRANSPOSE(C124:E124)))</f>
        <v>0.16717615811849648</v>
      </c>
      <c r="I124" s="19">
        <f ca="1"/>
        <v>0.10608574402818044</v>
      </c>
      <c r="J124" s="19">
        <f ca="1"/>
        <v>0.37531543826399028</v>
      </c>
      <c r="K124" s="20"/>
      <c r="M124" s="21">
        <f t="shared" ca="1" si="8"/>
        <v>2.1671761581184966E-2</v>
      </c>
      <c r="N124" s="21">
        <f t="shared" ca="1" si="9"/>
        <v>3.4243429761127216E-2</v>
      </c>
      <c r="O124" s="21">
        <f t="shared" ca="1" si="10"/>
        <v>0.14629731573959853</v>
      </c>
    </row>
    <row r="125" spans="2:15">
      <c r="B125" s="12">
        <v>98</v>
      </c>
      <c r="C125" s="19">
        <f t="shared" ca="1" si="11"/>
        <v>-1.2450620102802197</v>
      </c>
      <c r="D125" s="19">
        <f t="shared" ca="1" si="11"/>
        <v>-0.11613088907821183</v>
      </c>
      <c r="E125" s="19">
        <f t="shared" ca="1" si="11"/>
        <v>0.28273283708778169</v>
      </c>
      <c r="F125" s="20"/>
      <c r="H125" s="19">
        <f t="array" aca="1" ref="H125:J125" ca="1">TRANSPOSE(MMULT(adjchol,TRANSPOSE(C125:E125)))</f>
        <v>-1.2450620102802197</v>
      </c>
      <c r="I125" s="19">
        <f ca="1"/>
        <v>-1.1711760902237434</v>
      </c>
      <c r="J125" s="19">
        <f ca="1"/>
        <v>-0.67420769043989048</v>
      </c>
      <c r="K125" s="20"/>
      <c r="M125" s="21">
        <f t="shared" ca="1" si="8"/>
        <v>7.5493798971978041E-3</v>
      </c>
      <c r="N125" s="21">
        <f t="shared" ca="1" si="9"/>
        <v>-1.6847043608949737E-2</v>
      </c>
      <c r="O125" s="21">
        <f t="shared" ca="1" si="10"/>
        <v>-1.113115356598357E-2</v>
      </c>
    </row>
    <row r="126" spans="2:15">
      <c r="B126" s="12">
        <v>99</v>
      </c>
      <c r="C126" s="19">
        <f t="shared" ca="1" si="11"/>
        <v>0.20544706489963752</v>
      </c>
      <c r="D126" s="19">
        <f t="shared" ca="1" si="11"/>
        <v>1.0447884431494612</v>
      </c>
      <c r="E126" s="19">
        <f t="shared" ca="1" si="11"/>
        <v>0.96882685594182516</v>
      </c>
      <c r="F126" s="20"/>
      <c r="H126" s="19">
        <f t="array" aca="1" ref="H126:J126" ca="1">TRANSPOSE(MMULT(adjchol,TRANSPOSE(C126:E126)))</f>
        <v>0.20544706489963752</v>
      </c>
      <c r="I126" s="19">
        <f ca="1"/>
        <v>0.64031508251644276</v>
      </c>
      <c r="J126" s="19">
        <f ca="1"/>
        <v>5.8749018430497069E-2</v>
      </c>
      <c r="K126" s="20"/>
      <c r="M126" s="21">
        <f t="shared" ca="1" si="8"/>
        <v>2.2054470648996377E-2</v>
      </c>
      <c r="N126" s="21">
        <f t="shared" ca="1" si="9"/>
        <v>5.5612603300657711E-2</v>
      </c>
      <c r="O126" s="21">
        <f t="shared" ca="1" si="10"/>
        <v>9.8812352764574563E-2</v>
      </c>
    </row>
    <row r="127" spans="2:15">
      <c r="B127" s="12">
        <v>100</v>
      </c>
      <c r="C127" s="19">
        <f t="shared" ca="1" si="11"/>
        <v>-1.0177581454646827</v>
      </c>
      <c r="D127" s="19">
        <f t="shared" ca="1" si="11"/>
        <v>1.4376145078736169</v>
      </c>
      <c r="E127" s="19">
        <f t="shared" ca="1" si="11"/>
        <v>0.97492182367175151</v>
      </c>
      <c r="F127" s="20"/>
      <c r="H127" s="19">
        <f t="array" aca="1" ref="H127:J127" ca="1">TRANSPOSE(MMULT(adjchol,TRANSPOSE(C127:E127)))</f>
        <v>-1.0177581454646827</v>
      </c>
      <c r="I127" s="19">
        <f ca="1"/>
        <v>-0.28934069495930914</v>
      </c>
      <c r="J127" s="19">
        <f ca="1"/>
        <v>-1.0018386726378314</v>
      </c>
      <c r="K127" s="20"/>
      <c r="M127" s="21">
        <f t="shared" ca="1" si="8"/>
        <v>9.8224185453531735E-3</v>
      </c>
      <c r="N127" s="21">
        <f t="shared" ca="1" si="9"/>
        <v>1.8426372201627635E-2</v>
      </c>
      <c r="O127" s="21">
        <f t="shared" ca="1" si="10"/>
        <v>-6.0275800895674719E-2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4:I504"/>
  <sheetViews>
    <sheetView workbookViewId="0">
      <selection activeCell="D5" sqref="D5"/>
    </sheetView>
  </sheetViews>
  <sheetFormatPr defaultColWidth="8.69140625" defaultRowHeight="14.15"/>
  <cols>
    <col min="1" max="16384" width="8.69140625" style="24"/>
  </cols>
  <sheetData>
    <row r="4" spans="1:5">
      <c r="D4" s="24">
        <v>-100</v>
      </c>
    </row>
    <row r="5" spans="1:5">
      <c r="A5" s="27">
        <v>1</v>
      </c>
      <c r="B5" s="25">
        <f ca="1">100*(sim!$C$3+NORMSINV(RAND())*sim!$C$4)</f>
        <v>1.753257710283358</v>
      </c>
      <c r="D5" s="24">
        <v>-3</v>
      </c>
      <c r="E5" s="24" cm="1">
        <f t="array" aca="1" ref="E5" ca="1">SUMPRODUCT(IF($B$5:$B$104&gt;D4,1,0),IF($B$5:$B$104&lt;=D5,1,0))</f>
        <v>0</v>
      </c>
    </row>
    <row r="6" spans="1:5">
      <c r="A6" s="27">
        <v>2</v>
      </c>
      <c r="B6" s="25">
        <f ca="1">100*(sim!$C$3+NORMSINV(RAND())*sim!$C$4)</f>
        <v>2.6596961981865075</v>
      </c>
      <c r="D6" s="24">
        <v>-2.9</v>
      </c>
      <c r="E6" s="24" cm="1">
        <f t="array" aca="1" ref="E6" ca="1">SUMPRODUCT(IF($B$5:$B$104&gt;D5,1,0),IF($B$5:$B$104&lt;=D6,1,0))</f>
        <v>0</v>
      </c>
    </row>
    <row r="7" spans="1:5">
      <c r="A7" s="27">
        <v>3</v>
      </c>
      <c r="B7" s="25">
        <f ca="1">100*(sim!$C$3+NORMSINV(RAND())*sim!$C$4)</f>
        <v>1.6444593854759424</v>
      </c>
      <c r="D7" s="24">
        <v>-2.8</v>
      </c>
      <c r="E7" s="24" cm="1">
        <f t="array" aca="1" ref="E7" ca="1">SUMPRODUCT(IF($B$5:$B$104&gt;D6,1,0),IF($B$5:$B$104&lt;=D7,1,0))</f>
        <v>0</v>
      </c>
    </row>
    <row r="8" spans="1:5">
      <c r="A8" s="27">
        <v>4</v>
      </c>
      <c r="B8" s="25">
        <f ca="1">100*(sim!$C$3+NORMSINV(RAND())*sim!$C$4)</f>
        <v>2.2290012037983473</v>
      </c>
      <c r="D8" s="24">
        <v>-2.7</v>
      </c>
      <c r="E8" s="24" cm="1">
        <f t="array" aca="1" ref="E8" ca="1">SUMPRODUCT(IF($B$5:$B$104&gt;D7,1,0),IF($B$5:$B$104&lt;=D8,1,0))</f>
        <v>0</v>
      </c>
    </row>
    <row r="9" spans="1:5">
      <c r="A9" s="27">
        <v>5</v>
      </c>
      <c r="B9" s="25">
        <f ca="1">100*(sim!$C$3+NORMSINV(RAND())*sim!$C$4)</f>
        <v>0.51133329606915023</v>
      </c>
      <c r="D9" s="24">
        <v>-2.6</v>
      </c>
      <c r="E9" s="24" cm="1">
        <f t="array" aca="1" ref="E9" ca="1">SUMPRODUCT(IF($B$5:$B$104&gt;D8,1,0),IF($B$5:$B$104&lt;=D9,1,0))</f>
        <v>0</v>
      </c>
    </row>
    <row r="10" spans="1:5">
      <c r="A10" s="27">
        <v>6</v>
      </c>
      <c r="B10" s="25">
        <f ca="1">100*(sim!$C$3+NORMSINV(RAND())*sim!$C$4)</f>
        <v>2.7023398638962042</v>
      </c>
      <c r="D10" s="24">
        <v>-2.5</v>
      </c>
      <c r="E10" s="24" cm="1">
        <f t="array" aca="1" ref="E10" ca="1">SUMPRODUCT(IF($B$5:$B$104&gt;D9,1,0),IF($B$5:$B$104&lt;=D10,1,0))</f>
        <v>0</v>
      </c>
    </row>
    <row r="11" spans="1:5">
      <c r="A11" s="27">
        <v>7</v>
      </c>
      <c r="B11" s="25">
        <f ca="1">100*(sim!$C$3+NORMSINV(RAND())*sim!$C$4)</f>
        <v>2.4182252731968337</v>
      </c>
      <c r="D11" s="24">
        <v>-2.4</v>
      </c>
      <c r="E11" s="24" cm="1">
        <f t="array" aca="1" ref="E11" ca="1">SUMPRODUCT(IF($B$5:$B$104&gt;D10,1,0),IF($B$5:$B$104&lt;=D11,1,0))</f>
        <v>0</v>
      </c>
    </row>
    <row r="12" spans="1:5">
      <c r="A12" s="27">
        <v>8</v>
      </c>
      <c r="B12" s="25">
        <f ca="1">100*(sim!$C$3+NORMSINV(RAND())*sim!$C$4)</f>
        <v>1.7815505511572689</v>
      </c>
      <c r="D12" s="24">
        <v>-2.2999999999999998</v>
      </c>
      <c r="E12" s="24" cm="1">
        <f t="array" aca="1" ref="E12" ca="1">SUMPRODUCT(IF($B$5:$B$104&gt;D11,1,0),IF($B$5:$B$104&lt;=D12,1,0))</f>
        <v>0</v>
      </c>
    </row>
    <row r="13" spans="1:5">
      <c r="A13" s="27">
        <v>9</v>
      </c>
      <c r="B13" s="25">
        <f ca="1">100*(sim!$C$3+NORMSINV(RAND())*sim!$C$4)</f>
        <v>2.9137796801659284</v>
      </c>
      <c r="D13" s="24">
        <v>-2.2000000000000002</v>
      </c>
      <c r="E13" s="24" cm="1">
        <f t="array" aca="1" ref="E13" ca="1">SUMPRODUCT(IF($B$5:$B$104&gt;D12,1,0),IF($B$5:$B$104&lt;=D13,1,0))</f>
        <v>0</v>
      </c>
    </row>
    <row r="14" spans="1:5">
      <c r="A14" s="27">
        <v>10</v>
      </c>
      <c r="B14" s="25">
        <f ca="1">100*(sim!$C$3+NORMSINV(RAND())*sim!$C$4)</f>
        <v>1.4288236210498104</v>
      </c>
      <c r="D14" s="24">
        <v>-2.1</v>
      </c>
      <c r="E14" s="24" cm="1">
        <f t="array" aca="1" ref="E14" ca="1">SUMPRODUCT(IF($B$5:$B$104&gt;D13,1,0),IF($B$5:$B$104&lt;=D14,1,0))</f>
        <v>0</v>
      </c>
    </row>
    <row r="15" spans="1:5">
      <c r="A15" s="27">
        <v>11</v>
      </c>
      <c r="B15" s="25">
        <f ca="1">100*(sim!$C$3+NORMSINV(RAND())*sim!$C$4)</f>
        <v>3.0082196143338584</v>
      </c>
      <c r="D15" s="24">
        <v>-2</v>
      </c>
      <c r="E15" s="24" cm="1">
        <f t="array" aca="1" ref="E15" ca="1">SUMPRODUCT(IF($B$5:$B$104&gt;D14,1,0),IF($B$5:$B$104&lt;=D15,1,0))</f>
        <v>0</v>
      </c>
    </row>
    <row r="16" spans="1:5">
      <c r="A16" s="27">
        <v>12</v>
      </c>
      <c r="B16" s="25">
        <f ca="1">100*(sim!$C$3+NORMSINV(RAND())*sim!$C$4)</f>
        <v>1.4021563292999466</v>
      </c>
      <c r="D16" s="24">
        <v>-1.9</v>
      </c>
      <c r="E16" s="24" cm="1">
        <f t="array" aca="1" ref="E16" ca="1">SUMPRODUCT(IF($B$5:$B$104&gt;D15,1,0),IF($B$5:$B$104&lt;=D16,1,0))</f>
        <v>0</v>
      </c>
    </row>
    <row r="17" spans="1:9">
      <c r="A17" s="27">
        <v>13</v>
      </c>
      <c r="B17" s="25">
        <f ca="1">100*(sim!$C$3+NORMSINV(RAND())*sim!$C$4)</f>
        <v>3.8224378250334654</v>
      </c>
      <c r="D17" s="24">
        <v>-1.8</v>
      </c>
      <c r="E17" s="24" cm="1">
        <f t="array" aca="1" ref="E17" ca="1">SUMPRODUCT(IF($B$5:$B$104&gt;D16,1,0),IF($B$5:$B$104&lt;=D17,1,0))</f>
        <v>0</v>
      </c>
    </row>
    <row r="18" spans="1:9">
      <c r="A18" s="27">
        <v>14</v>
      </c>
      <c r="B18" s="25">
        <f ca="1">100*(sim!$C$3+NORMSINV(RAND())*sim!$C$4)</f>
        <v>1.4513353093926955</v>
      </c>
      <c r="D18" s="24">
        <v>-1.7</v>
      </c>
      <c r="E18" s="24" cm="1">
        <f t="array" aca="1" ref="E18" ca="1">SUMPRODUCT(IF($B$5:$B$104&gt;D17,1,0),IF($B$5:$B$104&lt;=D18,1,0))</f>
        <v>0</v>
      </c>
    </row>
    <row r="19" spans="1:9">
      <c r="A19" s="27">
        <v>15</v>
      </c>
      <c r="B19" s="25">
        <f ca="1">100*(sim!$C$3+NORMSINV(RAND())*sim!$C$4)</f>
        <v>3.2477957409985638</v>
      </c>
      <c r="D19" s="24">
        <v>-1.6</v>
      </c>
      <c r="E19" s="24" cm="1">
        <f t="array" aca="1" ref="E19" ca="1">SUMPRODUCT(IF($B$5:$B$104&gt;D18,1,0),IF($B$5:$B$104&lt;=D19,1,0))</f>
        <v>0</v>
      </c>
    </row>
    <row r="20" spans="1:9">
      <c r="A20" s="27">
        <v>16</v>
      </c>
      <c r="B20" s="25">
        <f ca="1">100*(sim!$C$3+NORMSINV(RAND())*sim!$C$4)</f>
        <v>3.3441875904448843</v>
      </c>
      <c r="D20" s="24">
        <v>-1.5</v>
      </c>
      <c r="E20" s="24" cm="1">
        <f t="array" aca="1" ref="E20" ca="1">SUMPRODUCT(IF($B$5:$B$104&gt;D19,1,0),IF($B$5:$B$104&lt;=D20,1,0))</f>
        <v>0</v>
      </c>
    </row>
    <row r="21" spans="1:9">
      <c r="A21" s="27">
        <v>17</v>
      </c>
      <c r="B21" s="25">
        <f ca="1">100*(sim!$C$3+NORMSINV(RAND())*sim!$C$4)</f>
        <v>2.9133006576735365</v>
      </c>
      <c r="D21" s="24">
        <v>-1.4</v>
      </c>
      <c r="E21" s="24" cm="1">
        <f t="array" aca="1" ref="E21" ca="1">SUMPRODUCT(IF($B$5:$B$104&gt;D20,1,0),IF($B$5:$B$104&lt;=D21,1,0))</f>
        <v>0</v>
      </c>
    </row>
    <row r="22" spans="1:9">
      <c r="A22" s="27">
        <v>18</v>
      </c>
      <c r="B22" s="25">
        <f ca="1">100*(sim!$C$3+NORMSINV(RAND())*sim!$C$4)</f>
        <v>0.84556342751600133</v>
      </c>
      <c r="D22" s="24">
        <v>-1.3</v>
      </c>
      <c r="E22" s="24" cm="1">
        <f t="array" aca="1" ref="E22" ca="1">SUMPRODUCT(IF($B$5:$B$104&gt;D21,1,0),IF($B$5:$B$104&lt;=D22,1,0))</f>
        <v>0</v>
      </c>
    </row>
    <row r="23" spans="1:9">
      <c r="A23" s="27">
        <v>19</v>
      </c>
      <c r="B23" s="25">
        <f ca="1">100*(sim!$C$3+NORMSINV(RAND())*sim!$C$4)</f>
        <v>1.2631386427620754</v>
      </c>
      <c r="D23" s="24">
        <v>-1.2</v>
      </c>
      <c r="E23" s="24" cm="1">
        <f t="array" aca="1" ref="E23" ca="1">SUMPRODUCT(IF($B$5:$B$104&gt;D22,1,0),IF($B$5:$B$104&lt;=D23,1,0))</f>
        <v>0</v>
      </c>
    </row>
    <row r="24" spans="1:9">
      <c r="A24" s="27">
        <v>20</v>
      </c>
      <c r="B24" s="25">
        <f ca="1">100*(sim!$C$3+NORMSINV(RAND())*sim!$C$4)</f>
        <v>2.5224805045419592</v>
      </c>
      <c r="D24" s="24">
        <v>-1.1000000000000001</v>
      </c>
      <c r="E24" s="24" cm="1">
        <f t="array" aca="1" ref="E24" ca="1">SUMPRODUCT(IF($B$5:$B$104&gt;D23,1,0),IF($B$5:$B$104&lt;=D24,1,0))</f>
        <v>0</v>
      </c>
    </row>
    <row r="25" spans="1:9">
      <c r="A25" s="27">
        <v>21</v>
      </c>
      <c r="B25" s="25">
        <f ca="1">100*(sim!$C$3+NORMSINV(RAND())*sim!$C$4)</f>
        <v>3.4780304893606777</v>
      </c>
      <c r="D25" s="24">
        <v>-1</v>
      </c>
      <c r="E25" s="24" cm="1">
        <f t="array" aca="1" ref="E25" ca="1">SUMPRODUCT(IF($B$5:$B$104&gt;D24,1,0),IF($B$5:$B$104&lt;=D25,1,0))</f>
        <v>0</v>
      </c>
    </row>
    <row r="26" spans="1:9">
      <c r="A26" s="27">
        <v>22</v>
      </c>
      <c r="B26" s="25">
        <f ca="1">100*(sim!$C$3+NORMSINV(RAND())*sim!$C$4)</f>
        <v>0.1568634935593699</v>
      </c>
      <c r="D26" s="24">
        <v>-0.9</v>
      </c>
      <c r="E26" s="24" cm="1">
        <f t="array" aca="1" ref="E26" ca="1">SUMPRODUCT(IF($B$5:$B$104&gt;D25,1,0),IF($B$5:$B$104&lt;=D26,1,0))</f>
        <v>0</v>
      </c>
    </row>
    <row r="27" spans="1:9">
      <c r="A27" s="27">
        <v>23</v>
      </c>
      <c r="B27" s="25">
        <f ca="1">100*(sim!$C$3+NORMSINV(RAND())*sim!$C$4)</f>
        <v>0.37726165035601789</v>
      </c>
      <c r="D27" s="24">
        <v>-0.8</v>
      </c>
      <c r="E27" s="24" cm="1">
        <f t="array" aca="1" ref="E27" ca="1">SUMPRODUCT(IF($B$5:$B$104&gt;D26,1,0),IF($B$5:$B$104&lt;=D27,1,0))</f>
        <v>0</v>
      </c>
    </row>
    <row r="28" spans="1:9">
      <c r="A28" s="27">
        <v>24</v>
      </c>
      <c r="B28" s="25">
        <f ca="1">100*(sim!$C$3+NORMSINV(RAND())*sim!$C$4)</f>
        <v>2.4988835157932812</v>
      </c>
      <c r="D28" s="24">
        <v>-0.7</v>
      </c>
      <c r="E28" s="24" cm="1">
        <f t="array" aca="1" ref="E28" ca="1">SUMPRODUCT(IF($B$5:$B$104&gt;D27,1,0),IF($B$5:$B$104&lt;=D28,1,0))</f>
        <v>1</v>
      </c>
    </row>
    <row r="29" spans="1:9">
      <c r="A29" s="27">
        <v>25</v>
      </c>
      <c r="B29" s="25">
        <f ca="1">100*(sim!$C$3+NORMSINV(RAND())*sim!$C$4)</f>
        <v>2.2555392667788903</v>
      </c>
      <c r="D29" s="24">
        <v>-0.6</v>
      </c>
      <c r="E29" s="24" cm="1">
        <f t="array" aca="1" ref="E29" ca="1">SUMPRODUCT(IF($B$5:$B$104&gt;D28,1,0),IF($B$5:$B$104&lt;=D29,1,0))</f>
        <v>0</v>
      </c>
    </row>
    <row r="30" spans="1:9">
      <c r="A30" s="27">
        <v>26</v>
      </c>
      <c r="B30" s="25">
        <f ca="1">100*(sim!$C$3+NORMSINV(RAND())*sim!$C$4)</f>
        <v>2.3796211126504527</v>
      </c>
      <c r="D30" s="24">
        <v>-0.5</v>
      </c>
      <c r="E30" s="24" cm="1">
        <f t="array" aca="1" ref="E30" ca="1">SUMPRODUCT(IF($B$5:$B$104&gt;D29,1,0),IF($B$5:$B$104&lt;=D30,1,0))</f>
        <v>0</v>
      </c>
      <c r="I30" s="24" t="s">
        <v>16</v>
      </c>
    </row>
    <row r="31" spans="1:9">
      <c r="A31" s="27">
        <v>27</v>
      </c>
      <c r="B31" s="25">
        <f ca="1">100*(sim!$C$3+NORMSINV(RAND())*sim!$C$4)</f>
        <v>1.9380448417986089</v>
      </c>
      <c r="D31" s="24">
        <v>-0.4</v>
      </c>
      <c r="E31" s="24" cm="1">
        <f t="array" aca="1" ref="E31" ca="1">SUMPRODUCT(IF($B$5:$B$104&gt;D30,1,0),IF($B$5:$B$104&lt;=D31,1,0))</f>
        <v>0</v>
      </c>
    </row>
    <row r="32" spans="1:9">
      <c r="A32" s="27">
        <v>28</v>
      </c>
      <c r="B32" s="25">
        <f ca="1">100*(sim!$C$3+NORMSINV(RAND())*sim!$C$4)</f>
        <v>1.8263483024800342</v>
      </c>
      <c r="D32" s="24">
        <v>-0.3</v>
      </c>
      <c r="E32" s="24" cm="1">
        <f t="array" aca="1" ref="E32" ca="1">SUMPRODUCT(IF($B$5:$B$104&gt;D31,1,0),IF($B$5:$B$104&lt;=D32,1,0))</f>
        <v>0</v>
      </c>
    </row>
    <row r="33" spans="1:5">
      <c r="A33" s="27">
        <v>29</v>
      </c>
      <c r="B33" s="25">
        <f ca="1">100*(sim!$C$3+NORMSINV(RAND())*sim!$C$4)</f>
        <v>3.6234072788473375</v>
      </c>
      <c r="D33" s="24">
        <v>-0.2</v>
      </c>
      <c r="E33" s="24" cm="1">
        <f t="array" aca="1" ref="E33" ca="1">SUMPRODUCT(IF($B$5:$B$104&gt;D32,1,0),IF($B$5:$B$104&lt;=D33,1,0))</f>
        <v>0</v>
      </c>
    </row>
    <row r="34" spans="1:5">
      <c r="A34" s="27">
        <v>30</v>
      </c>
      <c r="B34" s="25">
        <f ca="1">100*(sim!$C$3+NORMSINV(RAND())*sim!$C$4)</f>
        <v>1.0731644120191004</v>
      </c>
      <c r="D34" s="24">
        <v>-0.1</v>
      </c>
      <c r="E34" s="24" cm="1">
        <f t="array" aca="1" ref="E34" ca="1">SUMPRODUCT(IF($B$5:$B$104&gt;D33,1,0),IF($B$5:$B$104&lt;=D34,1,0))</f>
        <v>2</v>
      </c>
    </row>
    <row r="35" spans="1:5">
      <c r="A35" s="27">
        <v>31</v>
      </c>
      <c r="B35" s="25">
        <f ca="1">100*(sim!$C$3+NORMSINV(RAND())*sim!$C$4)</f>
        <v>2.8256225866066162</v>
      </c>
      <c r="D35" s="24">
        <v>0</v>
      </c>
      <c r="E35" s="24" cm="1">
        <f t="array" aca="1" ref="E35" ca="1">SUMPRODUCT(IF($B$5:$B$104&gt;D34,1,0),IF($B$5:$B$104&lt;=D35,1,0))</f>
        <v>0</v>
      </c>
    </row>
    <row r="36" spans="1:5">
      <c r="A36" s="27">
        <v>32</v>
      </c>
      <c r="B36" s="25">
        <f ca="1">100*(sim!$C$3+NORMSINV(RAND())*sim!$C$4)</f>
        <v>1.1656798075789458</v>
      </c>
      <c r="D36" s="24">
        <v>0.1</v>
      </c>
      <c r="E36" s="24" cm="1">
        <f t="array" aca="1" ref="E36" ca="1">SUMPRODUCT(IF($B$5:$B$104&gt;D35,1,0),IF($B$5:$B$104&lt;=D36,1,0))</f>
        <v>0</v>
      </c>
    </row>
    <row r="37" spans="1:5">
      <c r="A37" s="27">
        <v>33</v>
      </c>
      <c r="B37" s="25">
        <f ca="1">100*(sim!$C$3+NORMSINV(RAND())*sim!$C$4)</f>
        <v>0.30091069565563872</v>
      </c>
      <c r="D37" s="24">
        <v>0.2</v>
      </c>
      <c r="E37" s="24" cm="1">
        <f t="array" aca="1" ref="E37" ca="1">SUMPRODUCT(IF($B$5:$B$104&gt;D36,1,0),IF($B$5:$B$104&lt;=D37,1,0))</f>
        <v>1</v>
      </c>
    </row>
    <row r="38" spans="1:5">
      <c r="A38" s="27">
        <v>34</v>
      </c>
      <c r="B38" s="25">
        <f ca="1">100*(sim!$C$3+NORMSINV(RAND())*sim!$C$4)</f>
        <v>2.6015265347191807</v>
      </c>
      <c r="D38" s="24">
        <v>0.3</v>
      </c>
      <c r="E38" s="24" cm="1">
        <f t="array" aca="1" ref="E38" ca="1">SUMPRODUCT(IF($B$5:$B$104&gt;D37,1,0),IF($B$5:$B$104&lt;=D38,1,0))</f>
        <v>0</v>
      </c>
    </row>
    <row r="39" spans="1:5">
      <c r="A39" s="27">
        <v>35</v>
      </c>
      <c r="B39" s="25">
        <f ca="1">100*(sim!$C$3+NORMSINV(RAND())*sim!$C$4)</f>
        <v>0.41922175899438352</v>
      </c>
      <c r="D39" s="24">
        <v>0.4</v>
      </c>
      <c r="E39" s="24" cm="1">
        <f t="array" aca="1" ref="E39" ca="1">SUMPRODUCT(IF($B$5:$B$104&gt;D38,1,0),IF($B$5:$B$104&lt;=D39,1,0))</f>
        <v>4</v>
      </c>
    </row>
    <row r="40" spans="1:5">
      <c r="A40" s="27">
        <v>36</v>
      </c>
      <c r="B40" s="25">
        <f ca="1">100*(sim!$C$3+NORMSINV(RAND())*sim!$C$4)</f>
        <v>2.504331322530736</v>
      </c>
      <c r="D40" s="24">
        <v>0.5</v>
      </c>
      <c r="E40" s="24" cm="1">
        <f t="array" aca="1" ref="E40" ca="1">SUMPRODUCT(IF($B$5:$B$104&gt;D39,1,0),IF($B$5:$B$104&lt;=D40,1,0))</f>
        <v>1</v>
      </c>
    </row>
    <row r="41" spans="1:5">
      <c r="A41" s="27">
        <v>37</v>
      </c>
      <c r="B41" s="25">
        <f ca="1">100*(sim!$C$3+NORMSINV(RAND())*sim!$C$4)</f>
        <v>2.005267991378167</v>
      </c>
      <c r="D41" s="24">
        <v>0.6</v>
      </c>
      <c r="E41" s="24" cm="1">
        <f t="array" aca="1" ref="E41" ca="1">SUMPRODUCT(IF($B$5:$B$104&gt;D40,1,0),IF($B$5:$B$104&lt;=D41,1,0))</f>
        <v>2</v>
      </c>
    </row>
    <row r="42" spans="1:5">
      <c r="A42" s="27">
        <v>38</v>
      </c>
      <c r="B42" s="25">
        <f ca="1">100*(sim!$C$3+NORMSINV(RAND())*sim!$C$4)</f>
        <v>2.3085538345645329</v>
      </c>
      <c r="D42" s="24">
        <v>0.7</v>
      </c>
      <c r="E42" s="24" cm="1">
        <f t="array" aca="1" ref="E42" ca="1">SUMPRODUCT(IF($B$5:$B$104&gt;D41,1,0),IF($B$5:$B$104&lt;=D42,1,0))</f>
        <v>0</v>
      </c>
    </row>
    <row r="43" spans="1:5">
      <c r="A43" s="27">
        <v>39</v>
      </c>
      <c r="B43" s="25">
        <f ca="1">100*(sim!$C$3+NORMSINV(RAND())*sim!$C$4)</f>
        <v>1.679862129479702</v>
      </c>
      <c r="D43" s="24">
        <v>0.8</v>
      </c>
      <c r="E43" s="24" cm="1">
        <f t="array" aca="1" ref="E43" ca="1">SUMPRODUCT(IF($B$5:$B$104&gt;D42,1,0),IF($B$5:$B$104&lt;=D43,1,0))</f>
        <v>0</v>
      </c>
    </row>
    <row r="44" spans="1:5">
      <c r="A44" s="27">
        <v>40</v>
      </c>
      <c r="B44" s="25">
        <f ca="1">100*(sim!$C$3+NORMSINV(RAND())*sim!$C$4)</f>
        <v>3.0341380061091598</v>
      </c>
      <c r="D44" s="24">
        <v>0.9</v>
      </c>
      <c r="E44" s="24" cm="1">
        <f t="array" aca="1" ref="E44" ca="1">SUMPRODUCT(IF($B$5:$B$104&gt;D43,1,0),IF($B$5:$B$104&lt;=D44,1,0))</f>
        <v>2</v>
      </c>
    </row>
    <row r="45" spans="1:5">
      <c r="A45" s="27">
        <v>41</v>
      </c>
      <c r="B45" s="25">
        <f ca="1">100*(sim!$C$3+NORMSINV(RAND())*sim!$C$4)</f>
        <v>-0.18725865708921555</v>
      </c>
      <c r="D45" s="24">
        <v>1</v>
      </c>
      <c r="E45" s="24" cm="1">
        <f t="array" aca="1" ref="E45" ca="1">SUMPRODUCT(IF($B$5:$B$104&gt;D44,1,0),IF($B$5:$B$104&lt;=D45,1,0))</f>
        <v>1</v>
      </c>
    </row>
    <row r="46" spans="1:5">
      <c r="A46" s="27">
        <v>42</v>
      </c>
      <c r="B46" s="25">
        <f ca="1">100*(sim!$C$3+NORMSINV(RAND())*sim!$C$4)</f>
        <v>-0.19870720317018559</v>
      </c>
      <c r="D46" s="24">
        <v>1.1000000000000001</v>
      </c>
      <c r="E46" s="24" cm="1">
        <f t="array" aca="1" ref="E46" ca="1">SUMPRODUCT(IF($B$5:$B$104&gt;D45,1,0),IF($B$5:$B$104&lt;=D46,1,0))</f>
        <v>2</v>
      </c>
    </row>
    <row r="47" spans="1:5">
      <c r="A47" s="27">
        <v>43</v>
      </c>
      <c r="B47" s="25">
        <f ca="1">100*(sim!$C$3+NORMSINV(RAND())*sim!$C$4)</f>
        <v>2.4348900388380184</v>
      </c>
      <c r="D47" s="24">
        <v>1.2</v>
      </c>
      <c r="E47" s="24" cm="1">
        <f t="array" aca="1" ref="E47" ca="1">SUMPRODUCT(IF($B$5:$B$104&gt;D46,1,0),IF($B$5:$B$104&lt;=D47,1,0))</f>
        <v>3</v>
      </c>
    </row>
    <row r="48" spans="1:5">
      <c r="A48" s="27">
        <v>44</v>
      </c>
      <c r="B48" s="25">
        <f ca="1">100*(sim!$C$3+NORMSINV(RAND())*sim!$C$4)</f>
        <v>2.6690317225726732</v>
      </c>
      <c r="D48" s="24">
        <v>1.3</v>
      </c>
      <c r="E48" s="24" cm="1">
        <f t="array" aca="1" ref="E48" ca="1">SUMPRODUCT(IF($B$5:$B$104&gt;D47,1,0),IF($B$5:$B$104&lt;=D48,1,0))</f>
        <v>2</v>
      </c>
    </row>
    <row r="49" spans="1:5">
      <c r="A49" s="27">
        <v>45</v>
      </c>
      <c r="B49" s="25">
        <f ca="1">100*(sim!$C$3+NORMSINV(RAND())*sim!$C$4)</f>
        <v>2.388731359370154</v>
      </c>
      <c r="D49" s="24">
        <v>1.4</v>
      </c>
      <c r="E49" s="24" cm="1">
        <f t="array" aca="1" ref="E49" ca="1">SUMPRODUCT(IF($B$5:$B$104&gt;D48,1,0),IF($B$5:$B$104&lt;=D49,1,0))</f>
        <v>1</v>
      </c>
    </row>
    <row r="50" spans="1:5">
      <c r="A50" s="27">
        <v>46</v>
      </c>
      <c r="B50" s="25">
        <f ca="1">100*(sim!$C$3+NORMSINV(RAND())*sim!$C$4)</f>
        <v>1.0746614061440416</v>
      </c>
      <c r="D50" s="24">
        <v>1.5</v>
      </c>
      <c r="E50" s="24" cm="1">
        <f t="array" aca="1" ref="E50" ca="1">SUMPRODUCT(IF($B$5:$B$104&gt;D49,1,0),IF($B$5:$B$104&lt;=D50,1,0))</f>
        <v>5</v>
      </c>
    </row>
    <row r="51" spans="1:5">
      <c r="A51" s="27">
        <v>47</v>
      </c>
      <c r="B51" s="25">
        <f ca="1">100*(sim!$C$3+NORMSINV(RAND())*sim!$C$4)</f>
        <v>1.3155096511741744</v>
      </c>
      <c r="D51" s="24">
        <v>1.6</v>
      </c>
      <c r="E51" s="24" cm="1">
        <f t="array" aca="1" ref="E51" ca="1">SUMPRODUCT(IF($B$5:$B$104&gt;D50,1,0),IF($B$5:$B$104&lt;=D51,1,0))</f>
        <v>0</v>
      </c>
    </row>
    <row r="52" spans="1:5">
      <c r="A52" s="27">
        <v>48</v>
      </c>
      <c r="B52" s="25">
        <f ca="1">100*(sim!$C$3+NORMSINV(RAND())*sim!$C$4)</f>
        <v>4.0488158707448427</v>
      </c>
      <c r="D52" s="24">
        <v>1.7</v>
      </c>
      <c r="E52" s="24" cm="1">
        <f t="array" aca="1" ref="E52" ca="1">SUMPRODUCT(IF($B$5:$B$104&gt;D51,1,0),IF($B$5:$B$104&lt;=D52,1,0))</f>
        <v>5</v>
      </c>
    </row>
    <row r="53" spans="1:5">
      <c r="A53" s="27">
        <v>49</v>
      </c>
      <c r="B53" s="25">
        <f ca="1">100*(sim!$C$3+NORMSINV(RAND())*sim!$C$4)</f>
        <v>1.664210697532948</v>
      </c>
      <c r="D53" s="24">
        <v>1.8</v>
      </c>
      <c r="E53" s="24" cm="1">
        <f t="array" aca="1" ref="E53" ca="1">SUMPRODUCT(IF($B$5:$B$104&gt;D52,1,0),IF($B$5:$B$104&lt;=D53,1,0))</f>
        <v>4</v>
      </c>
    </row>
    <row r="54" spans="1:5">
      <c r="A54" s="27">
        <v>50</v>
      </c>
      <c r="B54" s="25">
        <f ca="1">100*(sim!$C$3+NORMSINV(RAND())*sim!$C$4)</f>
        <v>3.0798646235531488</v>
      </c>
      <c r="D54" s="24">
        <v>1.9</v>
      </c>
      <c r="E54" s="24" cm="1">
        <f t="array" aca="1" ref="E54" ca="1">SUMPRODUCT(IF($B$5:$B$104&gt;D53,1,0),IF($B$5:$B$104&lt;=D54,1,0))</f>
        <v>4</v>
      </c>
    </row>
    <row r="55" spans="1:5">
      <c r="A55" s="27">
        <v>51</v>
      </c>
      <c r="B55" s="25">
        <f ca="1">100*(sim!$C$3+NORMSINV(RAND())*sim!$C$4)</f>
        <v>1.6077126115967642</v>
      </c>
      <c r="D55" s="24">
        <v>2</v>
      </c>
      <c r="E55" s="24" cm="1">
        <f t="array" aca="1" ref="E55" ca="1">SUMPRODUCT(IF($B$5:$B$104&gt;D54,1,0),IF($B$5:$B$104&lt;=D55,1,0))</f>
        <v>6</v>
      </c>
    </row>
    <row r="56" spans="1:5">
      <c r="A56" s="27">
        <v>52</v>
      </c>
      <c r="B56" s="25">
        <f ca="1">100*(sim!$C$3+NORMSINV(RAND())*sim!$C$4)</f>
        <v>1.4608093837379714</v>
      </c>
      <c r="D56" s="24">
        <v>2.1</v>
      </c>
      <c r="E56" s="24" cm="1">
        <f t="array" aca="1" ref="E56" ca="1">SUMPRODUCT(IF($B$5:$B$104&gt;D55,1,0),IF($B$5:$B$104&lt;=D56,1,0))</f>
        <v>2</v>
      </c>
    </row>
    <row r="57" spans="1:5">
      <c r="A57" s="27">
        <v>53</v>
      </c>
      <c r="B57" s="25">
        <f ca="1">100*(sim!$C$3+NORMSINV(RAND())*sim!$C$4)</f>
        <v>2.1017605834691104</v>
      </c>
      <c r="D57" s="24">
        <v>2.2000000000000002</v>
      </c>
      <c r="E57" s="24" cm="1">
        <f t="array" aca="1" ref="E57" ca="1">SUMPRODUCT(IF($B$5:$B$104&gt;D56,1,0),IF($B$5:$B$104&lt;=D57,1,0))</f>
        <v>3</v>
      </c>
    </row>
    <row r="58" spans="1:5">
      <c r="A58" s="27">
        <v>54</v>
      </c>
      <c r="B58" s="25">
        <f ca="1">100*(sim!$C$3+NORMSINV(RAND())*sim!$C$4)</f>
        <v>1.9526824387917863</v>
      </c>
      <c r="D58" s="24">
        <v>2.2999999999999998</v>
      </c>
      <c r="E58" s="24" cm="1">
        <f t="array" aca="1" ref="E58" ca="1">SUMPRODUCT(IF($B$5:$B$104&gt;D57,1,0),IF($B$5:$B$104&lt;=D58,1,0))</f>
        <v>5</v>
      </c>
    </row>
    <row r="59" spans="1:5">
      <c r="A59" s="27">
        <v>55</v>
      </c>
      <c r="B59" s="25">
        <f ca="1">100*(sim!$C$3+NORMSINV(RAND())*sim!$C$4)</f>
        <v>1.8230421301409321</v>
      </c>
      <c r="D59" s="24">
        <v>2.4</v>
      </c>
      <c r="E59" s="24" cm="1">
        <f t="array" aca="1" ref="E59" ca="1">SUMPRODUCT(IF($B$5:$B$104&gt;D58,1,0),IF($B$5:$B$104&lt;=D59,1,0))</f>
        <v>3</v>
      </c>
    </row>
    <row r="60" spans="1:5">
      <c r="A60" s="27">
        <v>56</v>
      </c>
      <c r="B60" s="25">
        <f ca="1">100*(sim!$C$3+NORMSINV(RAND())*sim!$C$4)</f>
        <v>0.30236964820947837</v>
      </c>
      <c r="D60" s="24">
        <v>2.5000000000000102</v>
      </c>
      <c r="E60" s="24" cm="1">
        <f t="array" aca="1" ref="E60" ca="1">SUMPRODUCT(IF($B$5:$B$104&gt;D59,1,0),IF($B$5:$B$104&lt;=D60,1,0))</f>
        <v>7</v>
      </c>
    </row>
    <row r="61" spans="1:5">
      <c r="A61" s="27">
        <v>57</v>
      </c>
      <c r="B61" s="25">
        <f ca="1">100*(sim!$C$3+NORMSINV(RAND())*sim!$C$4)</f>
        <v>2.2147008932067367</v>
      </c>
      <c r="D61" s="24">
        <v>2.6</v>
      </c>
      <c r="E61" s="24" cm="1">
        <f t="array" aca="1" ref="E61" ca="1">SUMPRODUCT(IF($B$5:$B$104&gt;D60,1,0),IF($B$5:$B$104&lt;=D61,1,0))</f>
        <v>7</v>
      </c>
    </row>
    <row r="62" spans="1:5">
      <c r="A62" s="27">
        <v>58</v>
      </c>
      <c r="B62" s="25">
        <f ca="1">100*(sim!$C$3+NORMSINV(RAND())*sim!$C$4)</f>
        <v>0.8102071938010077</v>
      </c>
      <c r="D62" s="24">
        <v>2.7</v>
      </c>
      <c r="E62" s="24" cm="1">
        <f t="array" aca="1" ref="E62" ca="1">SUMPRODUCT(IF($B$5:$B$104&gt;D61,1,0),IF($B$5:$B$104&lt;=D62,1,0))</f>
        <v>4</v>
      </c>
    </row>
    <row r="63" spans="1:5">
      <c r="A63" s="27">
        <v>59</v>
      </c>
      <c r="B63" s="25">
        <f ca="1">100*(sim!$C$3+NORMSINV(RAND())*sim!$C$4)</f>
        <v>2.514862219861254</v>
      </c>
      <c r="D63" s="24">
        <v>2.80000000000001</v>
      </c>
      <c r="E63" s="24" cm="1">
        <f t="array" aca="1" ref="E63" ca="1">SUMPRODUCT(IF($B$5:$B$104&gt;D62,1,0),IF($B$5:$B$104&lt;=D63,1,0))</f>
        <v>2</v>
      </c>
    </row>
    <row r="64" spans="1:5">
      <c r="A64" s="27">
        <v>60</v>
      </c>
      <c r="B64" s="25">
        <f ca="1">100*(sim!$C$3+NORMSINV(RAND())*sim!$C$4)</f>
        <v>1.1012248501799586</v>
      </c>
      <c r="D64" s="24">
        <v>2.9000000000000101</v>
      </c>
      <c r="E64" s="24" cm="1">
        <f t="array" aca="1" ref="E64" ca="1">SUMPRODUCT(IF($B$5:$B$104&gt;D63,1,0),IF($B$5:$B$104&lt;=D64,1,0))</f>
        <v>2</v>
      </c>
    </row>
    <row r="65" spans="1:5">
      <c r="A65" s="27">
        <v>61</v>
      </c>
      <c r="B65" s="25">
        <f ca="1">100*(sim!$C$3+NORMSINV(RAND())*sim!$C$4)</f>
        <v>2.4183092048285211</v>
      </c>
      <c r="D65" s="24">
        <v>3.0000000000000102</v>
      </c>
      <c r="E65" s="24" cm="1">
        <f t="array" aca="1" ref="E65" ca="1">SUMPRODUCT(IF($B$5:$B$104&gt;D64,1,0),IF($B$5:$B$104&lt;=D65,1,0))</f>
        <v>3</v>
      </c>
    </row>
    <row r="66" spans="1:5">
      <c r="A66" s="27">
        <v>62</v>
      </c>
      <c r="B66" s="25">
        <f ca="1">100*(sim!$C$3+NORMSINV(RAND())*sim!$C$4)</f>
        <v>2.4279547754960271</v>
      </c>
      <c r="D66" s="24">
        <v>3.1</v>
      </c>
      <c r="E66" s="24" cm="1">
        <f t="array" aca="1" ref="E66" ca="1">SUMPRODUCT(IF($B$5:$B$104&gt;D65,1,0),IF($B$5:$B$104&lt;=D66,1,0))</f>
        <v>4</v>
      </c>
    </row>
    <row r="67" spans="1:5">
      <c r="A67" s="27">
        <v>63</v>
      </c>
      <c r="B67" s="25">
        <f ca="1">100*(sim!$C$3+NORMSINV(RAND())*sim!$C$4)</f>
        <v>2.2013364896046488</v>
      </c>
      <c r="D67" s="24">
        <v>3.2000000000000099</v>
      </c>
      <c r="E67" s="24" cm="1">
        <f t="array" aca="1" ref="E67" ca="1">SUMPRODUCT(IF($B$5:$B$104&gt;D66,1,0),IF($B$5:$B$104&lt;=D67,1,0))</f>
        <v>0</v>
      </c>
    </row>
    <row r="68" spans="1:5">
      <c r="A68" s="27">
        <v>64</v>
      </c>
      <c r="B68" s="25">
        <f ca="1">100*(sim!$C$3+NORMSINV(RAND())*sim!$C$4)</f>
        <v>1.6801731351510731</v>
      </c>
      <c r="D68" s="24">
        <v>3.30000000000001</v>
      </c>
      <c r="E68" s="24" cm="1">
        <f t="array" aca="1" ref="E68" ca="1">SUMPRODUCT(IF($B$5:$B$104&gt;D67,1,0),IF($B$5:$B$104&lt;=D68,1,0))</f>
        <v>1</v>
      </c>
    </row>
    <row r="69" spans="1:5">
      <c r="A69" s="27">
        <v>65</v>
      </c>
      <c r="B69" s="25">
        <f ca="1">100*(sim!$C$3+NORMSINV(RAND())*sim!$C$4)</f>
        <v>4.6354531074434924</v>
      </c>
      <c r="D69" s="24">
        <v>3.4000000000000101</v>
      </c>
      <c r="E69" s="24" cm="1">
        <f t="array" aca="1" ref="E69" ca="1">SUMPRODUCT(IF($B$5:$B$104&gt;D68,1,0),IF($B$5:$B$104&lt;=D69,1,0))</f>
        <v>1</v>
      </c>
    </row>
    <row r="70" spans="1:5">
      <c r="A70" s="27">
        <v>66</v>
      </c>
      <c r="B70" s="25">
        <f ca="1">100*(sim!$C$3+NORMSINV(RAND())*sim!$C$4)</f>
        <v>1.2569985898434091</v>
      </c>
      <c r="D70" s="24">
        <v>3.5000000000000102</v>
      </c>
      <c r="E70" s="24" cm="1">
        <f t="array" aca="1" ref="E70" ca="1">SUMPRODUCT(IF($B$5:$B$104&gt;D69,1,0),IF($B$5:$B$104&lt;=D70,1,0))</f>
        <v>1</v>
      </c>
    </row>
    <row r="71" spans="1:5">
      <c r="A71" s="27">
        <v>67</v>
      </c>
      <c r="B71" s="25">
        <f ca="1">100*(sim!$C$3+NORMSINV(RAND())*sim!$C$4)</f>
        <v>2.1516253207957172</v>
      </c>
      <c r="D71" s="24">
        <v>3.6000000000000099</v>
      </c>
      <c r="E71" s="24" cm="1">
        <f t="array" aca="1" ref="E71" ca="1">SUMPRODUCT(IF($B$5:$B$104&gt;D70,1,0),IF($B$5:$B$104&lt;=D71,1,0))</f>
        <v>1</v>
      </c>
    </row>
    <row r="72" spans="1:5">
      <c r="A72" s="27">
        <v>68</v>
      </c>
      <c r="B72" s="25">
        <f ca="1">100*(sim!$C$3+NORMSINV(RAND())*sim!$C$4)</f>
        <v>1.9403278263866957</v>
      </c>
      <c r="D72" s="24">
        <v>3.7000000000000099</v>
      </c>
      <c r="E72" s="24" cm="1">
        <f t="array" aca="1" ref="E72" ca="1">SUMPRODUCT(IF($B$5:$B$104&gt;D71,1,0),IF($B$5:$B$104&lt;=D72,1,0))</f>
        <v>2</v>
      </c>
    </row>
    <row r="73" spans="1:5">
      <c r="A73" s="27">
        <v>69</v>
      </c>
      <c r="B73" s="25">
        <f ca="1">100*(sim!$C$3+NORMSINV(RAND())*sim!$C$4)</f>
        <v>2.5730248543262428</v>
      </c>
      <c r="D73" s="24">
        <v>3.80000000000001</v>
      </c>
      <c r="E73" s="24" cm="1">
        <f t="array" aca="1" ref="E73" ca="1">SUMPRODUCT(IF($B$5:$B$104&gt;D72,1,0),IF($B$5:$B$104&lt;=D73,1,0))</f>
        <v>1</v>
      </c>
    </row>
    <row r="74" spans="1:5">
      <c r="A74" s="27">
        <v>70</v>
      </c>
      <c r="B74" s="25">
        <f ca="1">100*(sim!$C$3+NORMSINV(RAND())*sim!$C$4)</f>
        <v>-0.78950944672333967</v>
      </c>
      <c r="D74" s="24">
        <v>3.9000000000000101</v>
      </c>
      <c r="E74" s="24" cm="1">
        <f t="array" aca="1" ref="E74" ca="1">SUMPRODUCT(IF($B$5:$B$104&gt;D73,1,0),IF($B$5:$B$104&lt;=D74,1,0))</f>
        <v>1</v>
      </c>
    </row>
    <row r="75" spans="1:5">
      <c r="A75" s="27">
        <v>71</v>
      </c>
      <c r="B75" s="25">
        <f ca="1">100*(sim!$C$3+NORMSINV(RAND())*sim!$C$4)</f>
        <v>1.8533359146061235</v>
      </c>
      <c r="D75" s="24">
        <v>4.0000000000000098</v>
      </c>
      <c r="E75" s="24" cm="1">
        <f t="array" aca="1" ref="E75" ca="1">SUMPRODUCT(IF($B$5:$B$104&gt;D74,1,0),IF($B$5:$B$104&lt;=D75,1,0))</f>
        <v>0</v>
      </c>
    </row>
    <row r="76" spans="1:5">
      <c r="A76" s="27">
        <v>72</v>
      </c>
      <c r="B76" s="25">
        <f ca="1">100*(sim!$C$3+NORMSINV(RAND())*sim!$C$4)</f>
        <v>1.938232025462467</v>
      </c>
      <c r="D76" s="24">
        <v>4.1000000000000103</v>
      </c>
      <c r="E76" s="24" cm="1">
        <f t="array" aca="1" ref="E76" ca="1">SUMPRODUCT(IF($B$5:$B$104&gt;D75,1,0),IF($B$5:$B$104&lt;=D76,1,0))</f>
        <v>1</v>
      </c>
    </row>
    <row r="77" spans="1:5">
      <c r="A77" s="27">
        <v>73</v>
      </c>
      <c r="B77" s="25">
        <f ca="1">100*(sim!$C$3+NORMSINV(RAND())*sim!$C$4)</f>
        <v>5.585116851389464</v>
      </c>
      <c r="D77" s="24">
        <v>4.2000000000000099</v>
      </c>
      <c r="E77" s="24" cm="1">
        <f t="array" aca="1" ref="E77" ca="1">SUMPRODUCT(IF($B$5:$B$104&gt;D76,1,0),IF($B$5:$B$104&lt;=D77,1,0))</f>
        <v>0</v>
      </c>
    </row>
    <row r="78" spans="1:5">
      <c r="A78" s="27">
        <v>74</v>
      </c>
      <c r="B78" s="25">
        <f ca="1">100*(sim!$C$3+NORMSINV(RAND())*sim!$C$4)</f>
        <v>2.6271604356383942</v>
      </c>
      <c r="D78" s="24">
        <v>4.3000000000000096</v>
      </c>
      <c r="E78" s="24" cm="1">
        <f t="array" aca="1" ref="E78" ca="1">SUMPRODUCT(IF($B$5:$B$104&gt;D77,1,0),IF($B$5:$B$104&lt;=D78,1,0))</f>
        <v>0</v>
      </c>
    </row>
    <row r="79" spans="1:5">
      <c r="A79" s="27">
        <v>75</v>
      </c>
      <c r="B79" s="25">
        <f ca="1">100*(sim!$C$3+NORMSINV(RAND())*sim!$C$4)</f>
        <v>3.6753198195357646</v>
      </c>
      <c r="D79" s="24">
        <v>4.4000000000000101</v>
      </c>
      <c r="E79" s="24" cm="1">
        <f t="array" aca="1" ref="E79" ca="1">SUMPRODUCT(IF($B$5:$B$104&gt;D78,1,0),IF($B$5:$B$104&lt;=D79,1,0))</f>
        <v>0</v>
      </c>
    </row>
    <row r="80" spans="1:5">
      <c r="A80" s="27">
        <v>76</v>
      </c>
      <c r="B80" s="25">
        <f ca="1">100*(sim!$C$3+NORMSINV(RAND())*sim!$C$4)</f>
        <v>2.5299767833502447</v>
      </c>
      <c r="D80" s="24">
        <v>4.5000000000000098</v>
      </c>
      <c r="E80" s="24" cm="1">
        <f t="array" aca="1" ref="E80" ca="1">SUMPRODUCT(IF($B$5:$B$104&gt;D79,1,0),IF($B$5:$B$104&lt;=D80,1,0))</f>
        <v>0</v>
      </c>
    </row>
    <row r="81" spans="1:5">
      <c r="A81" s="27">
        <v>77</v>
      </c>
      <c r="B81" s="25">
        <f ca="1">100*(sim!$C$3+NORMSINV(RAND())*sim!$C$4)</f>
        <v>2.5719009456897544</v>
      </c>
      <c r="D81" s="24">
        <v>4.6000000000000103</v>
      </c>
      <c r="E81" s="24" cm="1">
        <f t="array" aca="1" ref="E81" ca="1">SUMPRODUCT(IF($B$5:$B$104&gt;D80,1,0),IF($B$5:$B$104&lt;=D81,1,0))</f>
        <v>0</v>
      </c>
    </row>
    <row r="82" spans="1:5">
      <c r="A82" s="27">
        <v>78</v>
      </c>
      <c r="B82" s="25">
        <f ca="1">100*(sim!$C$3+NORMSINV(RAND())*sim!$C$4)</f>
        <v>0.34990620982943038</v>
      </c>
      <c r="D82" s="24">
        <v>4.7000000000000099</v>
      </c>
      <c r="E82" s="24" cm="1">
        <f t="array" aca="1" ref="E82" ca="1">SUMPRODUCT(IF($B$5:$B$104&gt;D81,1,0),IF($B$5:$B$104&lt;=D82,1,0))</f>
        <v>1</v>
      </c>
    </row>
    <row r="83" spans="1:5">
      <c r="A83" s="27">
        <v>79</v>
      </c>
      <c r="B83" s="25">
        <f ca="1">100*(sim!$C$3+NORMSINV(RAND())*sim!$C$4)</f>
        <v>3.0582609198192516</v>
      </c>
      <c r="D83" s="24">
        <v>4.8000000000000096</v>
      </c>
      <c r="E83" s="24" cm="1">
        <f t="array" aca="1" ref="E83" ca="1">SUMPRODUCT(IF($B$5:$B$104&gt;D82,1,0),IF($B$5:$B$104&lt;=D83,1,0))</f>
        <v>0</v>
      </c>
    </row>
    <row r="84" spans="1:5">
      <c r="A84" s="27">
        <v>80</v>
      </c>
      <c r="B84" s="25">
        <f ca="1">100*(sim!$C$3+NORMSINV(RAND())*sim!$C$4)</f>
        <v>2.014873218329412</v>
      </c>
      <c r="D84" s="24">
        <v>4.9000000000000101</v>
      </c>
      <c r="E84" s="24" cm="1">
        <f t="array" aca="1" ref="E84" ca="1">SUMPRODUCT(IF($B$5:$B$104&gt;D83,1,0),IF($B$5:$B$104&lt;=D84,1,0))</f>
        <v>1</v>
      </c>
    </row>
    <row r="85" spans="1:5">
      <c r="A85" s="27">
        <v>81</v>
      </c>
      <c r="B85" s="25">
        <f ca="1">100*(sim!$C$3+NORMSINV(RAND())*sim!$C$4)</f>
        <v>1.7086724725315134</v>
      </c>
      <c r="D85" s="24">
        <v>5.0000000000000098</v>
      </c>
      <c r="E85" s="24" cm="1">
        <f t="array" aca="1" ref="E85" ca="1">SUMPRODUCT(IF($B$5:$B$104&gt;D84,1,0),IF($B$5:$B$104&lt;=D85,1,0))</f>
        <v>0</v>
      </c>
    </row>
    <row r="86" spans="1:5">
      <c r="A86" s="27">
        <v>82</v>
      </c>
      <c r="B86" s="25">
        <f ca="1">100*(sim!$C$3+NORMSINV(RAND())*sim!$C$4)</f>
        <v>2.4045000527644631</v>
      </c>
      <c r="D86" s="24">
        <v>100</v>
      </c>
      <c r="E86" s="24" cm="1">
        <f t="array" aca="1" ref="E86" ca="1">SUMPRODUCT(IF($B$5:$B$104&gt;D85,1,0),IF($B$5:$B$104&lt;=D86,1,0))</f>
        <v>1</v>
      </c>
    </row>
    <row r="87" spans="1:5">
      <c r="A87" s="27">
        <v>83</v>
      </c>
      <c r="B87" s="25">
        <f ca="1">100*(sim!$C$3+NORMSINV(RAND())*sim!$C$4)</f>
        <v>1.1739893504338339</v>
      </c>
    </row>
    <row r="88" spans="1:5">
      <c r="A88" s="27">
        <v>84</v>
      </c>
      <c r="B88" s="25">
        <f ca="1">100*(sim!$C$3+NORMSINV(RAND())*sim!$C$4)</f>
        <v>2.1502017708128678</v>
      </c>
    </row>
    <row r="89" spans="1:5">
      <c r="A89" s="27">
        <v>85</v>
      </c>
      <c r="B89" s="25">
        <f ca="1">100*(sim!$C$3+NORMSINV(RAND())*sim!$C$4)</f>
        <v>1.8871851143506702</v>
      </c>
    </row>
    <row r="90" spans="1:5">
      <c r="A90" s="27">
        <v>86</v>
      </c>
      <c r="B90" s="25">
        <f ca="1">100*(sim!$C$3+NORMSINV(RAND())*sim!$C$4)</f>
        <v>3.5159723900797681</v>
      </c>
    </row>
    <row r="91" spans="1:5">
      <c r="A91" s="27">
        <v>87</v>
      </c>
      <c r="B91" s="25">
        <f ca="1">100*(sim!$C$3+NORMSINV(RAND())*sim!$C$4)</f>
        <v>1.4197118153542077</v>
      </c>
    </row>
    <row r="92" spans="1:5">
      <c r="A92" s="27">
        <v>88</v>
      </c>
      <c r="B92" s="25">
        <f ca="1">100*(sim!$C$3+NORMSINV(RAND())*sim!$C$4)</f>
        <v>2.8876709929625073</v>
      </c>
    </row>
    <row r="93" spans="1:5">
      <c r="A93" s="27">
        <v>89</v>
      </c>
      <c r="B93" s="25">
        <f ca="1">100*(sim!$C$3+NORMSINV(RAND())*sim!$C$4)</f>
        <v>0.57931937116765553</v>
      </c>
    </row>
    <row r="94" spans="1:5">
      <c r="A94" s="27">
        <v>90</v>
      </c>
      <c r="B94" s="25">
        <f ca="1">100*(sim!$C$3+NORMSINV(RAND())*sim!$C$4)</f>
        <v>1.7550401158049636</v>
      </c>
    </row>
    <row r="95" spans="1:5">
      <c r="A95" s="27">
        <v>91</v>
      </c>
      <c r="B95" s="25">
        <f ca="1">100*(sim!$C$3+NORMSINV(RAND())*sim!$C$4)</f>
        <v>0.9874245211819408</v>
      </c>
    </row>
    <row r="96" spans="1:5">
      <c r="A96" s="27">
        <v>92</v>
      </c>
      <c r="B96" s="25">
        <f ca="1">100*(sim!$C$3+NORMSINV(RAND())*sim!$C$4)</f>
        <v>2.968430418483937</v>
      </c>
    </row>
    <row r="97" spans="1:2">
      <c r="A97" s="27">
        <v>93</v>
      </c>
      <c r="B97" s="25">
        <f ca="1">100*(sim!$C$3+NORMSINV(RAND())*sim!$C$4)</f>
        <v>2.4857030446661028</v>
      </c>
    </row>
    <row r="98" spans="1:2">
      <c r="A98" s="27">
        <v>94</v>
      </c>
      <c r="B98" s="25">
        <f ca="1">100*(sim!$C$3+NORMSINV(RAND())*sim!$C$4)</f>
        <v>4.878545415953436</v>
      </c>
    </row>
    <row r="99" spans="1:2">
      <c r="A99" s="27">
        <v>95</v>
      </c>
      <c r="B99" s="25">
        <f ca="1">100*(sim!$C$3+NORMSINV(RAND())*sim!$C$4)</f>
        <v>2.5484603970482134</v>
      </c>
    </row>
    <row r="100" spans="1:2">
      <c r="A100" s="27">
        <v>96</v>
      </c>
      <c r="B100" s="25">
        <f ca="1">100*(sim!$C$3+NORMSINV(RAND())*sim!$C$4)</f>
        <v>1.9013316713749391</v>
      </c>
    </row>
    <row r="101" spans="1:2">
      <c r="A101" s="27">
        <v>97</v>
      </c>
      <c r="B101" s="25">
        <f ca="1">100*(sim!$C$3+NORMSINV(RAND())*sim!$C$4)</f>
        <v>3.7644885017366847</v>
      </c>
    </row>
    <row r="102" spans="1:2">
      <c r="A102" s="27">
        <v>98</v>
      </c>
      <c r="B102" s="25">
        <f ca="1">100*(sim!$C$3+NORMSINV(RAND())*sim!$C$4)</f>
        <v>2.790383358486082</v>
      </c>
    </row>
    <row r="103" spans="1:2">
      <c r="A103" s="27">
        <v>99</v>
      </c>
      <c r="B103" s="25">
        <f ca="1">100*(sim!$C$3+NORMSINV(RAND())*sim!$C$4)</f>
        <v>1.9713200531910815</v>
      </c>
    </row>
    <row r="104" spans="1:2">
      <c r="A104" s="27">
        <v>100</v>
      </c>
      <c r="B104" s="25">
        <f ca="1">100*(sim!$C$3+NORMSINV(RAND())*sim!$C$4)</f>
        <v>2.2474522292708499</v>
      </c>
    </row>
    <row r="105" spans="1:2">
      <c r="B105" s="25"/>
    </row>
    <row r="106" spans="1:2">
      <c r="B106" s="25"/>
    </row>
    <row r="107" spans="1:2">
      <c r="B107" s="25"/>
    </row>
    <row r="108" spans="1:2">
      <c r="B108" s="25"/>
    </row>
    <row r="109" spans="1:2">
      <c r="B109" s="25"/>
    </row>
    <row r="110" spans="1:2">
      <c r="B110" s="25"/>
    </row>
    <row r="111" spans="1:2">
      <c r="B111" s="25"/>
    </row>
    <row r="112" spans="1:2">
      <c r="B112" s="25"/>
    </row>
    <row r="113" spans="2:2">
      <c r="B113" s="25"/>
    </row>
    <row r="114" spans="2:2">
      <c r="B114" s="25"/>
    </row>
    <row r="115" spans="2:2">
      <c r="B115" s="25"/>
    </row>
    <row r="116" spans="2:2">
      <c r="B116" s="25"/>
    </row>
    <row r="117" spans="2:2">
      <c r="B117" s="25"/>
    </row>
    <row r="118" spans="2:2">
      <c r="B118" s="25"/>
    </row>
    <row r="119" spans="2:2">
      <c r="B119" s="25"/>
    </row>
    <row r="120" spans="2:2">
      <c r="B120" s="25"/>
    </row>
    <row r="121" spans="2:2">
      <c r="B121" s="25"/>
    </row>
    <row r="122" spans="2:2">
      <c r="B122" s="25"/>
    </row>
    <row r="123" spans="2:2">
      <c r="B123" s="25"/>
    </row>
    <row r="124" spans="2:2">
      <c r="B124" s="25"/>
    </row>
    <row r="125" spans="2:2">
      <c r="B125" s="25"/>
    </row>
    <row r="126" spans="2:2">
      <c r="B126" s="25"/>
    </row>
    <row r="127" spans="2:2">
      <c r="B127" s="25"/>
    </row>
    <row r="128" spans="2:2">
      <c r="B128" s="25"/>
    </row>
    <row r="129" spans="2:2">
      <c r="B129" s="25"/>
    </row>
    <row r="130" spans="2:2">
      <c r="B130" s="25"/>
    </row>
    <row r="131" spans="2:2">
      <c r="B131" s="25"/>
    </row>
    <row r="132" spans="2:2">
      <c r="B132" s="25"/>
    </row>
    <row r="133" spans="2:2">
      <c r="B133" s="25"/>
    </row>
    <row r="134" spans="2:2">
      <c r="B134" s="25"/>
    </row>
    <row r="135" spans="2:2">
      <c r="B135" s="25"/>
    </row>
    <row r="136" spans="2:2">
      <c r="B136" s="25"/>
    </row>
    <row r="137" spans="2:2">
      <c r="B137" s="25"/>
    </row>
    <row r="138" spans="2:2">
      <c r="B138" s="25"/>
    </row>
    <row r="139" spans="2:2">
      <c r="B139" s="25"/>
    </row>
    <row r="140" spans="2:2">
      <c r="B140" s="25"/>
    </row>
    <row r="141" spans="2:2">
      <c r="B141" s="25"/>
    </row>
    <row r="142" spans="2:2">
      <c r="B142" s="25"/>
    </row>
    <row r="143" spans="2:2">
      <c r="B143" s="25"/>
    </row>
    <row r="144" spans="2:2">
      <c r="B144" s="25"/>
    </row>
    <row r="145" spans="2:2">
      <c r="B145" s="25"/>
    </row>
    <row r="146" spans="2:2">
      <c r="B146" s="25"/>
    </row>
    <row r="147" spans="2:2">
      <c r="B147" s="25"/>
    </row>
    <row r="148" spans="2:2">
      <c r="B148" s="25"/>
    </row>
    <row r="149" spans="2:2">
      <c r="B149" s="25"/>
    </row>
    <row r="150" spans="2:2">
      <c r="B150" s="25"/>
    </row>
    <row r="151" spans="2:2">
      <c r="B151" s="25"/>
    </row>
    <row r="152" spans="2:2">
      <c r="B152" s="25"/>
    </row>
    <row r="153" spans="2:2">
      <c r="B153" s="25"/>
    </row>
    <row r="154" spans="2:2">
      <c r="B154" s="25"/>
    </row>
    <row r="155" spans="2:2">
      <c r="B155" s="25"/>
    </row>
    <row r="156" spans="2:2">
      <c r="B156" s="25"/>
    </row>
    <row r="157" spans="2:2">
      <c r="B157" s="25"/>
    </row>
    <row r="158" spans="2:2">
      <c r="B158" s="25"/>
    </row>
    <row r="159" spans="2:2">
      <c r="B159" s="25"/>
    </row>
    <row r="160" spans="2:2">
      <c r="B160" s="25"/>
    </row>
    <row r="161" spans="2:2">
      <c r="B161" s="25"/>
    </row>
    <row r="162" spans="2:2">
      <c r="B162" s="25"/>
    </row>
    <row r="163" spans="2:2">
      <c r="B163" s="25"/>
    </row>
    <row r="164" spans="2:2">
      <c r="B164" s="25"/>
    </row>
    <row r="165" spans="2:2">
      <c r="B165" s="25"/>
    </row>
    <row r="166" spans="2:2">
      <c r="B166" s="25"/>
    </row>
    <row r="167" spans="2:2">
      <c r="B167" s="25"/>
    </row>
    <row r="168" spans="2:2">
      <c r="B168" s="25"/>
    </row>
    <row r="169" spans="2:2">
      <c r="B169" s="25"/>
    </row>
    <row r="170" spans="2:2">
      <c r="B170" s="25"/>
    </row>
    <row r="171" spans="2:2">
      <c r="B171" s="25"/>
    </row>
    <row r="172" spans="2:2">
      <c r="B172" s="25"/>
    </row>
    <row r="173" spans="2:2">
      <c r="B173" s="25"/>
    </row>
    <row r="174" spans="2:2">
      <c r="B174" s="25"/>
    </row>
    <row r="175" spans="2:2">
      <c r="B175" s="25"/>
    </row>
    <row r="176" spans="2:2">
      <c r="B176" s="25"/>
    </row>
    <row r="177" spans="2:2">
      <c r="B177" s="25"/>
    </row>
    <row r="178" spans="2:2">
      <c r="B178" s="25"/>
    </row>
    <row r="179" spans="2:2">
      <c r="B179" s="25"/>
    </row>
    <row r="180" spans="2:2">
      <c r="B180" s="25"/>
    </row>
    <row r="181" spans="2:2">
      <c r="B181" s="25"/>
    </row>
    <row r="182" spans="2:2">
      <c r="B182" s="25"/>
    </row>
    <row r="183" spans="2:2">
      <c r="B183" s="25"/>
    </row>
    <row r="184" spans="2:2">
      <c r="B184" s="25"/>
    </row>
    <row r="185" spans="2:2">
      <c r="B185" s="25"/>
    </row>
    <row r="186" spans="2:2">
      <c r="B186" s="25"/>
    </row>
    <row r="187" spans="2:2">
      <c r="B187" s="25"/>
    </row>
    <row r="188" spans="2:2">
      <c r="B188" s="25"/>
    </row>
    <row r="189" spans="2:2">
      <c r="B189" s="25"/>
    </row>
    <row r="190" spans="2:2">
      <c r="B190" s="25"/>
    </row>
    <row r="191" spans="2:2">
      <c r="B191" s="25"/>
    </row>
    <row r="192" spans="2:2">
      <c r="B192" s="25"/>
    </row>
    <row r="193" spans="2:2">
      <c r="B193" s="25"/>
    </row>
    <row r="194" spans="2:2">
      <c r="B194" s="25"/>
    </row>
    <row r="195" spans="2:2">
      <c r="B195" s="25"/>
    </row>
    <row r="196" spans="2:2">
      <c r="B196" s="25"/>
    </row>
    <row r="197" spans="2:2">
      <c r="B197" s="25"/>
    </row>
    <row r="198" spans="2:2">
      <c r="B198" s="25"/>
    </row>
    <row r="199" spans="2:2">
      <c r="B199" s="25"/>
    </row>
    <row r="200" spans="2:2">
      <c r="B200" s="25"/>
    </row>
    <row r="201" spans="2:2">
      <c r="B201" s="25"/>
    </row>
    <row r="202" spans="2:2">
      <c r="B202" s="25"/>
    </row>
    <row r="203" spans="2:2">
      <c r="B203" s="25"/>
    </row>
    <row r="204" spans="2:2">
      <c r="B204" s="25"/>
    </row>
    <row r="205" spans="2:2">
      <c r="B205" s="25"/>
    </row>
    <row r="206" spans="2:2">
      <c r="B206" s="25"/>
    </row>
    <row r="207" spans="2:2">
      <c r="B207" s="25"/>
    </row>
    <row r="208" spans="2:2">
      <c r="B208" s="25"/>
    </row>
    <row r="209" spans="2:2">
      <c r="B209" s="25"/>
    </row>
    <row r="210" spans="2:2">
      <c r="B210" s="25"/>
    </row>
    <row r="211" spans="2:2">
      <c r="B211" s="25"/>
    </row>
    <row r="212" spans="2:2">
      <c r="B212" s="25"/>
    </row>
    <row r="213" spans="2:2">
      <c r="B213" s="25"/>
    </row>
    <row r="214" spans="2:2">
      <c r="B214" s="25"/>
    </row>
    <row r="215" spans="2:2">
      <c r="B215" s="25"/>
    </row>
    <row r="216" spans="2:2">
      <c r="B216" s="25"/>
    </row>
    <row r="217" spans="2:2">
      <c r="B217" s="25"/>
    </row>
    <row r="218" spans="2:2">
      <c r="B218" s="25"/>
    </row>
    <row r="219" spans="2:2">
      <c r="B219" s="25"/>
    </row>
    <row r="220" spans="2:2">
      <c r="B220" s="25"/>
    </row>
    <row r="221" spans="2:2">
      <c r="B221" s="25"/>
    </row>
    <row r="222" spans="2:2">
      <c r="B222" s="25"/>
    </row>
    <row r="223" spans="2:2">
      <c r="B223" s="25"/>
    </row>
    <row r="224" spans="2:2">
      <c r="B224" s="25"/>
    </row>
    <row r="225" spans="2:2">
      <c r="B225" s="25"/>
    </row>
    <row r="226" spans="2:2">
      <c r="B226" s="25"/>
    </row>
    <row r="227" spans="2:2">
      <c r="B227" s="25"/>
    </row>
    <row r="228" spans="2:2">
      <c r="B228" s="25"/>
    </row>
    <row r="229" spans="2:2">
      <c r="B229" s="25"/>
    </row>
    <row r="230" spans="2:2">
      <c r="B230" s="25"/>
    </row>
    <row r="231" spans="2:2">
      <c r="B231" s="25"/>
    </row>
    <row r="232" spans="2:2">
      <c r="B232" s="25"/>
    </row>
    <row r="233" spans="2:2">
      <c r="B233" s="25"/>
    </row>
    <row r="234" spans="2:2">
      <c r="B234" s="25"/>
    </row>
    <row r="235" spans="2:2">
      <c r="B235" s="25"/>
    </row>
    <row r="236" spans="2:2">
      <c r="B236" s="25"/>
    </row>
    <row r="237" spans="2:2">
      <c r="B237" s="25"/>
    </row>
    <row r="238" spans="2:2">
      <c r="B238" s="25"/>
    </row>
    <row r="239" spans="2:2">
      <c r="B239" s="25"/>
    </row>
    <row r="240" spans="2:2">
      <c r="B240" s="25"/>
    </row>
    <row r="241" spans="2:2">
      <c r="B241" s="25"/>
    </row>
    <row r="242" spans="2:2">
      <c r="B242" s="25"/>
    </row>
    <row r="243" spans="2:2">
      <c r="B243" s="25"/>
    </row>
    <row r="244" spans="2:2">
      <c r="B244" s="25"/>
    </row>
    <row r="245" spans="2:2">
      <c r="B245" s="25"/>
    </row>
    <row r="246" spans="2:2">
      <c r="B246" s="25"/>
    </row>
    <row r="247" spans="2:2">
      <c r="B247" s="25"/>
    </row>
    <row r="248" spans="2:2">
      <c r="B248" s="25"/>
    </row>
    <row r="249" spans="2:2">
      <c r="B249" s="25"/>
    </row>
    <row r="250" spans="2:2">
      <c r="B250" s="25"/>
    </row>
    <row r="251" spans="2:2">
      <c r="B251" s="25"/>
    </row>
    <row r="252" spans="2:2">
      <c r="B252" s="25"/>
    </row>
    <row r="253" spans="2:2">
      <c r="B253" s="25"/>
    </row>
    <row r="254" spans="2:2">
      <c r="B254" s="25"/>
    </row>
    <row r="255" spans="2:2">
      <c r="B255" s="25"/>
    </row>
    <row r="256" spans="2:2">
      <c r="B256" s="25"/>
    </row>
    <row r="257" spans="2:2">
      <c r="B257" s="25"/>
    </row>
    <row r="258" spans="2:2">
      <c r="B258" s="25"/>
    </row>
    <row r="259" spans="2:2">
      <c r="B259" s="25"/>
    </row>
    <row r="260" spans="2:2">
      <c r="B260" s="25"/>
    </row>
    <row r="261" spans="2:2">
      <c r="B261" s="25"/>
    </row>
    <row r="262" spans="2:2">
      <c r="B262" s="25"/>
    </row>
    <row r="263" spans="2:2">
      <c r="B263" s="25"/>
    </row>
    <row r="264" spans="2:2">
      <c r="B264" s="25"/>
    </row>
    <row r="265" spans="2:2">
      <c r="B265" s="25"/>
    </row>
    <row r="266" spans="2:2">
      <c r="B266" s="25"/>
    </row>
    <row r="267" spans="2:2">
      <c r="B267" s="25"/>
    </row>
    <row r="268" spans="2:2">
      <c r="B268" s="25"/>
    </row>
    <row r="269" spans="2:2">
      <c r="B269" s="25"/>
    </row>
    <row r="270" spans="2:2">
      <c r="B270" s="25"/>
    </row>
    <row r="271" spans="2:2">
      <c r="B271" s="25"/>
    </row>
    <row r="272" spans="2:2">
      <c r="B272" s="25"/>
    </row>
    <row r="273" spans="2:2">
      <c r="B273" s="25"/>
    </row>
    <row r="274" spans="2:2">
      <c r="B274" s="25"/>
    </row>
    <row r="275" spans="2:2">
      <c r="B275" s="25"/>
    </row>
    <row r="276" spans="2:2">
      <c r="B276" s="25"/>
    </row>
    <row r="277" spans="2:2">
      <c r="B277" s="25"/>
    </row>
    <row r="278" spans="2:2">
      <c r="B278" s="25"/>
    </row>
    <row r="279" spans="2:2">
      <c r="B279" s="25"/>
    </row>
    <row r="280" spans="2:2">
      <c r="B280" s="25"/>
    </row>
    <row r="281" spans="2:2">
      <c r="B281" s="25"/>
    </row>
    <row r="282" spans="2:2">
      <c r="B282" s="25"/>
    </row>
    <row r="283" spans="2:2">
      <c r="B283" s="25"/>
    </row>
    <row r="284" spans="2:2">
      <c r="B284" s="25"/>
    </row>
    <row r="285" spans="2:2">
      <c r="B285" s="25"/>
    </row>
    <row r="286" spans="2:2">
      <c r="B286" s="25"/>
    </row>
    <row r="287" spans="2:2">
      <c r="B287" s="25"/>
    </row>
    <row r="288" spans="2:2">
      <c r="B288" s="25"/>
    </row>
    <row r="289" spans="2:2">
      <c r="B289" s="25"/>
    </row>
    <row r="290" spans="2:2">
      <c r="B290" s="25"/>
    </row>
    <row r="291" spans="2:2">
      <c r="B291" s="25"/>
    </row>
    <row r="292" spans="2:2">
      <c r="B292" s="25"/>
    </row>
    <row r="293" spans="2:2">
      <c r="B293" s="25"/>
    </row>
    <row r="294" spans="2:2">
      <c r="B294" s="25"/>
    </row>
    <row r="295" spans="2:2">
      <c r="B295" s="25"/>
    </row>
    <row r="296" spans="2:2">
      <c r="B296" s="25"/>
    </row>
    <row r="297" spans="2:2">
      <c r="B297" s="25"/>
    </row>
    <row r="298" spans="2:2">
      <c r="B298" s="25"/>
    </row>
    <row r="299" spans="2:2">
      <c r="B299" s="25"/>
    </row>
    <row r="300" spans="2:2">
      <c r="B300" s="25"/>
    </row>
    <row r="301" spans="2:2">
      <c r="B301" s="25"/>
    </row>
    <row r="302" spans="2:2">
      <c r="B302" s="25"/>
    </row>
    <row r="303" spans="2:2">
      <c r="B303" s="25"/>
    </row>
    <row r="304" spans="2:2">
      <c r="B304" s="25"/>
    </row>
    <row r="305" spans="2:2">
      <c r="B305" s="25"/>
    </row>
    <row r="306" spans="2:2">
      <c r="B306" s="25"/>
    </row>
    <row r="307" spans="2:2">
      <c r="B307" s="25"/>
    </row>
    <row r="308" spans="2:2">
      <c r="B308" s="25"/>
    </row>
    <row r="309" spans="2:2">
      <c r="B309" s="25"/>
    </row>
    <row r="310" spans="2:2">
      <c r="B310" s="25"/>
    </row>
    <row r="311" spans="2:2">
      <c r="B311" s="25"/>
    </row>
    <row r="312" spans="2:2">
      <c r="B312" s="25"/>
    </row>
    <row r="313" spans="2:2">
      <c r="B313" s="25"/>
    </row>
    <row r="314" spans="2:2">
      <c r="B314" s="25"/>
    </row>
    <row r="315" spans="2:2">
      <c r="B315" s="25"/>
    </row>
    <row r="316" spans="2:2">
      <c r="B316" s="25"/>
    </row>
    <row r="317" spans="2:2">
      <c r="B317" s="25"/>
    </row>
    <row r="318" spans="2:2">
      <c r="B318" s="25"/>
    </row>
    <row r="319" spans="2:2">
      <c r="B319" s="25"/>
    </row>
    <row r="320" spans="2:2">
      <c r="B320" s="25"/>
    </row>
    <row r="321" spans="2:2">
      <c r="B321" s="25"/>
    </row>
    <row r="322" spans="2:2">
      <c r="B322" s="25"/>
    </row>
    <row r="323" spans="2:2">
      <c r="B323" s="25"/>
    </row>
    <row r="324" spans="2:2">
      <c r="B324" s="25"/>
    </row>
    <row r="325" spans="2:2">
      <c r="B325" s="25"/>
    </row>
    <row r="326" spans="2:2">
      <c r="B326" s="25"/>
    </row>
    <row r="327" spans="2:2">
      <c r="B327" s="25"/>
    </row>
    <row r="328" spans="2:2">
      <c r="B328" s="25"/>
    </row>
    <row r="329" spans="2:2">
      <c r="B329" s="25"/>
    </row>
    <row r="330" spans="2:2">
      <c r="B330" s="25"/>
    </row>
    <row r="331" spans="2:2">
      <c r="B331" s="25"/>
    </row>
    <row r="332" spans="2:2">
      <c r="B332" s="25"/>
    </row>
    <row r="333" spans="2:2">
      <c r="B333" s="25"/>
    </row>
    <row r="334" spans="2:2">
      <c r="B334" s="25"/>
    </row>
    <row r="335" spans="2:2">
      <c r="B335" s="25"/>
    </row>
    <row r="336" spans="2:2">
      <c r="B336" s="25"/>
    </row>
    <row r="337" spans="2:2">
      <c r="B337" s="25"/>
    </row>
    <row r="338" spans="2:2">
      <c r="B338" s="25"/>
    </row>
    <row r="339" spans="2:2">
      <c r="B339" s="25"/>
    </row>
    <row r="340" spans="2:2">
      <c r="B340" s="25"/>
    </row>
    <row r="341" spans="2:2">
      <c r="B341" s="25"/>
    </row>
    <row r="342" spans="2:2">
      <c r="B342" s="25"/>
    </row>
    <row r="343" spans="2:2">
      <c r="B343" s="25"/>
    </row>
    <row r="344" spans="2:2">
      <c r="B344" s="25"/>
    </row>
    <row r="345" spans="2:2">
      <c r="B345" s="25"/>
    </row>
    <row r="346" spans="2:2">
      <c r="B346" s="25"/>
    </row>
    <row r="347" spans="2:2">
      <c r="B347" s="25"/>
    </row>
    <row r="348" spans="2:2">
      <c r="B348" s="25"/>
    </row>
    <row r="349" spans="2:2">
      <c r="B349" s="25"/>
    </row>
    <row r="350" spans="2:2">
      <c r="B350" s="25"/>
    </row>
    <row r="351" spans="2:2">
      <c r="B351" s="25"/>
    </row>
    <row r="352" spans="2:2">
      <c r="B352" s="25"/>
    </row>
    <row r="353" spans="2:2">
      <c r="B353" s="25"/>
    </row>
    <row r="354" spans="2:2">
      <c r="B354" s="25"/>
    </row>
    <row r="355" spans="2:2">
      <c r="B355" s="25"/>
    </row>
    <row r="356" spans="2:2">
      <c r="B356" s="25"/>
    </row>
    <row r="357" spans="2:2">
      <c r="B357" s="25"/>
    </row>
    <row r="358" spans="2:2">
      <c r="B358" s="25"/>
    </row>
    <row r="359" spans="2:2">
      <c r="B359" s="25"/>
    </row>
    <row r="360" spans="2:2">
      <c r="B360" s="25"/>
    </row>
    <row r="361" spans="2:2">
      <c r="B361" s="25"/>
    </row>
    <row r="362" spans="2:2">
      <c r="B362" s="25"/>
    </row>
    <row r="363" spans="2:2">
      <c r="B363" s="25"/>
    </row>
    <row r="364" spans="2:2">
      <c r="B364" s="25"/>
    </row>
    <row r="365" spans="2:2">
      <c r="B365" s="25"/>
    </row>
    <row r="366" spans="2:2">
      <c r="B366" s="25"/>
    </row>
    <row r="367" spans="2:2">
      <c r="B367" s="25"/>
    </row>
    <row r="368" spans="2:2">
      <c r="B368" s="25"/>
    </row>
    <row r="369" spans="2:2">
      <c r="B369" s="25"/>
    </row>
    <row r="370" spans="2:2">
      <c r="B370" s="25"/>
    </row>
    <row r="371" spans="2:2">
      <c r="B371" s="25"/>
    </row>
    <row r="372" spans="2:2">
      <c r="B372" s="25"/>
    </row>
    <row r="373" spans="2:2">
      <c r="B373" s="25"/>
    </row>
    <row r="374" spans="2:2">
      <c r="B374" s="25"/>
    </row>
    <row r="375" spans="2:2">
      <c r="B375" s="25"/>
    </row>
    <row r="376" spans="2:2">
      <c r="B376" s="25"/>
    </row>
    <row r="377" spans="2:2">
      <c r="B377" s="25"/>
    </row>
    <row r="378" spans="2:2">
      <c r="B378" s="25"/>
    </row>
    <row r="379" spans="2:2">
      <c r="B379" s="25"/>
    </row>
    <row r="380" spans="2:2">
      <c r="B380" s="25"/>
    </row>
    <row r="381" spans="2:2">
      <c r="B381" s="25"/>
    </row>
    <row r="382" spans="2:2">
      <c r="B382" s="25"/>
    </row>
    <row r="383" spans="2:2">
      <c r="B383" s="25"/>
    </row>
    <row r="384" spans="2:2">
      <c r="B384" s="25"/>
    </row>
    <row r="385" spans="2:2">
      <c r="B385" s="25"/>
    </row>
    <row r="386" spans="2:2">
      <c r="B386" s="25"/>
    </row>
    <row r="387" spans="2:2">
      <c r="B387" s="25"/>
    </row>
    <row r="388" spans="2:2">
      <c r="B388" s="25"/>
    </row>
    <row r="389" spans="2:2">
      <c r="B389" s="25"/>
    </row>
    <row r="390" spans="2:2">
      <c r="B390" s="25"/>
    </row>
    <row r="391" spans="2:2">
      <c r="B391" s="25"/>
    </row>
    <row r="392" spans="2:2">
      <c r="B392" s="25"/>
    </row>
    <row r="393" spans="2:2">
      <c r="B393" s="25"/>
    </row>
    <row r="394" spans="2:2">
      <c r="B394" s="25"/>
    </row>
    <row r="395" spans="2:2">
      <c r="B395" s="25"/>
    </row>
    <row r="396" spans="2:2">
      <c r="B396" s="25"/>
    </row>
    <row r="397" spans="2:2">
      <c r="B397" s="25"/>
    </row>
    <row r="398" spans="2:2">
      <c r="B398" s="25"/>
    </row>
    <row r="399" spans="2:2">
      <c r="B399" s="25"/>
    </row>
    <row r="400" spans="2:2">
      <c r="B400" s="25"/>
    </row>
    <row r="401" spans="2:2">
      <c r="B401" s="25"/>
    </row>
    <row r="402" spans="2:2">
      <c r="B402" s="25"/>
    </row>
    <row r="403" spans="2:2">
      <c r="B403" s="25"/>
    </row>
    <row r="404" spans="2:2">
      <c r="B404" s="25"/>
    </row>
    <row r="405" spans="2:2">
      <c r="B405" s="25"/>
    </row>
    <row r="406" spans="2:2">
      <c r="B406" s="25"/>
    </row>
    <row r="407" spans="2:2">
      <c r="B407" s="25"/>
    </row>
    <row r="408" spans="2:2">
      <c r="B408" s="25"/>
    </row>
    <row r="409" spans="2:2">
      <c r="B409" s="25"/>
    </row>
    <row r="410" spans="2:2">
      <c r="B410" s="25"/>
    </row>
    <row r="411" spans="2:2">
      <c r="B411" s="25"/>
    </row>
    <row r="412" spans="2:2">
      <c r="B412" s="25"/>
    </row>
    <row r="413" spans="2:2">
      <c r="B413" s="25"/>
    </row>
    <row r="414" spans="2:2">
      <c r="B414" s="25"/>
    </row>
    <row r="415" spans="2:2">
      <c r="B415" s="25"/>
    </row>
    <row r="416" spans="2:2">
      <c r="B416" s="25"/>
    </row>
    <row r="417" spans="2:2">
      <c r="B417" s="25"/>
    </row>
    <row r="418" spans="2:2">
      <c r="B418" s="25"/>
    </row>
    <row r="419" spans="2:2">
      <c r="B419" s="25"/>
    </row>
    <row r="420" spans="2:2">
      <c r="B420" s="25"/>
    </row>
    <row r="421" spans="2:2">
      <c r="B421" s="25"/>
    </row>
    <row r="422" spans="2:2">
      <c r="B422" s="25"/>
    </row>
    <row r="423" spans="2:2">
      <c r="B423" s="25"/>
    </row>
    <row r="424" spans="2:2">
      <c r="B424" s="25"/>
    </row>
    <row r="425" spans="2:2">
      <c r="B425" s="25"/>
    </row>
    <row r="426" spans="2:2">
      <c r="B426" s="25"/>
    </row>
    <row r="427" spans="2:2">
      <c r="B427" s="25"/>
    </row>
    <row r="428" spans="2:2">
      <c r="B428" s="25"/>
    </row>
    <row r="429" spans="2:2">
      <c r="B429" s="25"/>
    </row>
    <row r="430" spans="2:2">
      <c r="B430" s="25"/>
    </row>
    <row r="431" spans="2:2">
      <c r="B431" s="25"/>
    </row>
    <row r="432" spans="2:2">
      <c r="B432" s="25"/>
    </row>
    <row r="433" spans="2:2">
      <c r="B433" s="25"/>
    </row>
    <row r="434" spans="2:2">
      <c r="B434" s="25"/>
    </row>
    <row r="435" spans="2:2">
      <c r="B435" s="25"/>
    </row>
    <row r="436" spans="2:2">
      <c r="B436" s="25"/>
    </row>
    <row r="437" spans="2:2">
      <c r="B437" s="25"/>
    </row>
    <row r="438" spans="2:2">
      <c r="B438" s="25"/>
    </row>
    <row r="439" spans="2:2">
      <c r="B439" s="25"/>
    </row>
    <row r="440" spans="2:2">
      <c r="B440" s="25"/>
    </row>
    <row r="441" spans="2:2">
      <c r="B441" s="25"/>
    </row>
    <row r="442" spans="2:2">
      <c r="B442" s="25"/>
    </row>
    <row r="443" spans="2:2">
      <c r="B443" s="25"/>
    </row>
    <row r="444" spans="2:2">
      <c r="B444" s="25"/>
    </row>
    <row r="445" spans="2:2">
      <c r="B445" s="25"/>
    </row>
    <row r="446" spans="2:2">
      <c r="B446" s="25"/>
    </row>
    <row r="447" spans="2:2">
      <c r="B447" s="25"/>
    </row>
    <row r="448" spans="2:2">
      <c r="B448" s="25"/>
    </row>
    <row r="449" spans="2:2">
      <c r="B449" s="25"/>
    </row>
    <row r="450" spans="2:2">
      <c r="B450" s="25"/>
    </row>
    <row r="451" spans="2:2">
      <c r="B451" s="25"/>
    </row>
    <row r="452" spans="2:2">
      <c r="B452" s="25"/>
    </row>
    <row r="453" spans="2:2">
      <c r="B453" s="25"/>
    </row>
    <row r="454" spans="2:2">
      <c r="B454" s="25"/>
    </row>
    <row r="455" spans="2:2">
      <c r="B455" s="25"/>
    </row>
    <row r="456" spans="2:2">
      <c r="B456" s="25"/>
    </row>
    <row r="457" spans="2:2">
      <c r="B457" s="25"/>
    </row>
    <row r="458" spans="2:2">
      <c r="B458" s="25"/>
    </row>
    <row r="459" spans="2:2">
      <c r="B459" s="25"/>
    </row>
    <row r="460" spans="2:2">
      <c r="B460" s="25"/>
    </row>
    <row r="461" spans="2:2">
      <c r="B461" s="25"/>
    </row>
    <row r="462" spans="2:2">
      <c r="B462" s="25"/>
    </row>
    <row r="463" spans="2:2">
      <c r="B463" s="25"/>
    </row>
    <row r="464" spans="2:2">
      <c r="B464" s="25"/>
    </row>
    <row r="465" spans="2:2">
      <c r="B465" s="25"/>
    </row>
    <row r="466" spans="2:2">
      <c r="B466" s="25"/>
    </row>
    <row r="467" spans="2:2">
      <c r="B467" s="25"/>
    </row>
    <row r="468" spans="2:2">
      <c r="B468" s="25"/>
    </row>
    <row r="469" spans="2:2">
      <c r="B469" s="25"/>
    </row>
    <row r="470" spans="2:2">
      <c r="B470" s="25"/>
    </row>
    <row r="471" spans="2:2">
      <c r="B471" s="25"/>
    </row>
    <row r="472" spans="2:2">
      <c r="B472" s="25"/>
    </row>
    <row r="473" spans="2:2">
      <c r="B473" s="25"/>
    </row>
    <row r="474" spans="2:2">
      <c r="B474" s="25"/>
    </row>
    <row r="475" spans="2:2">
      <c r="B475" s="25"/>
    </row>
    <row r="476" spans="2:2">
      <c r="B476" s="25"/>
    </row>
    <row r="477" spans="2:2">
      <c r="B477" s="25"/>
    </row>
    <row r="478" spans="2:2">
      <c r="B478" s="25"/>
    </row>
    <row r="479" spans="2:2">
      <c r="B479" s="25"/>
    </row>
    <row r="480" spans="2:2">
      <c r="B480" s="25"/>
    </row>
    <row r="481" spans="2:2">
      <c r="B481" s="25"/>
    </row>
    <row r="482" spans="2:2">
      <c r="B482" s="25"/>
    </row>
    <row r="483" spans="2:2">
      <c r="B483" s="25"/>
    </row>
    <row r="484" spans="2:2">
      <c r="B484" s="25"/>
    </row>
    <row r="485" spans="2:2">
      <c r="B485" s="25"/>
    </row>
    <row r="486" spans="2:2">
      <c r="B486" s="25"/>
    </row>
    <row r="487" spans="2:2">
      <c r="B487" s="25"/>
    </row>
    <row r="488" spans="2:2">
      <c r="B488" s="25"/>
    </row>
    <row r="489" spans="2:2">
      <c r="B489" s="25"/>
    </row>
    <row r="490" spans="2:2">
      <c r="B490" s="25"/>
    </row>
    <row r="491" spans="2:2">
      <c r="B491" s="25"/>
    </row>
    <row r="492" spans="2:2">
      <c r="B492" s="25"/>
    </row>
    <row r="493" spans="2:2">
      <c r="B493" s="25"/>
    </row>
    <row r="494" spans="2:2">
      <c r="B494" s="25"/>
    </row>
    <row r="495" spans="2:2">
      <c r="B495" s="25"/>
    </row>
    <row r="496" spans="2:2">
      <c r="B496" s="25"/>
    </row>
    <row r="497" spans="2:2">
      <c r="B497" s="25"/>
    </row>
    <row r="498" spans="2:2">
      <c r="B498" s="25"/>
    </row>
    <row r="499" spans="2:2">
      <c r="B499" s="25"/>
    </row>
    <row r="500" spans="2:2">
      <c r="B500" s="25"/>
    </row>
    <row r="501" spans="2:2">
      <c r="B501" s="25"/>
    </row>
    <row r="502" spans="2:2">
      <c r="B502" s="25"/>
    </row>
    <row r="503" spans="2:2">
      <c r="B503" s="25"/>
    </row>
    <row r="504" spans="2:2">
      <c r="B504" s="2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3397-933F-4834-8A55-73DA3F97D7C4}">
  <dimension ref="A4:O504"/>
  <sheetViews>
    <sheetView tabSelected="1" workbookViewId="0">
      <selection activeCell="N1" sqref="N1"/>
    </sheetView>
  </sheetViews>
  <sheetFormatPr defaultColWidth="8.69140625" defaultRowHeight="14.15"/>
  <cols>
    <col min="1" max="1" width="8.69140625" style="24"/>
    <col min="2" max="2" width="9" style="24" bestFit="1" customWidth="1"/>
    <col min="3" max="16384" width="8.69140625" style="24"/>
  </cols>
  <sheetData>
    <row r="4" spans="1:15">
      <c r="D4" s="24">
        <v>-100</v>
      </c>
      <c r="N4" s="24">
        <v>-100</v>
      </c>
    </row>
    <row r="5" spans="1:15">
      <c r="A5" s="27">
        <v>1</v>
      </c>
      <c r="B5" s="25">
        <f ca="1">100*(sim!$C$3+NORMSINV(RAND())*sim!$C$4)</f>
        <v>2.0612239382036286</v>
      </c>
      <c r="D5" s="24">
        <v>-3</v>
      </c>
      <c r="E5" s="24" cm="1">
        <f t="array" aca="1" ref="E5" ca="1">SUMPRODUCT(IF($B$5:$B$504&gt;D4,1,0),IF($B$5:$B$504&lt;=D5,1,0))</f>
        <v>0</v>
      </c>
      <c r="N5" s="24">
        <v>-3</v>
      </c>
      <c r="O5" s="24" cm="1">
        <f t="array" aca="1" ref="O5" ca="1">SUMPRODUCT(IF($B$5:$B$504&gt;N4,1,0),IF($B$5:$B$504&lt;=N5,1,0))</f>
        <v>0</v>
      </c>
    </row>
    <row r="6" spans="1:15">
      <c r="A6" s="27">
        <v>2</v>
      </c>
      <c r="B6" s="25">
        <f ca="1">100*(sim!$C$3+NORMSINV(RAND())*sim!$C$4)</f>
        <v>3.2940497796569881</v>
      </c>
      <c r="D6" s="24">
        <v>-2.9</v>
      </c>
      <c r="E6" s="24" cm="1">
        <f t="array" aca="1" ref="E6" ca="1">SUMPRODUCT(IF($B$5:$B$504&gt;D5,1,0),IF($B$5:$B$504&lt;=D6,1,0))</f>
        <v>0</v>
      </c>
      <c r="N6" s="24">
        <v>-2.75</v>
      </c>
      <c r="O6" s="24" cm="1">
        <f t="array" aca="1" ref="O6" ca="1">SUMPRODUCT(IF($B$5:$B$504&gt;N5,1,0),IF($B$5:$B$504&lt;=N6,1,0))</f>
        <v>0</v>
      </c>
    </row>
    <row r="7" spans="1:15">
      <c r="A7" s="27">
        <v>3</v>
      </c>
      <c r="B7" s="25">
        <f ca="1">100*(sim!$C$3+NORMSINV(RAND())*sim!$C$4)</f>
        <v>1.5752681344671158</v>
      </c>
      <c r="D7" s="24">
        <v>-2.8</v>
      </c>
      <c r="E7" s="24" cm="1">
        <f t="array" aca="1" ref="E7" ca="1">SUMPRODUCT(IF($B$5:$B$504&gt;D6,1,0),IF($B$5:$B$504&lt;=D7,1,0))</f>
        <v>0</v>
      </c>
      <c r="N7" s="24">
        <v>-2.5</v>
      </c>
      <c r="O7" s="24" cm="1">
        <f t="array" aca="1" ref="O7" ca="1">SUMPRODUCT(IF($B$5:$B$504&gt;N6,1,0),IF($B$5:$B$504&lt;=N7,1,0))</f>
        <v>0</v>
      </c>
    </row>
    <row r="8" spans="1:15">
      <c r="A8" s="27">
        <v>4</v>
      </c>
      <c r="B8" s="25">
        <f ca="1">100*(sim!$C$3+NORMSINV(RAND())*sim!$C$4)</f>
        <v>-0.77985232270572047</v>
      </c>
      <c r="D8" s="24">
        <v>-2.7</v>
      </c>
      <c r="E8" s="24" cm="1">
        <f t="array" aca="1" ref="E8" ca="1">SUMPRODUCT(IF($B$5:$B$504&gt;D7,1,0),IF($B$5:$B$504&lt;=D8,1,0))</f>
        <v>0</v>
      </c>
      <c r="N8" s="24">
        <v>-2.25</v>
      </c>
      <c r="O8" s="24" cm="1">
        <f t="array" aca="1" ref="O8" ca="1">SUMPRODUCT(IF($B$5:$B$504&gt;N7,1,0),IF($B$5:$B$504&lt;=N8,1,0))</f>
        <v>0</v>
      </c>
    </row>
    <row r="9" spans="1:15">
      <c r="A9" s="27">
        <v>5</v>
      </c>
      <c r="B9" s="25">
        <f ca="1">100*(sim!$C$3+NORMSINV(RAND())*sim!$C$4)</f>
        <v>3.3027544829266389</v>
      </c>
      <c r="D9" s="24">
        <v>-2.6</v>
      </c>
      <c r="E9" s="24" cm="1">
        <f t="array" aca="1" ref="E9" ca="1">SUMPRODUCT(IF($B$5:$B$504&gt;D8,1,0),IF($B$5:$B$504&lt;=D9,1,0))</f>
        <v>0</v>
      </c>
      <c r="N9" s="24">
        <v>-2</v>
      </c>
      <c r="O9" s="24" cm="1">
        <f t="array" aca="1" ref="O9" ca="1">SUMPRODUCT(IF($B$5:$B$504&gt;N8,1,0),IF($B$5:$B$504&lt;=N9,1,0))</f>
        <v>0</v>
      </c>
    </row>
    <row r="10" spans="1:15">
      <c r="A10" s="27">
        <v>6</v>
      </c>
      <c r="B10" s="25">
        <f ca="1">100*(sim!$C$3+NORMSINV(RAND())*sim!$C$4)</f>
        <v>2.566543398668145</v>
      </c>
      <c r="D10" s="24">
        <v>-2.5</v>
      </c>
      <c r="E10" s="24" cm="1">
        <f t="array" aca="1" ref="E10" ca="1">SUMPRODUCT(IF($B$5:$B$504&gt;D9,1,0),IF($B$5:$B$504&lt;=D10,1,0))</f>
        <v>0</v>
      </c>
      <c r="N10" s="24">
        <v>-1.75</v>
      </c>
      <c r="O10" s="24" cm="1">
        <f t="array" aca="1" ref="O10" ca="1">SUMPRODUCT(IF($B$5:$B$504&gt;N9,1,0),IF($B$5:$B$504&lt;=N10,1,0))</f>
        <v>0</v>
      </c>
    </row>
    <row r="11" spans="1:15">
      <c r="A11" s="27">
        <v>7</v>
      </c>
      <c r="B11" s="25">
        <f ca="1">100*(sim!$C$3+NORMSINV(RAND())*sim!$C$4)</f>
        <v>2.3607598090462361</v>
      </c>
      <c r="D11" s="24">
        <v>-2.4</v>
      </c>
      <c r="E11" s="24" cm="1">
        <f t="array" aca="1" ref="E11" ca="1">SUMPRODUCT(IF($B$5:$B$504&gt;D10,1,0),IF($B$5:$B$504&lt;=D11,1,0))</f>
        <v>0</v>
      </c>
      <c r="N11" s="24">
        <v>-1.5</v>
      </c>
      <c r="O11" s="24" cm="1">
        <f t="array" aca="1" ref="O11" ca="1">SUMPRODUCT(IF($B$5:$B$504&gt;N10,1,0),IF($B$5:$B$504&lt;=N11,1,0))</f>
        <v>0</v>
      </c>
    </row>
    <row r="12" spans="1:15">
      <c r="A12" s="27">
        <v>8</v>
      </c>
      <c r="B12" s="25">
        <f ca="1">100*(sim!$C$3+NORMSINV(RAND())*sim!$C$4)</f>
        <v>2.1136221437580227</v>
      </c>
      <c r="D12" s="24">
        <v>-2.2999999999999998</v>
      </c>
      <c r="E12" s="24" cm="1">
        <f t="array" aca="1" ref="E12" ca="1">SUMPRODUCT(IF($B$5:$B$504&gt;D11,1,0),IF($B$5:$B$504&lt;=D12,1,0))</f>
        <v>0</v>
      </c>
      <c r="N12" s="24">
        <v>-1.25</v>
      </c>
      <c r="O12" s="24" cm="1">
        <f t="array" aca="1" ref="O12" ca="1">SUMPRODUCT(IF($B$5:$B$504&gt;N11,1,0),IF($B$5:$B$504&lt;=N12,1,0))</f>
        <v>0</v>
      </c>
    </row>
    <row r="13" spans="1:15">
      <c r="A13" s="27">
        <v>9</v>
      </c>
      <c r="B13" s="25">
        <f ca="1">100*(sim!$C$3+NORMSINV(RAND())*sim!$C$4)</f>
        <v>2.3327307938101813</v>
      </c>
      <c r="D13" s="24">
        <v>-2.2000000000000002</v>
      </c>
      <c r="E13" s="24" cm="1">
        <f t="array" aca="1" ref="E13" ca="1">SUMPRODUCT(IF($B$5:$B$504&gt;D12,1,0),IF($B$5:$B$504&lt;=D13,1,0))</f>
        <v>0</v>
      </c>
      <c r="N13" s="24">
        <v>-1</v>
      </c>
      <c r="O13" s="24" cm="1">
        <f t="array" aca="1" ref="O13" ca="1">SUMPRODUCT(IF($B$5:$B$504&gt;N12,1,0),IF($B$5:$B$504&lt;=N13,1,0))</f>
        <v>0</v>
      </c>
    </row>
    <row r="14" spans="1:15">
      <c r="A14" s="27">
        <v>10</v>
      </c>
      <c r="B14" s="25">
        <f ca="1">100*(sim!$C$3+NORMSINV(RAND())*sim!$C$4)</f>
        <v>2.7507531373552818</v>
      </c>
      <c r="D14" s="24">
        <v>-2.1</v>
      </c>
      <c r="E14" s="24" cm="1">
        <f t="array" aca="1" ref="E14" ca="1">SUMPRODUCT(IF($B$5:$B$504&gt;D13,1,0),IF($B$5:$B$504&lt;=D14,1,0))</f>
        <v>0</v>
      </c>
      <c r="N14" s="24">
        <v>-0.75</v>
      </c>
      <c r="O14" s="24" cm="1">
        <f t="array" aca="1" ref="O14" ca="1">SUMPRODUCT(IF($B$5:$B$504&gt;N13,1,0),IF($B$5:$B$504&lt;=N14,1,0))</f>
        <v>3</v>
      </c>
    </row>
    <row r="15" spans="1:15">
      <c r="A15" s="27">
        <v>11</v>
      </c>
      <c r="B15" s="25">
        <f ca="1">100*(sim!$C$3+NORMSINV(RAND())*sim!$C$4)</f>
        <v>1.7965530614280196</v>
      </c>
      <c r="D15" s="24">
        <v>-2</v>
      </c>
      <c r="E15" s="24" cm="1">
        <f t="array" aca="1" ref="E15" ca="1">SUMPRODUCT(IF($B$5:$B$504&gt;D14,1,0),IF($B$5:$B$504&lt;=D15,1,0))</f>
        <v>0</v>
      </c>
      <c r="N15" s="24">
        <v>-0.5</v>
      </c>
      <c r="O15" s="24" cm="1">
        <f t="array" aca="1" ref="O15" ca="1">SUMPRODUCT(IF($B$5:$B$504&gt;N14,1,0),IF($B$5:$B$504&lt;=N15,1,0))</f>
        <v>0</v>
      </c>
    </row>
    <row r="16" spans="1:15">
      <c r="A16" s="27">
        <v>12</v>
      </c>
      <c r="B16" s="25">
        <f ca="1">100*(sim!$C$3+NORMSINV(RAND())*sim!$C$4)</f>
        <v>1.8062616876384294</v>
      </c>
      <c r="D16" s="24">
        <v>-1.9</v>
      </c>
      <c r="E16" s="24" cm="1">
        <f t="array" aca="1" ref="E16" ca="1">SUMPRODUCT(IF($B$5:$B$504&gt;D15,1,0),IF($B$5:$B$504&lt;=D16,1,0))</f>
        <v>0</v>
      </c>
      <c r="N16" s="24">
        <v>-0.25</v>
      </c>
      <c r="O16" s="24" cm="1">
        <f t="array" aca="1" ref="O16" ca="1">SUMPRODUCT(IF($B$5:$B$504&gt;N15,1,0),IF($B$5:$B$504&lt;=N16,1,0))</f>
        <v>2</v>
      </c>
    </row>
    <row r="17" spans="1:15">
      <c r="A17" s="27">
        <v>13</v>
      </c>
      <c r="B17" s="25">
        <f ca="1">100*(sim!$C$3+NORMSINV(RAND())*sim!$C$4)</f>
        <v>2.5108762329883607</v>
      </c>
      <c r="D17" s="24">
        <v>-1.8</v>
      </c>
      <c r="E17" s="24" cm="1">
        <f t="array" aca="1" ref="E17" ca="1">SUMPRODUCT(IF($B$5:$B$504&gt;D16,1,0),IF($B$5:$B$504&lt;=D17,1,0))</f>
        <v>0</v>
      </c>
      <c r="N17" s="24">
        <v>0</v>
      </c>
      <c r="O17" s="24" cm="1">
        <f t="array" aca="1" ref="O17" ca="1">SUMPRODUCT(IF($B$5:$B$504&gt;N16,1,0),IF($B$5:$B$504&lt;=N17,1,0))</f>
        <v>8</v>
      </c>
    </row>
    <row r="18" spans="1:15">
      <c r="A18" s="27">
        <v>14</v>
      </c>
      <c r="B18" s="25">
        <f ca="1">100*(sim!$C$3+NORMSINV(RAND())*sim!$C$4)</f>
        <v>2.3230936863807776</v>
      </c>
      <c r="D18" s="24">
        <v>-1.7</v>
      </c>
      <c r="E18" s="24" cm="1">
        <f t="array" aca="1" ref="E18" ca="1">SUMPRODUCT(IF($B$5:$B$504&gt;D17,1,0),IF($B$5:$B$504&lt;=D18,1,0))</f>
        <v>0</v>
      </c>
      <c r="N18" s="24">
        <v>0.25</v>
      </c>
      <c r="O18" s="24" cm="1">
        <f t="array" aca="1" ref="O18" ca="1">SUMPRODUCT(IF($B$5:$B$504&gt;N17,1,0),IF($B$5:$B$504&lt;=N18,1,0))</f>
        <v>9</v>
      </c>
    </row>
    <row r="19" spans="1:15">
      <c r="A19" s="27">
        <v>15</v>
      </c>
      <c r="B19" s="25">
        <f ca="1">100*(sim!$C$3+NORMSINV(RAND())*sim!$C$4)</f>
        <v>2.7502608725892488</v>
      </c>
      <c r="D19" s="24">
        <v>-1.6</v>
      </c>
      <c r="E19" s="24" cm="1">
        <f t="array" aca="1" ref="E19" ca="1">SUMPRODUCT(IF($B$5:$B$504&gt;D18,1,0),IF($B$5:$B$504&lt;=D19,1,0))</f>
        <v>0</v>
      </c>
      <c r="N19" s="24">
        <v>0.5</v>
      </c>
      <c r="O19" s="24" cm="1">
        <f t="array" aca="1" ref="O19" ca="1">SUMPRODUCT(IF($B$5:$B$504&gt;N18,1,0),IF($B$5:$B$504&lt;=N19,1,0))</f>
        <v>13</v>
      </c>
    </row>
    <row r="20" spans="1:15">
      <c r="A20" s="27">
        <v>16</v>
      </c>
      <c r="B20" s="25">
        <f ca="1">100*(sim!$C$3+NORMSINV(RAND())*sim!$C$4)</f>
        <v>3.7690616940430952</v>
      </c>
      <c r="D20" s="24">
        <v>-1.5</v>
      </c>
      <c r="E20" s="24" cm="1">
        <f t="array" aca="1" ref="E20" ca="1">SUMPRODUCT(IF($B$5:$B$504&gt;D19,1,0),IF($B$5:$B$504&lt;=D20,1,0))</f>
        <v>0</v>
      </c>
      <c r="N20" s="24">
        <v>0.75</v>
      </c>
      <c r="O20" s="24" cm="1">
        <f t="array" aca="1" ref="O20" ca="1">SUMPRODUCT(IF($B$5:$B$504&gt;N19,1,0),IF($B$5:$B$504&lt;=N20,1,0))</f>
        <v>24</v>
      </c>
    </row>
    <row r="21" spans="1:15">
      <c r="A21" s="27">
        <v>17</v>
      </c>
      <c r="B21" s="25">
        <f ca="1">100*(sim!$C$3+NORMSINV(RAND())*sim!$C$4)</f>
        <v>3.0499866602469687</v>
      </c>
      <c r="D21" s="24">
        <v>-1.4</v>
      </c>
      <c r="E21" s="24" cm="1">
        <f t="array" aca="1" ref="E21" ca="1">SUMPRODUCT(IF($B$5:$B$504&gt;D20,1,0),IF($B$5:$B$504&lt;=D21,1,0))</f>
        <v>0</v>
      </c>
      <c r="N21" s="24">
        <v>1</v>
      </c>
      <c r="O21" s="24" cm="1">
        <f t="array" aca="1" ref="O21" ca="1">SUMPRODUCT(IF($B$5:$B$504&gt;N20,1,0),IF($B$5:$B$504&lt;=N21,1,0))</f>
        <v>26</v>
      </c>
    </row>
    <row r="22" spans="1:15">
      <c r="A22" s="27">
        <v>18</v>
      </c>
      <c r="B22" s="25">
        <f ca="1">100*(sim!$C$3+NORMSINV(RAND())*sim!$C$4)</f>
        <v>1.3802594725871125</v>
      </c>
      <c r="D22" s="24">
        <v>-1.3</v>
      </c>
      <c r="E22" s="24" cm="1">
        <f t="array" aca="1" ref="E22" ca="1">SUMPRODUCT(IF($B$5:$B$504&gt;D21,1,0),IF($B$5:$B$504&lt;=D22,1,0))</f>
        <v>0</v>
      </c>
      <c r="N22" s="24">
        <v>1.25</v>
      </c>
      <c r="O22" s="24" cm="1">
        <f t="array" aca="1" ref="O22" ca="1">SUMPRODUCT(IF($B$5:$B$504&gt;N21,1,0),IF($B$5:$B$504&lt;=N22,1,0))</f>
        <v>23</v>
      </c>
    </row>
    <row r="23" spans="1:15">
      <c r="A23" s="27">
        <v>19</v>
      </c>
      <c r="B23" s="25">
        <f ca="1">100*(sim!$C$3+NORMSINV(RAND())*sim!$C$4)</f>
        <v>2.4629775380898793</v>
      </c>
      <c r="D23" s="24">
        <v>-1.2</v>
      </c>
      <c r="E23" s="24" cm="1">
        <f t="array" aca="1" ref="E23" ca="1">SUMPRODUCT(IF($B$5:$B$504&gt;D22,1,0),IF($B$5:$B$504&lt;=D23,1,0))</f>
        <v>0</v>
      </c>
      <c r="N23" s="24">
        <v>1.5</v>
      </c>
      <c r="O23" s="24" cm="1">
        <f t="array" aca="1" ref="O23" ca="1">SUMPRODUCT(IF($B$5:$B$504&gt;N22,1,0),IF($B$5:$B$504&lt;=N23,1,0))</f>
        <v>53</v>
      </c>
    </row>
    <row r="24" spans="1:15">
      <c r="A24" s="27">
        <v>20</v>
      </c>
      <c r="B24" s="25">
        <f ca="1">100*(sim!$C$3+NORMSINV(RAND())*sim!$C$4)</f>
        <v>1.4322115911514728</v>
      </c>
      <c r="D24" s="24">
        <v>-1.1000000000000001</v>
      </c>
      <c r="E24" s="24" cm="1">
        <f t="array" aca="1" ref="E24" ca="1">SUMPRODUCT(IF($B$5:$B$504&gt;D23,1,0),IF($B$5:$B$504&lt;=D24,1,0))</f>
        <v>0</v>
      </c>
      <c r="N24" s="24">
        <v>1.75</v>
      </c>
      <c r="O24" s="24" cm="1">
        <f t="array" aca="1" ref="O24" ca="1">SUMPRODUCT(IF($B$5:$B$504&gt;N23,1,0),IF($B$5:$B$504&lt;=N24,1,0))</f>
        <v>40</v>
      </c>
    </row>
    <row r="25" spans="1:15">
      <c r="A25" s="27">
        <v>21</v>
      </c>
      <c r="B25" s="25">
        <f ca="1">100*(sim!$C$3+NORMSINV(RAND())*sim!$C$4)</f>
        <v>1.8640550721098863</v>
      </c>
      <c r="D25" s="24">
        <v>-1</v>
      </c>
      <c r="E25" s="24" cm="1">
        <f t="array" aca="1" ref="E25" ca="1">SUMPRODUCT(IF($B$5:$B$504&gt;D24,1,0),IF($B$5:$B$504&lt;=D25,1,0))</f>
        <v>0</v>
      </c>
      <c r="N25" s="24">
        <v>2</v>
      </c>
      <c r="O25" s="24" cm="1">
        <f t="array" aca="1" ref="O25" ca="1">SUMPRODUCT(IF($B$5:$B$504&gt;N24,1,0),IF($B$5:$B$504&lt;=N25,1,0))</f>
        <v>41</v>
      </c>
    </row>
    <row r="26" spans="1:15">
      <c r="A26" s="27">
        <v>22</v>
      </c>
      <c r="B26" s="25">
        <f ca="1">100*(sim!$C$3+NORMSINV(RAND())*sim!$C$4)</f>
        <v>3.7045712519249387</v>
      </c>
      <c r="D26" s="24">
        <v>-0.9</v>
      </c>
      <c r="E26" s="24" cm="1">
        <f t="array" aca="1" ref="E26" ca="1">SUMPRODUCT(IF($B$5:$B$504&gt;D25,1,0),IF($B$5:$B$504&lt;=D26,1,0))</f>
        <v>0</v>
      </c>
      <c r="N26" s="24">
        <v>2.25</v>
      </c>
      <c r="O26" s="24" cm="1">
        <f t="array" aca="1" ref="O26" ca="1">SUMPRODUCT(IF($B$5:$B$504&gt;N25,1,0),IF($B$5:$B$504&lt;=N26,1,0))</f>
        <v>47</v>
      </c>
    </row>
    <row r="27" spans="1:15">
      <c r="A27" s="27">
        <v>23</v>
      </c>
      <c r="B27" s="25">
        <f ca="1">100*(sim!$C$3+NORMSINV(RAND())*sim!$C$4)</f>
        <v>2.76280841200083</v>
      </c>
      <c r="D27" s="24">
        <v>-0.8</v>
      </c>
      <c r="E27" s="24" cm="1">
        <f t="array" aca="1" ref="E27" ca="1">SUMPRODUCT(IF($B$5:$B$504&gt;D26,1,0),IF($B$5:$B$504&lt;=D27,1,0))</f>
        <v>1</v>
      </c>
      <c r="N27" s="24">
        <v>2.5</v>
      </c>
      <c r="O27" s="24" cm="1">
        <f t="array" aca="1" ref="O27" ca="1">SUMPRODUCT(IF($B$5:$B$504&gt;N26,1,0),IF($B$5:$B$504&lt;=N27,1,0))</f>
        <v>51</v>
      </c>
    </row>
    <row r="28" spans="1:15">
      <c r="A28" s="27">
        <v>24</v>
      </c>
      <c r="B28" s="25">
        <f ca="1">100*(sim!$C$3+NORMSINV(RAND())*sim!$C$4)</f>
        <v>1.7875194508477272</v>
      </c>
      <c r="D28" s="24">
        <v>-0.7</v>
      </c>
      <c r="E28" s="24" cm="1">
        <f t="array" aca="1" ref="E28" ca="1">SUMPRODUCT(IF($B$5:$B$504&gt;D27,1,0),IF($B$5:$B$504&lt;=D28,1,0))</f>
        <v>2</v>
      </c>
      <c r="N28" s="24">
        <v>2.75</v>
      </c>
      <c r="O28" s="24" cm="1">
        <f t="array" aca="1" ref="O28" ca="1">SUMPRODUCT(IF($B$5:$B$504&gt;N27,1,0),IF($B$5:$B$504&lt;=N28,1,0))</f>
        <v>45</v>
      </c>
    </row>
    <row r="29" spans="1:15">
      <c r="A29" s="27">
        <v>25</v>
      </c>
      <c r="B29" s="25">
        <f ca="1">100*(sim!$C$3+NORMSINV(RAND())*sim!$C$4)</f>
        <v>2.1357977400842461</v>
      </c>
      <c r="D29" s="24">
        <v>-0.6</v>
      </c>
      <c r="E29" s="24" cm="1">
        <f t="array" aca="1" ref="E29" ca="1">SUMPRODUCT(IF($B$5:$B$504&gt;D28,1,0),IF($B$5:$B$504&lt;=D29,1,0))</f>
        <v>0</v>
      </c>
      <c r="N29" s="24">
        <v>3</v>
      </c>
      <c r="O29" s="24" cm="1">
        <f t="array" aca="1" ref="O29" ca="1">SUMPRODUCT(IF($B$5:$B$504&gt;N28,1,0),IF($B$5:$B$504&lt;=N29,1,0))</f>
        <v>37</v>
      </c>
    </row>
    <row r="30" spans="1:15">
      <c r="A30" s="27">
        <v>26</v>
      </c>
      <c r="B30" s="25">
        <f ca="1">100*(sim!$C$3+NORMSINV(RAND())*sim!$C$4)</f>
        <v>2.3375601031246451</v>
      </c>
      <c r="D30" s="24">
        <v>-0.5</v>
      </c>
      <c r="E30" s="24" cm="1">
        <f t="array" aca="1" ref="E30" ca="1">SUMPRODUCT(IF($B$5:$B$504&gt;D29,1,0),IF($B$5:$B$504&lt;=D30,1,0))</f>
        <v>0</v>
      </c>
      <c r="I30" s="24" t="s">
        <v>16</v>
      </c>
      <c r="N30" s="24">
        <v>3.25</v>
      </c>
      <c r="O30" s="24" cm="1">
        <f t="array" aca="1" ref="O30" ca="1">SUMPRODUCT(IF($B$5:$B$504&gt;N29,1,0),IF($B$5:$B$504&lt;=N30,1,0))</f>
        <v>23</v>
      </c>
    </row>
    <row r="31" spans="1:15">
      <c r="A31" s="27">
        <v>27</v>
      </c>
      <c r="B31" s="25">
        <f ca="1">100*(sim!$C$3+NORMSINV(RAND())*sim!$C$4)</f>
        <v>1.4752953519013094</v>
      </c>
      <c r="D31" s="24">
        <v>-0.4</v>
      </c>
      <c r="E31" s="24" cm="1">
        <f t="array" aca="1" ref="E31" ca="1">SUMPRODUCT(IF($B$5:$B$504&gt;D30,1,0),IF($B$5:$B$504&lt;=D31,1,0))</f>
        <v>1</v>
      </c>
      <c r="N31" s="24">
        <v>3.5</v>
      </c>
      <c r="O31" s="24" cm="1">
        <f t="array" aca="1" ref="O31" ca="1">SUMPRODUCT(IF($B$5:$B$504&gt;N30,1,0),IF($B$5:$B$504&lt;=N31,1,0))</f>
        <v>17</v>
      </c>
    </row>
    <row r="32" spans="1:15">
      <c r="A32" s="27">
        <v>28</v>
      </c>
      <c r="B32" s="25">
        <f ca="1">100*(sim!$C$3+NORMSINV(RAND())*sim!$C$4)</f>
        <v>3.2367228942703301</v>
      </c>
      <c r="D32" s="24">
        <v>-0.3</v>
      </c>
      <c r="E32" s="24" cm="1">
        <f t="array" aca="1" ref="E32" ca="1">SUMPRODUCT(IF($B$5:$B$504&gt;D31,1,0),IF($B$5:$B$504&lt;=D32,1,0))</f>
        <v>0</v>
      </c>
      <c r="N32" s="24">
        <v>3.75</v>
      </c>
      <c r="O32" s="24" cm="1">
        <f t="array" aca="1" ref="O32" ca="1">SUMPRODUCT(IF($B$5:$B$504&gt;N31,1,0),IF($B$5:$B$504&lt;=N32,1,0))</f>
        <v>17</v>
      </c>
    </row>
    <row r="33" spans="1:15">
      <c r="A33" s="27">
        <v>29</v>
      </c>
      <c r="B33" s="25">
        <f ca="1">100*(sim!$C$3+NORMSINV(RAND())*sim!$C$4)</f>
        <v>0.78315754652632652</v>
      </c>
      <c r="D33" s="24">
        <v>-0.2</v>
      </c>
      <c r="E33" s="24" cm="1">
        <f t="array" aca="1" ref="E33" ca="1">SUMPRODUCT(IF($B$5:$B$504&gt;D32,1,0),IF($B$5:$B$504&lt;=D33,1,0))</f>
        <v>2</v>
      </c>
      <c r="N33" s="24">
        <v>4</v>
      </c>
      <c r="O33" s="24" cm="1">
        <f t="array" aca="1" ref="O33" ca="1">SUMPRODUCT(IF($B$5:$B$504&gt;N32,1,0),IF($B$5:$B$504&lt;=N33,1,0))</f>
        <v>8</v>
      </c>
    </row>
    <row r="34" spans="1:15">
      <c r="A34" s="27">
        <v>30</v>
      </c>
      <c r="B34" s="25">
        <f ca="1">100*(sim!$C$3+NORMSINV(RAND())*sim!$C$4)</f>
        <v>2.4500492445383375</v>
      </c>
      <c r="D34" s="24">
        <v>-0.1</v>
      </c>
      <c r="E34" s="24" cm="1">
        <f t="array" aca="1" ref="E34" ca="1">SUMPRODUCT(IF($B$5:$B$504&gt;D33,1,0),IF($B$5:$B$504&lt;=D34,1,0))</f>
        <v>3</v>
      </c>
      <c r="N34" s="24">
        <v>4.25</v>
      </c>
      <c r="O34" s="24" cm="1">
        <f t="array" aca="1" ref="O34" ca="1">SUMPRODUCT(IF($B$5:$B$504&gt;N33,1,0),IF($B$5:$B$504&lt;=N34,1,0))</f>
        <v>5</v>
      </c>
    </row>
    <row r="35" spans="1:15">
      <c r="A35" s="27">
        <v>31</v>
      </c>
      <c r="B35" s="25">
        <f ca="1">100*(sim!$C$3+NORMSINV(RAND())*sim!$C$4)</f>
        <v>1.3788006809258593</v>
      </c>
      <c r="D35" s="24">
        <v>0</v>
      </c>
      <c r="E35" s="24" cm="1">
        <f t="array" aca="1" ref="E35" ca="1">SUMPRODUCT(IF($B$5:$B$504&gt;D34,1,0),IF($B$5:$B$504&lt;=D35,1,0))</f>
        <v>4</v>
      </c>
      <c r="N35" s="24">
        <v>4.5</v>
      </c>
      <c r="O35" s="24" cm="1">
        <f t="array" aca="1" ref="O35" ca="1">SUMPRODUCT(IF($B$5:$B$504&gt;N34,1,0),IF($B$5:$B$504&lt;=N35,1,0))</f>
        <v>3</v>
      </c>
    </row>
    <row r="36" spans="1:15">
      <c r="A36" s="27">
        <v>32</v>
      </c>
      <c r="B36" s="25">
        <f ca="1">100*(sim!$C$3+NORMSINV(RAND())*sim!$C$4)</f>
        <v>2.8186358145874371</v>
      </c>
      <c r="D36" s="24">
        <v>0.1</v>
      </c>
      <c r="E36" s="24" cm="1">
        <f t="array" aca="1" ref="E36" ca="1">SUMPRODUCT(IF($B$5:$B$504&gt;D35,1,0),IF($B$5:$B$504&lt;=D36,1,0))</f>
        <v>3</v>
      </c>
      <c r="N36" s="24">
        <v>4.75</v>
      </c>
      <c r="O36" s="24" cm="1">
        <f t="array" aca="1" ref="O36" ca="1">SUMPRODUCT(IF($B$5:$B$504&gt;N35,1,0),IF($B$5:$B$504&lt;=N36,1,0))</f>
        <v>3</v>
      </c>
    </row>
    <row r="37" spans="1:15">
      <c r="A37" s="27">
        <v>33</v>
      </c>
      <c r="B37" s="25">
        <f ca="1">100*(sim!$C$3+NORMSINV(RAND())*sim!$C$4)</f>
        <v>3.354457567751354</v>
      </c>
      <c r="D37" s="24">
        <v>0.2</v>
      </c>
      <c r="E37" s="24" cm="1">
        <f t="array" aca="1" ref="E37" ca="1">SUMPRODUCT(IF($B$5:$B$504&gt;D36,1,0),IF($B$5:$B$504&lt;=D37,1,0))</f>
        <v>5</v>
      </c>
      <c r="N37" s="24">
        <v>5</v>
      </c>
      <c r="O37" s="24" cm="1">
        <f t="array" aca="1" ref="O37" ca="1">SUMPRODUCT(IF($B$5:$B$504&gt;N36,1,0),IF($B$5:$B$504&lt;=N37,1,0))</f>
        <v>1</v>
      </c>
    </row>
    <row r="38" spans="1:15" ht="14.6">
      <c r="A38" s="27">
        <v>34</v>
      </c>
      <c r="B38" s="25">
        <f ca="1">100*(sim!$C$3+NORMSINV(RAND())*sim!$C$4)</f>
        <v>2.7321827971163919</v>
      </c>
      <c r="D38" s="24">
        <v>0.3</v>
      </c>
      <c r="E38" s="24" cm="1">
        <f t="array" aca="1" ref="E38" ca="1">SUMPRODUCT(IF($B$5:$B$504&gt;D37,1,0),IF($B$5:$B$504&lt;=D38,1,0))</f>
        <v>2</v>
      </c>
      <c r="N38"/>
      <c r="O38"/>
    </row>
    <row r="39" spans="1:15" ht="14.6">
      <c r="A39" s="27">
        <v>35</v>
      </c>
      <c r="B39" s="25">
        <f ca="1">100*(sim!$C$3+NORMSINV(RAND())*sim!$C$4)</f>
        <v>2.2540924533204905</v>
      </c>
      <c r="D39" s="24">
        <v>0.4</v>
      </c>
      <c r="E39" s="24" cm="1">
        <f t="array" aca="1" ref="E39" ca="1">SUMPRODUCT(IF($B$5:$B$504&gt;D38,1,0),IF($B$5:$B$504&lt;=D39,1,0))</f>
        <v>8</v>
      </c>
      <c r="N39"/>
      <c r="O39"/>
    </row>
    <row r="40" spans="1:15" ht="14.6">
      <c r="A40" s="27">
        <v>36</v>
      </c>
      <c r="B40" s="25">
        <f ca="1">100*(sim!$C$3+NORMSINV(RAND())*sim!$C$4)</f>
        <v>2.6653068308331855</v>
      </c>
      <c r="D40" s="24">
        <v>0.5</v>
      </c>
      <c r="E40" s="24" cm="1">
        <f t="array" aca="1" ref="E40" ca="1">SUMPRODUCT(IF($B$5:$B$504&gt;D39,1,0),IF($B$5:$B$504&lt;=D40,1,0))</f>
        <v>4</v>
      </c>
      <c r="N40"/>
      <c r="O40"/>
    </row>
    <row r="41" spans="1:15" ht="14.6">
      <c r="A41" s="27">
        <v>37</v>
      </c>
      <c r="B41" s="25">
        <f ca="1">100*(sim!$C$3+NORMSINV(RAND())*sim!$C$4)</f>
        <v>3.7510299293202348E-2</v>
      </c>
      <c r="D41" s="24">
        <v>0.6</v>
      </c>
      <c r="E41" s="24" cm="1">
        <f t="array" aca="1" ref="E41" ca="1">SUMPRODUCT(IF($B$5:$B$504&gt;D40,1,0),IF($B$5:$B$504&lt;=D41,1,0))</f>
        <v>7</v>
      </c>
      <c r="N41"/>
      <c r="O41"/>
    </row>
    <row r="42" spans="1:15" ht="14.6">
      <c r="A42" s="27">
        <v>38</v>
      </c>
      <c r="B42" s="25">
        <f ca="1">100*(sim!$C$3+NORMSINV(RAND())*sim!$C$4)</f>
        <v>3.1295212380506192</v>
      </c>
      <c r="D42" s="24">
        <v>0.7</v>
      </c>
      <c r="E42" s="24" cm="1">
        <f t="array" aca="1" ref="E42" ca="1">SUMPRODUCT(IF($B$5:$B$504&gt;D41,1,0),IF($B$5:$B$504&lt;=D42,1,0))</f>
        <v>10</v>
      </c>
      <c r="N42"/>
      <c r="O42"/>
    </row>
    <row r="43" spans="1:15" ht="14.6">
      <c r="A43" s="27">
        <v>39</v>
      </c>
      <c r="B43" s="25">
        <f ca="1">100*(sim!$C$3+NORMSINV(RAND())*sim!$C$4)</f>
        <v>1.0419376874324717</v>
      </c>
      <c r="D43" s="24">
        <v>0.8</v>
      </c>
      <c r="E43" s="24" cm="1">
        <f t="array" aca="1" ref="E43" ca="1">SUMPRODUCT(IF($B$5:$B$504&gt;D42,1,0),IF($B$5:$B$504&lt;=D43,1,0))</f>
        <v>12</v>
      </c>
      <c r="N43"/>
      <c r="O43"/>
    </row>
    <row r="44" spans="1:15" ht="14.6">
      <c r="A44" s="27">
        <v>40</v>
      </c>
      <c r="B44" s="25">
        <f ca="1">100*(sim!$C$3+NORMSINV(RAND())*sim!$C$4)</f>
        <v>0.6267339512096668</v>
      </c>
      <c r="D44" s="24">
        <v>0.9</v>
      </c>
      <c r="E44" s="24" cm="1">
        <f t="array" aca="1" ref="E44" ca="1">SUMPRODUCT(IF($B$5:$B$504&gt;D43,1,0),IF($B$5:$B$504&lt;=D44,1,0))</f>
        <v>9</v>
      </c>
      <c r="N44"/>
      <c r="O44"/>
    </row>
    <row r="45" spans="1:15" ht="14.6">
      <c r="A45" s="27">
        <v>41</v>
      </c>
      <c r="B45" s="25">
        <f ca="1">100*(sim!$C$3+NORMSINV(RAND())*sim!$C$4)</f>
        <v>0.74790677917424098</v>
      </c>
      <c r="D45" s="24">
        <v>1</v>
      </c>
      <c r="E45" s="24" cm="1">
        <f t="array" aca="1" ref="E45" ca="1">SUMPRODUCT(IF($B$5:$B$504&gt;D44,1,0),IF($B$5:$B$504&lt;=D45,1,0))</f>
        <v>12</v>
      </c>
      <c r="N45"/>
      <c r="O45"/>
    </row>
    <row r="46" spans="1:15" ht="14.6">
      <c r="A46" s="27">
        <v>42</v>
      </c>
      <c r="B46" s="25">
        <f ca="1">100*(sim!$C$3+NORMSINV(RAND())*sim!$C$4)</f>
        <v>1.4936394727613267</v>
      </c>
      <c r="D46" s="24">
        <v>1.1000000000000001</v>
      </c>
      <c r="E46" s="24" cm="1">
        <f t="array" aca="1" ref="E46" ca="1">SUMPRODUCT(IF($B$5:$B$504&gt;D45,1,0),IF($B$5:$B$504&lt;=D46,1,0))</f>
        <v>9</v>
      </c>
      <c r="N46"/>
      <c r="O46"/>
    </row>
    <row r="47" spans="1:15" ht="14.6">
      <c r="A47" s="27">
        <v>43</v>
      </c>
      <c r="B47" s="25">
        <f ca="1">100*(sim!$C$3+NORMSINV(RAND())*sim!$C$4)</f>
        <v>2.3822055496211254</v>
      </c>
      <c r="D47" s="24">
        <v>1.2</v>
      </c>
      <c r="E47" s="24" cm="1">
        <f t="array" aca="1" ref="E47" ca="1">SUMPRODUCT(IF($B$5:$B$504&gt;D46,1,0),IF($B$5:$B$504&lt;=D47,1,0))</f>
        <v>12</v>
      </c>
      <c r="N47"/>
      <c r="O47"/>
    </row>
    <row r="48" spans="1:15" ht="14.6">
      <c r="A48" s="27">
        <v>44</v>
      </c>
      <c r="B48" s="25">
        <f ca="1">100*(sim!$C$3+NORMSINV(RAND())*sim!$C$4)</f>
        <v>0.91703477149959589</v>
      </c>
      <c r="D48" s="24">
        <v>1.3</v>
      </c>
      <c r="E48" s="24" cm="1">
        <f t="array" aca="1" ref="E48" ca="1">SUMPRODUCT(IF($B$5:$B$504&gt;D47,1,0),IF($B$5:$B$504&lt;=D48,1,0))</f>
        <v>10</v>
      </c>
      <c r="N48"/>
      <c r="O48"/>
    </row>
    <row r="49" spans="1:15" ht="14.6">
      <c r="A49" s="27">
        <v>45</v>
      </c>
      <c r="B49" s="25">
        <f ca="1">100*(sim!$C$3+NORMSINV(RAND())*sim!$C$4)</f>
        <v>3.6464738123569971</v>
      </c>
      <c r="D49" s="24">
        <v>1.4</v>
      </c>
      <c r="E49" s="24" cm="1">
        <f t="array" aca="1" ref="E49" ca="1">SUMPRODUCT(IF($B$5:$B$504&gt;D48,1,0),IF($B$5:$B$504&lt;=D49,1,0))</f>
        <v>24</v>
      </c>
      <c r="N49"/>
      <c r="O49"/>
    </row>
    <row r="50" spans="1:15" ht="14.6">
      <c r="A50" s="27">
        <v>46</v>
      </c>
      <c r="B50" s="25">
        <f ca="1">100*(sim!$C$3+NORMSINV(RAND())*sim!$C$4)</f>
        <v>1.5334119383156219</v>
      </c>
      <c r="D50" s="24">
        <v>1.5</v>
      </c>
      <c r="E50" s="24" cm="1">
        <f t="array" aca="1" ref="E50" ca="1">SUMPRODUCT(IF($B$5:$B$504&gt;D49,1,0),IF($B$5:$B$504&lt;=D50,1,0))</f>
        <v>21</v>
      </c>
      <c r="N50"/>
      <c r="O50"/>
    </row>
    <row r="51" spans="1:15" ht="14.6">
      <c r="A51" s="27">
        <v>47</v>
      </c>
      <c r="B51" s="25">
        <f ca="1">100*(sim!$C$3+NORMSINV(RAND())*sim!$C$4)</f>
        <v>1.3951566335709331</v>
      </c>
      <c r="D51" s="24">
        <v>1.6</v>
      </c>
      <c r="E51" s="24" cm="1">
        <f t="array" aca="1" ref="E51" ca="1">SUMPRODUCT(IF($B$5:$B$504&gt;D50,1,0),IF($B$5:$B$504&lt;=D51,1,0))</f>
        <v>20</v>
      </c>
      <c r="N51"/>
      <c r="O51"/>
    </row>
    <row r="52" spans="1:15" ht="14.6">
      <c r="A52" s="27">
        <v>48</v>
      </c>
      <c r="B52" s="25">
        <f ca="1">100*(sim!$C$3+NORMSINV(RAND())*sim!$C$4)</f>
        <v>0.1134051474557831</v>
      </c>
      <c r="D52" s="24">
        <v>1.7</v>
      </c>
      <c r="E52" s="24" cm="1">
        <f t="array" aca="1" ref="E52" ca="1">SUMPRODUCT(IF($B$5:$B$504&gt;D51,1,0),IF($B$5:$B$504&lt;=D52,1,0))</f>
        <v>14</v>
      </c>
      <c r="N52"/>
      <c r="O52"/>
    </row>
    <row r="53" spans="1:15" ht="14.6">
      <c r="A53" s="27">
        <v>49</v>
      </c>
      <c r="B53" s="25">
        <f ca="1">100*(sim!$C$3+NORMSINV(RAND())*sim!$C$4)</f>
        <v>1.9208111087334323</v>
      </c>
      <c r="D53" s="24">
        <v>1.8</v>
      </c>
      <c r="E53" s="24" cm="1">
        <f t="array" aca="1" ref="E53" ca="1">SUMPRODUCT(IF($B$5:$B$504&gt;D52,1,0),IF($B$5:$B$504&lt;=D53,1,0))</f>
        <v>15</v>
      </c>
      <c r="N53"/>
      <c r="O53"/>
    </row>
    <row r="54" spans="1:15" ht="14.6">
      <c r="A54" s="27">
        <v>50</v>
      </c>
      <c r="B54" s="25">
        <f ca="1">100*(sim!$C$3+NORMSINV(RAND())*sim!$C$4)</f>
        <v>1.3751879595440231</v>
      </c>
      <c r="D54" s="24">
        <v>1.9</v>
      </c>
      <c r="E54" s="24" cm="1">
        <f t="array" aca="1" ref="E54" ca="1">SUMPRODUCT(IF($B$5:$B$504&gt;D53,1,0),IF($B$5:$B$504&lt;=D54,1,0))</f>
        <v>17</v>
      </c>
      <c r="N54"/>
      <c r="O54"/>
    </row>
    <row r="55" spans="1:15" ht="14.6">
      <c r="A55" s="27">
        <v>51</v>
      </c>
      <c r="B55" s="25">
        <f ca="1">100*(sim!$C$3+NORMSINV(RAND())*sim!$C$4)</f>
        <v>2.8639140093201751</v>
      </c>
      <c r="D55" s="24">
        <v>2</v>
      </c>
      <c r="E55" s="24" cm="1">
        <f t="array" aca="1" ref="E55" ca="1">SUMPRODUCT(IF($B$5:$B$504&gt;D54,1,0),IF($B$5:$B$504&lt;=D55,1,0))</f>
        <v>15</v>
      </c>
      <c r="N55"/>
      <c r="O55"/>
    </row>
    <row r="56" spans="1:15" ht="14.6">
      <c r="A56" s="27">
        <v>52</v>
      </c>
      <c r="B56" s="25">
        <f ca="1">100*(sim!$C$3+NORMSINV(RAND())*sim!$C$4)</f>
        <v>4.3056752032613135</v>
      </c>
      <c r="D56" s="24">
        <v>2.1</v>
      </c>
      <c r="E56" s="24" cm="1">
        <f t="array" aca="1" ref="E56" ca="1">SUMPRODUCT(IF($B$5:$B$504&gt;D55,1,0),IF($B$5:$B$504&lt;=D56,1,0))</f>
        <v>19</v>
      </c>
      <c r="N56"/>
      <c r="O56"/>
    </row>
    <row r="57" spans="1:15" ht="14.6">
      <c r="A57" s="27">
        <v>53</v>
      </c>
      <c r="B57" s="25">
        <f ca="1">100*(sim!$C$3+NORMSINV(RAND())*sim!$C$4)</f>
        <v>2.5171528740068325</v>
      </c>
      <c r="D57" s="24">
        <v>2.2000000000000002</v>
      </c>
      <c r="E57" s="24" cm="1">
        <f t="array" aca="1" ref="E57" ca="1">SUMPRODUCT(IF($B$5:$B$504&gt;D56,1,0),IF($B$5:$B$504&lt;=D57,1,0))</f>
        <v>17</v>
      </c>
      <c r="N57"/>
      <c r="O57"/>
    </row>
    <row r="58" spans="1:15" ht="14.6">
      <c r="A58" s="27">
        <v>54</v>
      </c>
      <c r="B58" s="25">
        <f ca="1">100*(sim!$C$3+NORMSINV(RAND())*sim!$C$4)</f>
        <v>2.0020179572279728</v>
      </c>
      <c r="D58" s="24">
        <v>2.2999999999999998</v>
      </c>
      <c r="E58" s="24" cm="1">
        <f t="array" aca="1" ref="E58" ca="1">SUMPRODUCT(IF($B$5:$B$504&gt;D57,1,0),IF($B$5:$B$504&lt;=D58,1,0))</f>
        <v>23</v>
      </c>
      <c r="N58"/>
      <c r="O58"/>
    </row>
    <row r="59" spans="1:15" ht="14.6">
      <c r="A59" s="27">
        <v>55</v>
      </c>
      <c r="B59" s="25">
        <f ca="1">100*(sim!$C$3+NORMSINV(RAND())*sim!$C$4)</f>
        <v>2.3692132669284502</v>
      </c>
      <c r="D59" s="24">
        <v>2.4</v>
      </c>
      <c r="E59" s="24" cm="1">
        <f t="array" aca="1" ref="E59" ca="1">SUMPRODUCT(IF($B$5:$B$504&gt;D58,1,0),IF($B$5:$B$504&lt;=D59,1,0))</f>
        <v>23</v>
      </c>
      <c r="N59"/>
      <c r="O59"/>
    </row>
    <row r="60" spans="1:15" ht="14.6">
      <c r="A60" s="27">
        <v>56</v>
      </c>
      <c r="B60" s="25">
        <f ca="1">100*(sim!$C$3+NORMSINV(RAND())*sim!$C$4)</f>
        <v>1.6962169909736931</v>
      </c>
      <c r="D60" s="24">
        <v>2.5000000000000102</v>
      </c>
      <c r="E60" s="24" cm="1">
        <f t="array" aca="1" ref="E60" ca="1">SUMPRODUCT(IF($B$5:$B$504&gt;D59,1,0),IF($B$5:$B$504&lt;=D60,1,0))</f>
        <v>16</v>
      </c>
      <c r="N60"/>
      <c r="O60"/>
    </row>
    <row r="61" spans="1:15" ht="14.6">
      <c r="A61" s="27">
        <v>57</v>
      </c>
      <c r="B61" s="25">
        <f ca="1">100*(sim!$C$3+NORMSINV(RAND())*sim!$C$4)</f>
        <v>1.6117402486023866</v>
      </c>
      <c r="D61" s="24">
        <v>2.6</v>
      </c>
      <c r="E61" s="24" cm="1">
        <f t="array" aca="1" ref="E61" ca="1">SUMPRODUCT(IF($B$5:$B$504&gt;D60,1,0),IF($B$5:$B$504&lt;=D61,1,0))</f>
        <v>17</v>
      </c>
      <c r="N61"/>
      <c r="O61"/>
    </row>
    <row r="62" spans="1:15" ht="14.6">
      <c r="A62" s="27">
        <v>58</v>
      </c>
      <c r="B62" s="25">
        <f ca="1">100*(sim!$C$3+NORMSINV(RAND())*sim!$C$4)</f>
        <v>0.38295602840409565</v>
      </c>
      <c r="D62" s="24">
        <v>2.7</v>
      </c>
      <c r="E62" s="24" cm="1">
        <f t="array" aca="1" ref="E62" ca="1">SUMPRODUCT(IF($B$5:$B$504&gt;D61,1,0),IF($B$5:$B$504&lt;=D62,1,0))</f>
        <v>21</v>
      </c>
      <c r="N62"/>
      <c r="O62"/>
    </row>
    <row r="63" spans="1:15" ht="14.6">
      <c r="A63" s="27">
        <v>59</v>
      </c>
      <c r="B63" s="25">
        <f ca="1">100*(sim!$C$3+NORMSINV(RAND())*sim!$C$4)</f>
        <v>0.713537942939518</v>
      </c>
      <c r="D63" s="24">
        <v>2.80000000000001</v>
      </c>
      <c r="E63" s="24" cm="1">
        <f t="array" aca="1" ref="E63" ca="1">SUMPRODUCT(IF($B$5:$B$504&gt;D62,1,0),IF($B$5:$B$504&lt;=D63,1,0))</f>
        <v>17</v>
      </c>
      <c r="N63"/>
      <c r="O63"/>
    </row>
    <row r="64" spans="1:15" ht="14.6">
      <c r="A64" s="27">
        <v>60</v>
      </c>
      <c r="B64" s="25">
        <f ca="1">100*(sim!$C$3+NORMSINV(RAND())*sim!$C$4)</f>
        <v>1.4425670238277677</v>
      </c>
      <c r="D64" s="24">
        <v>2.9000000000000101</v>
      </c>
      <c r="E64" s="24" cm="1">
        <f t="array" aca="1" ref="E64" ca="1">SUMPRODUCT(IF($B$5:$B$504&gt;D63,1,0),IF($B$5:$B$504&lt;=D64,1,0))</f>
        <v>11</v>
      </c>
      <c r="N64"/>
      <c r="O64"/>
    </row>
    <row r="65" spans="1:15" ht="14.6">
      <c r="A65" s="27">
        <v>61</v>
      </c>
      <c r="B65" s="25">
        <f ca="1">100*(sim!$C$3+NORMSINV(RAND())*sim!$C$4)</f>
        <v>3.0015463076970965</v>
      </c>
      <c r="D65" s="24">
        <v>3.0000000000000102</v>
      </c>
      <c r="E65" s="24" cm="1">
        <f t="array" aca="1" ref="E65" ca="1">SUMPRODUCT(IF($B$5:$B$504&gt;D64,1,0),IF($B$5:$B$504&lt;=D65,1,0))</f>
        <v>16</v>
      </c>
      <c r="N65"/>
      <c r="O65"/>
    </row>
    <row r="66" spans="1:15" ht="14.6">
      <c r="A66" s="27">
        <v>62</v>
      </c>
      <c r="B66" s="25">
        <f ca="1">100*(sim!$C$3+NORMSINV(RAND())*sim!$C$4)</f>
        <v>0.38716139719532811</v>
      </c>
      <c r="D66" s="24">
        <v>3.1</v>
      </c>
      <c r="E66" s="24" cm="1">
        <f t="array" aca="1" ref="E66" ca="1">SUMPRODUCT(IF($B$5:$B$504&gt;D65,1,0),IF($B$5:$B$504&lt;=D66,1,0))</f>
        <v>11</v>
      </c>
      <c r="N66"/>
      <c r="O66"/>
    </row>
    <row r="67" spans="1:15" ht="14.6">
      <c r="A67" s="27">
        <v>63</v>
      </c>
      <c r="B67" s="25">
        <f ca="1">100*(sim!$C$3+NORMSINV(RAND())*sim!$C$4)</f>
        <v>4.3831107327280145</v>
      </c>
      <c r="D67" s="24">
        <v>3.2000000000000099</v>
      </c>
      <c r="E67" s="24" cm="1">
        <f t="array" aca="1" ref="E67" ca="1">SUMPRODUCT(IF($B$5:$B$504&gt;D66,1,0),IF($B$5:$B$504&lt;=D67,1,0))</f>
        <v>5</v>
      </c>
      <c r="N67"/>
      <c r="O67"/>
    </row>
    <row r="68" spans="1:15" ht="14.6">
      <c r="A68" s="27">
        <v>64</v>
      </c>
      <c r="B68" s="25">
        <f ca="1">100*(sim!$C$3+NORMSINV(RAND())*sim!$C$4)</f>
        <v>2.6054678101618438</v>
      </c>
      <c r="D68" s="24">
        <v>3.30000000000001</v>
      </c>
      <c r="E68" s="24" cm="1">
        <f t="array" aca="1" ref="E68" ca="1">SUMPRODUCT(IF($B$5:$B$504&gt;D67,1,0),IF($B$5:$B$504&lt;=D68,1,0))</f>
        <v>12</v>
      </c>
      <c r="N68"/>
      <c r="O68"/>
    </row>
    <row r="69" spans="1:15" ht="14.6">
      <c r="A69" s="27">
        <v>65</v>
      </c>
      <c r="B69" s="25">
        <f ca="1">100*(sim!$C$3+NORMSINV(RAND())*sim!$C$4)</f>
        <v>3.3255102806155632</v>
      </c>
      <c r="D69" s="24">
        <v>3.4000000000000101</v>
      </c>
      <c r="E69" s="24" cm="1">
        <f t="array" aca="1" ref="E69" ca="1">SUMPRODUCT(IF($B$5:$B$504&gt;D68,1,0),IF($B$5:$B$504&lt;=D69,1,0))</f>
        <v>9</v>
      </c>
      <c r="N69"/>
      <c r="O69"/>
    </row>
    <row r="70" spans="1:15" ht="14.6">
      <c r="A70" s="27">
        <v>66</v>
      </c>
      <c r="B70" s="25">
        <f ca="1">100*(sim!$C$3+NORMSINV(RAND())*sim!$C$4)</f>
        <v>1.5648794755224227</v>
      </c>
      <c r="D70" s="24">
        <v>3.5000000000000102</v>
      </c>
      <c r="E70" s="24" cm="1">
        <f t="array" aca="1" ref="E70" ca="1">SUMPRODUCT(IF($B$5:$B$504&gt;D69,1,0),IF($B$5:$B$504&lt;=D70,1,0))</f>
        <v>3</v>
      </c>
      <c r="N70"/>
      <c r="O70"/>
    </row>
    <row r="71" spans="1:15" ht="14.6">
      <c r="A71" s="27">
        <v>67</v>
      </c>
      <c r="B71" s="25">
        <f ca="1">100*(sim!$C$3+NORMSINV(RAND())*sim!$C$4)</f>
        <v>2.910192328849702</v>
      </c>
      <c r="D71" s="24">
        <v>3.6000000000000099</v>
      </c>
      <c r="E71" s="24" cm="1">
        <f t="array" aca="1" ref="E71" ca="1">SUMPRODUCT(IF($B$5:$B$504&gt;D70,1,0),IF($B$5:$B$504&lt;=D71,1,0))</f>
        <v>9</v>
      </c>
      <c r="N71"/>
      <c r="O71"/>
    </row>
    <row r="72" spans="1:15" ht="14.6">
      <c r="A72" s="27">
        <v>68</v>
      </c>
      <c r="B72" s="25">
        <f ca="1">100*(sim!$C$3+NORMSINV(RAND())*sim!$C$4)</f>
        <v>0.98941059846026813</v>
      </c>
      <c r="D72" s="24">
        <v>3.7000000000000099</v>
      </c>
      <c r="E72" s="24" cm="1">
        <f t="array" aca="1" ref="E72" ca="1">SUMPRODUCT(IF($B$5:$B$504&gt;D71,1,0),IF($B$5:$B$504&lt;=D72,1,0))</f>
        <v>6</v>
      </c>
      <c r="N72"/>
      <c r="O72"/>
    </row>
    <row r="73" spans="1:15" ht="14.6">
      <c r="A73" s="27">
        <v>69</v>
      </c>
      <c r="B73" s="25">
        <f ca="1">100*(sim!$C$3+NORMSINV(RAND())*sim!$C$4)</f>
        <v>2.7445262584665056</v>
      </c>
      <c r="D73" s="24">
        <v>3.80000000000001</v>
      </c>
      <c r="E73" s="24" cm="1">
        <f t="array" aca="1" ref="E73" ca="1">SUMPRODUCT(IF($B$5:$B$504&gt;D72,1,0),IF($B$5:$B$504&lt;=D73,1,0))</f>
        <v>5</v>
      </c>
      <c r="N73"/>
      <c r="O73"/>
    </row>
    <row r="74" spans="1:15" ht="14.6">
      <c r="A74" s="27">
        <v>70</v>
      </c>
      <c r="B74" s="25">
        <f ca="1">100*(sim!$C$3+NORMSINV(RAND())*sim!$C$4)</f>
        <v>1.8649685272260408</v>
      </c>
      <c r="D74" s="24">
        <v>3.9000000000000101</v>
      </c>
      <c r="E74" s="24" cm="1">
        <f t="array" aca="1" ref="E74" ca="1">SUMPRODUCT(IF($B$5:$B$504&gt;D73,1,0),IF($B$5:$B$504&lt;=D74,1,0))</f>
        <v>4</v>
      </c>
      <c r="N74"/>
      <c r="O74"/>
    </row>
    <row r="75" spans="1:15" ht="14.6">
      <c r="A75" s="27">
        <v>71</v>
      </c>
      <c r="B75" s="25">
        <f ca="1">100*(sim!$C$3+NORMSINV(RAND())*sim!$C$4)</f>
        <v>2.4492259490526442</v>
      </c>
      <c r="D75" s="24">
        <v>4.0000000000000098</v>
      </c>
      <c r="E75" s="24" cm="1">
        <f t="array" aca="1" ref="E75" ca="1">SUMPRODUCT(IF($B$5:$B$504&gt;D74,1,0),IF($B$5:$B$504&lt;=D75,1,0))</f>
        <v>1</v>
      </c>
      <c r="N75"/>
      <c r="O75"/>
    </row>
    <row r="76" spans="1:15" ht="14.6">
      <c r="A76" s="27">
        <v>72</v>
      </c>
      <c r="B76" s="25">
        <f ca="1">100*(sim!$C$3+NORMSINV(RAND())*sim!$C$4)</f>
        <v>3.1246528134473635</v>
      </c>
      <c r="D76" s="24">
        <v>4.1000000000000103</v>
      </c>
      <c r="E76" s="24" cm="1">
        <f t="array" aca="1" ref="E76" ca="1">SUMPRODUCT(IF($B$5:$B$504&gt;D75,1,0),IF($B$5:$B$504&lt;=D76,1,0))</f>
        <v>4</v>
      </c>
      <c r="N76"/>
      <c r="O76"/>
    </row>
    <row r="77" spans="1:15" ht="14.6">
      <c r="A77" s="27">
        <v>73</v>
      </c>
      <c r="B77" s="25">
        <f ca="1">100*(sim!$C$3+NORMSINV(RAND())*sim!$C$4)</f>
        <v>3.0252480363648604</v>
      </c>
      <c r="D77" s="24">
        <v>4.2000000000000099</v>
      </c>
      <c r="E77" s="24" cm="1">
        <f t="array" aca="1" ref="E77" ca="1">SUMPRODUCT(IF($B$5:$B$504&gt;D76,1,0),IF($B$5:$B$504&lt;=D77,1,0))</f>
        <v>1</v>
      </c>
      <c r="N77"/>
      <c r="O77"/>
    </row>
    <row r="78" spans="1:15" ht="14.6">
      <c r="A78" s="27">
        <v>74</v>
      </c>
      <c r="B78" s="25">
        <f ca="1">100*(sim!$C$3+NORMSINV(RAND())*sim!$C$4)</f>
        <v>1.8568841489842107</v>
      </c>
      <c r="D78" s="24">
        <v>4.3000000000000096</v>
      </c>
      <c r="E78" s="24" cm="1">
        <f t="array" aca="1" ref="E78" ca="1">SUMPRODUCT(IF($B$5:$B$504&gt;D77,1,0),IF($B$5:$B$504&lt;=D78,1,0))</f>
        <v>0</v>
      </c>
      <c r="N78"/>
      <c r="O78"/>
    </row>
    <row r="79" spans="1:15" ht="14.6">
      <c r="A79" s="27">
        <v>75</v>
      </c>
      <c r="B79" s="25">
        <f ca="1">100*(sim!$C$3+NORMSINV(RAND())*sim!$C$4)</f>
        <v>1.9340724183715594</v>
      </c>
      <c r="D79" s="24">
        <v>4.4000000000000101</v>
      </c>
      <c r="E79" s="24" cm="1">
        <f t="array" aca="1" ref="E79" ca="1">SUMPRODUCT(IF($B$5:$B$504&gt;D78,1,0),IF($B$5:$B$504&lt;=D79,1,0))</f>
        <v>3</v>
      </c>
      <c r="N79"/>
      <c r="O79"/>
    </row>
    <row r="80" spans="1:15" ht="14.6">
      <c r="A80" s="27">
        <v>76</v>
      </c>
      <c r="B80" s="25">
        <f ca="1">100*(sim!$C$3+NORMSINV(RAND())*sim!$C$4)</f>
        <v>4.5461113122120356</v>
      </c>
      <c r="D80" s="24">
        <v>4.5000000000000098</v>
      </c>
      <c r="E80" s="24" cm="1">
        <f t="array" aca="1" ref="E80" ca="1">SUMPRODUCT(IF($B$5:$B$504&gt;D79,1,0),IF($B$5:$B$504&lt;=D80,1,0))</f>
        <v>0</v>
      </c>
      <c r="N80"/>
      <c r="O80"/>
    </row>
    <row r="81" spans="1:15" ht="14.6">
      <c r="A81" s="27">
        <v>77</v>
      </c>
      <c r="B81" s="25">
        <f ca="1">100*(sim!$C$3+NORMSINV(RAND())*sim!$C$4)</f>
        <v>2.889019699929301</v>
      </c>
      <c r="D81" s="24">
        <v>4.6000000000000103</v>
      </c>
      <c r="E81" s="24" cm="1">
        <f t="array" aca="1" ref="E81" ca="1">SUMPRODUCT(IF($B$5:$B$504&gt;D80,1,0),IF($B$5:$B$504&lt;=D81,1,0))</f>
        <v>1</v>
      </c>
      <c r="N81"/>
      <c r="O81"/>
    </row>
    <row r="82" spans="1:15" ht="14.6">
      <c r="A82" s="27">
        <v>78</v>
      </c>
      <c r="B82" s="25">
        <f ca="1">100*(sim!$C$3+NORMSINV(RAND())*sim!$C$4)</f>
        <v>-0.11031498348372699</v>
      </c>
      <c r="D82" s="24">
        <v>4.7000000000000099</v>
      </c>
      <c r="E82" s="24" cm="1">
        <f t="array" aca="1" ref="E82" ca="1">SUMPRODUCT(IF($B$5:$B$504&gt;D81,1,0),IF($B$5:$B$504&lt;=D82,1,0))</f>
        <v>2</v>
      </c>
      <c r="N82"/>
      <c r="O82"/>
    </row>
    <row r="83" spans="1:15" ht="14.6">
      <c r="A83" s="27">
        <v>79</v>
      </c>
      <c r="B83" s="25">
        <f ca="1">100*(sim!$C$3+NORMSINV(RAND())*sim!$C$4)</f>
        <v>2.5657981585782577</v>
      </c>
      <c r="D83" s="24">
        <v>4.8000000000000096</v>
      </c>
      <c r="E83" s="24" cm="1">
        <f t="array" aca="1" ref="E83" ca="1">SUMPRODUCT(IF($B$5:$B$504&gt;D82,1,0),IF($B$5:$B$504&lt;=D83,1,0))</f>
        <v>0</v>
      </c>
      <c r="N83"/>
      <c r="O83"/>
    </row>
    <row r="84" spans="1:15" ht="14.6">
      <c r="A84" s="27">
        <v>80</v>
      </c>
      <c r="B84" s="25">
        <f ca="1">100*(sim!$C$3+NORMSINV(RAND())*sim!$C$4)</f>
        <v>1.1578803886829401</v>
      </c>
      <c r="D84" s="24">
        <v>4.9000000000000101</v>
      </c>
      <c r="E84" s="24" cm="1">
        <f t="array" aca="1" ref="E84" ca="1">SUMPRODUCT(IF($B$5:$B$504&gt;D83,1,0),IF($B$5:$B$504&lt;=D84,1,0))</f>
        <v>0</v>
      </c>
      <c r="N84"/>
      <c r="O84"/>
    </row>
    <row r="85" spans="1:15" ht="14.6">
      <c r="A85" s="27">
        <v>81</v>
      </c>
      <c r="B85" s="25">
        <f ca="1">100*(sim!$C$3+NORMSINV(RAND())*sim!$C$4)</f>
        <v>0.37659291747659218</v>
      </c>
      <c r="D85" s="24">
        <v>5.0000000000000098</v>
      </c>
      <c r="E85" s="24" cm="1">
        <f t="array" aca="1" ref="E85" ca="1">SUMPRODUCT(IF($B$5:$B$504&gt;D84,1,0),IF($B$5:$B$504&lt;=D85,1,0))</f>
        <v>1</v>
      </c>
      <c r="N85"/>
      <c r="O85"/>
    </row>
    <row r="86" spans="1:15" ht="14.6">
      <c r="A86" s="27">
        <v>82</v>
      </c>
      <c r="B86" s="25">
        <f ca="1">100*(sim!$C$3+NORMSINV(RAND())*sim!$C$4)</f>
        <v>2.1083076443949542</v>
      </c>
      <c r="D86" s="24">
        <v>100</v>
      </c>
      <c r="E86" s="24" cm="1">
        <f t="array" aca="1" ref="E86" ca="1">SUMPRODUCT(IF($B$5:$B$504&gt;D85,1,0),IF($B$5:$B$504&lt;=D86,1,0))</f>
        <v>1</v>
      </c>
      <c r="N86"/>
      <c r="O86"/>
    </row>
    <row r="87" spans="1:15">
      <c r="A87" s="27">
        <v>83</v>
      </c>
      <c r="B87" s="25">
        <f ca="1">100*(sim!$C$3+NORMSINV(RAND())*sim!$C$4)</f>
        <v>2.0443021970474766</v>
      </c>
    </row>
    <row r="88" spans="1:15">
      <c r="A88" s="27">
        <v>84</v>
      </c>
      <c r="B88" s="25">
        <f ca="1">100*(sim!$C$3+NORMSINV(RAND())*sim!$C$4)</f>
        <v>1.7181483823923465</v>
      </c>
    </row>
    <row r="89" spans="1:15">
      <c r="A89" s="27">
        <v>85</v>
      </c>
      <c r="B89" s="25">
        <f ca="1">100*(sim!$C$3+NORMSINV(RAND())*sim!$C$4)</f>
        <v>2.2541509875633747</v>
      </c>
    </row>
    <row r="90" spans="1:15">
      <c r="A90" s="27">
        <v>86</v>
      </c>
      <c r="B90" s="25">
        <f ca="1">100*(sim!$C$3+NORMSINV(RAND())*sim!$C$4)</f>
        <v>1.4656829557169693</v>
      </c>
    </row>
    <row r="91" spans="1:15">
      <c r="A91" s="27">
        <v>87</v>
      </c>
      <c r="B91" s="25">
        <f ca="1">100*(sim!$C$3+NORMSINV(RAND())*sim!$C$4)</f>
        <v>2.3418059318798514</v>
      </c>
    </row>
    <row r="92" spans="1:15">
      <c r="A92" s="27">
        <v>88</v>
      </c>
      <c r="B92" s="25">
        <f ca="1">100*(sim!$C$3+NORMSINV(RAND())*sim!$C$4)</f>
        <v>1.9813728356350047</v>
      </c>
    </row>
    <row r="93" spans="1:15">
      <c r="A93" s="27">
        <v>89</v>
      </c>
      <c r="B93" s="25">
        <f ca="1">100*(sim!$C$3+NORMSINV(RAND())*sim!$C$4)</f>
        <v>0.66614305608508861</v>
      </c>
    </row>
    <row r="94" spans="1:15">
      <c r="A94" s="27">
        <v>90</v>
      </c>
      <c r="B94" s="25">
        <f ca="1">100*(sim!$C$3+NORMSINV(RAND())*sim!$C$4)</f>
        <v>2.1890773384435005</v>
      </c>
    </row>
    <row r="95" spans="1:15">
      <c r="A95" s="27">
        <v>91</v>
      </c>
      <c r="B95" s="25">
        <f ca="1">100*(sim!$C$3+NORMSINV(RAND())*sim!$C$4)</f>
        <v>2.484654847695611</v>
      </c>
    </row>
    <row r="96" spans="1:15">
      <c r="A96" s="27">
        <v>92</v>
      </c>
      <c r="B96" s="25">
        <f ca="1">100*(sim!$C$3+NORMSINV(RAND())*sim!$C$4)</f>
        <v>2.122919205493786</v>
      </c>
    </row>
    <row r="97" spans="1:2">
      <c r="A97" s="27">
        <v>93</v>
      </c>
      <c r="B97" s="25">
        <f ca="1">100*(sim!$C$3+NORMSINV(RAND())*sim!$C$4)</f>
        <v>2.6474318224933753</v>
      </c>
    </row>
    <row r="98" spans="1:2">
      <c r="A98" s="27">
        <v>94</v>
      </c>
      <c r="B98" s="25">
        <f ca="1">100*(sim!$C$3+NORMSINV(RAND())*sim!$C$4)</f>
        <v>2.6263860002607946</v>
      </c>
    </row>
    <row r="99" spans="1:2">
      <c r="A99" s="27">
        <v>95</v>
      </c>
      <c r="B99" s="25">
        <f ca="1">100*(sim!$C$3+NORMSINV(RAND())*sim!$C$4)</f>
        <v>1.1869653536379712</v>
      </c>
    </row>
    <row r="100" spans="1:2">
      <c r="A100" s="27">
        <v>96</v>
      </c>
      <c r="B100" s="25">
        <f ca="1">100*(sim!$C$3+NORMSINV(RAND())*sim!$C$4)</f>
        <v>2.9512714354784642</v>
      </c>
    </row>
    <row r="101" spans="1:2">
      <c r="A101" s="27">
        <v>97</v>
      </c>
      <c r="B101" s="25">
        <f ca="1">100*(sim!$C$3+NORMSINV(RAND())*sim!$C$4)</f>
        <v>2.6434255436778047</v>
      </c>
    </row>
    <row r="102" spans="1:2">
      <c r="A102" s="27">
        <v>98</v>
      </c>
      <c r="B102" s="25">
        <f ca="1">100*(sim!$C$3+NORMSINV(RAND())*sim!$C$4)</f>
        <v>2.0885592365714927</v>
      </c>
    </row>
    <row r="103" spans="1:2">
      <c r="A103" s="27">
        <v>99</v>
      </c>
      <c r="B103" s="25">
        <f ca="1">100*(sim!$C$3+NORMSINV(RAND())*sim!$C$4)</f>
        <v>2.7565664847275286</v>
      </c>
    </row>
    <row r="104" spans="1:2">
      <c r="A104" s="27">
        <v>100</v>
      </c>
      <c r="B104" s="25">
        <f ca="1">100*(sim!$C$3+NORMSINV(RAND())*sim!$C$4)</f>
        <v>2.1822109408324395</v>
      </c>
    </row>
    <row r="105" spans="1:2">
      <c r="A105" s="27">
        <v>101</v>
      </c>
      <c r="B105" s="25">
        <f ca="1">100*(sim!$C$3+NORMSINV(RAND())*sim!$C$4)</f>
        <v>3.0107635941679303</v>
      </c>
    </row>
    <row r="106" spans="1:2">
      <c r="A106" s="27">
        <v>102</v>
      </c>
      <c r="B106" s="25">
        <f ca="1">100*(sim!$C$3+NORMSINV(RAND())*sim!$C$4)</f>
        <v>2.2060748987771999</v>
      </c>
    </row>
    <row r="107" spans="1:2">
      <c r="A107" s="27">
        <v>103</v>
      </c>
      <c r="B107" s="25">
        <f ca="1">100*(sim!$C$3+NORMSINV(RAND())*sim!$C$4)</f>
        <v>0.91530285149769475</v>
      </c>
    </row>
    <row r="108" spans="1:2">
      <c r="A108" s="27">
        <v>104</v>
      </c>
      <c r="B108" s="25">
        <f ca="1">100*(sim!$C$3+NORMSINV(RAND())*sim!$C$4)</f>
        <v>4.1561500329953538E-3</v>
      </c>
    </row>
    <row r="109" spans="1:2">
      <c r="A109" s="27">
        <v>105</v>
      </c>
      <c r="B109" s="25">
        <f ca="1">100*(sim!$C$3+NORMSINV(RAND())*sim!$C$4)</f>
        <v>2.6598667190419123</v>
      </c>
    </row>
    <row r="110" spans="1:2">
      <c r="A110" s="27">
        <v>106</v>
      </c>
      <c r="B110" s="25">
        <f ca="1">100*(sim!$C$3+NORMSINV(RAND())*sim!$C$4)</f>
        <v>2.071947345900329</v>
      </c>
    </row>
    <row r="111" spans="1:2">
      <c r="A111" s="27">
        <v>107</v>
      </c>
      <c r="B111" s="25">
        <f ca="1">100*(sim!$C$3+NORMSINV(RAND())*sim!$C$4)</f>
        <v>1.5711494232722785</v>
      </c>
    </row>
    <row r="112" spans="1:2">
      <c r="A112" s="27">
        <v>108</v>
      </c>
      <c r="B112" s="25">
        <f ca="1">100*(sim!$C$3+NORMSINV(RAND())*sim!$C$4)</f>
        <v>2.7823591751775045</v>
      </c>
    </row>
    <row r="113" spans="1:2">
      <c r="A113" s="27">
        <v>109</v>
      </c>
      <c r="B113" s="25">
        <f ca="1">100*(sim!$C$3+NORMSINV(RAND())*sim!$C$4)</f>
        <v>0.97348071778882872</v>
      </c>
    </row>
    <row r="114" spans="1:2">
      <c r="A114" s="27">
        <v>110</v>
      </c>
      <c r="B114" s="25">
        <f ca="1">100*(sim!$C$3+NORMSINV(RAND())*sim!$C$4)</f>
        <v>2.1488644282638925</v>
      </c>
    </row>
    <row r="115" spans="1:2">
      <c r="A115" s="27">
        <v>111</v>
      </c>
      <c r="B115" s="25">
        <f ca="1">100*(sim!$C$3+NORMSINV(RAND())*sim!$C$4)</f>
        <v>1.5749020286150914</v>
      </c>
    </row>
    <row r="116" spans="1:2">
      <c r="A116" s="27">
        <v>112</v>
      </c>
      <c r="B116" s="25">
        <f ca="1">100*(sim!$C$3+NORMSINV(RAND())*sim!$C$4)</f>
        <v>2.4148369237073664</v>
      </c>
    </row>
    <row r="117" spans="1:2">
      <c r="A117" s="27">
        <v>113</v>
      </c>
      <c r="B117" s="25">
        <f ca="1">100*(sim!$C$3+NORMSINV(RAND())*sim!$C$4)</f>
        <v>2.7837935193101346</v>
      </c>
    </row>
    <row r="118" spans="1:2">
      <c r="A118" s="27">
        <v>114</v>
      </c>
      <c r="B118" s="25">
        <f ca="1">100*(sim!$C$3+NORMSINV(RAND())*sim!$C$4)</f>
        <v>2.8968276581081609</v>
      </c>
    </row>
    <row r="119" spans="1:2">
      <c r="A119" s="27">
        <v>115</v>
      </c>
      <c r="B119" s="25">
        <f ca="1">100*(sim!$C$3+NORMSINV(RAND())*sim!$C$4)</f>
        <v>3.0910842726170791</v>
      </c>
    </row>
    <row r="120" spans="1:2">
      <c r="A120" s="27">
        <v>116</v>
      </c>
      <c r="B120" s="25">
        <f ca="1">100*(sim!$C$3+NORMSINV(RAND())*sim!$C$4)</f>
        <v>0.34425610296789577</v>
      </c>
    </row>
    <row r="121" spans="1:2">
      <c r="A121" s="27">
        <v>117</v>
      </c>
      <c r="B121" s="25">
        <f ca="1">100*(sim!$C$3+NORMSINV(RAND())*sim!$C$4)</f>
        <v>1.1121943752656782</v>
      </c>
    </row>
    <row r="122" spans="1:2">
      <c r="A122" s="27">
        <v>118</v>
      </c>
      <c r="B122" s="25">
        <f ca="1">100*(sim!$C$3+NORMSINV(RAND())*sim!$C$4)</f>
        <v>2.4928296310772153</v>
      </c>
    </row>
    <row r="123" spans="1:2">
      <c r="A123" s="27">
        <v>119</v>
      </c>
      <c r="B123" s="25">
        <f ca="1">100*(sim!$C$3+NORMSINV(RAND())*sim!$C$4)</f>
        <v>2.9533052551724537</v>
      </c>
    </row>
    <row r="124" spans="1:2">
      <c r="A124" s="27">
        <v>120</v>
      </c>
      <c r="B124" s="25">
        <f ca="1">100*(sim!$C$3+NORMSINV(RAND())*sim!$C$4)</f>
        <v>2.278573354326769</v>
      </c>
    </row>
    <row r="125" spans="1:2">
      <c r="A125" s="27">
        <v>121</v>
      </c>
      <c r="B125" s="25">
        <f ca="1">100*(sim!$C$3+NORMSINV(RAND())*sim!$C$4)</f>
        <v>0.74031779367205264</v>
      </c>
    </row>
    <row r="126" spans="1:2">
      <c r="A126" s="27">
        <v>122</v>
      </c>
      <c r="B126" s="25">
        <f ca="1">100*(sim!$C$3+NORMSINV(RAND())*sim!$C$4)</f>
        <v>4.0105833029041209</v>
      </c>
    </row>
    <row r="127" spans="1:2">
      <c r="A127" s="27">
        <v>123</v>
      </c>
      <c r="B127" s="25">
        <f ca="1">100*(sim!$C$3+NORMSINV(RAND())*sim!$C$4)</f>
        <v>3.8968529008103747</v>
      </c>
    </row>
    <row r="128" spans="1:2">
      <c r="A128" s="27">
        <v>124</v>
      </c>
      <c r="B128" s="25">
        <f ca="1">100*(sim!$C$3+NORMSINV(RAND())*sim!$C$4)</f>
        <v>3.7353963139184736</v>
      </c>
    </row>
    <row r="129" spans="1:2">
      <c r="A129" s="27">
        <v>125</v>
      </c>
      <c r="B129" s="25">
        <f ca="1">100*(sim!$C$3+NORMSINV(RAND())*sim!$C$4)</f>
        <v>2.2115694158249219</v>
      </c>
    </row>
    <row r="130" spans="1:2">
      <c r="A130" s="27">
        <v>126</v>
      </c>
      <c r="B130" s="25">
        <f ca="1">100*(sim!$C$3+NORMSINV(RAND())*sim!$C$4)</f>
        <v>3.9464230925160786</v>
      </c>
    </row>
    <row r="131" spans="1:2">
      <c r="A131" s="27">
        <v>127</v>
      </c>
      <c r="B131" s="25">
        <f ca="1">100*(sim!$C$3+NORMSINV(RAND())*sim!$C$4)</f>
        <v>0.51889012258416289</v>
      </c>
    </row>
    <row r="132" spans="1:2">
      <c r="A132" s="27">
        <v>128</v>
      </c>
      <c r="B132" s="25">
        <f ca="1">100*(sim!$C$3+NORMSINV(RAND())*sim!$C$4)</f>
        <v>2.1422145443235134</v>
      </c>
    </row>
    <row r="133" spans="1:2">
      <c r="A133" s="27">
        <v>129</v>
      </c>
      <c r="B133" s="25">
        <f ca="1">100*(sim!$C$3+NORMSINV(RAND())*sim!$C$4)</f>
        <v>1.0578087006801504</v>
      </c>
    </row>
    <row r="134" spans="1:2">
      <c r="A134" s="27">
        <v>130</v>
      </c>
      <c r="B134" s="25">
        <f ca="1">100*(sim!$C$3+NORMSINV(RAND())*sim!$C$4)</f>
        <v>2.0652715847524683</v>
      </c>
    </row>
    <row r="135" spans="1:2">
      <c r="A135" s="27">
        <v>131</v>
      </c>
      <c r="B135" s="25">
        <f ca="1">100*(sim!$C$3+NORMSINV(RAND())*sim!$C$4)</f>
        <v>2.471449779704566</v>
      </c>
    </row>
    <row r="136" spans="1:2">
      <c r="A136" s="27">
        <v>132</v>
      </c>
      <c r="B136" s="25">
        <f ca="1">100*(sim!$C$3+NORMSINV(RAND())*sim!$C$4)</f>
        <v>1.706928992864408</v>
      </c>
    </row>
    <row r="137" spans="1:2">
      <c r="A137" s="27">
        <v>133</v>
      </c>
      <c r="B137" s="25">
        <f ca="1">100*(sim!$C$3+NORMSINV(RAND())*sim!$C$4)</f>
        <v>3.3414050998605651</v>
      </c>
    </row>
    <row r="138" spans="1:2">
      <c r="A138" s="27">
        <v>134</v>
      </c>
      <c r="B138" s="25">
        <f ca="1">100*(sim!$C$3+NORMSINV(RAND())*sim!$C$4)</f>
        <v>2.2986386021320646</v>
      </c>
    </row>
    <row r="139" spans="1:2">
      <c r="A139" s="27">
        <v>135</v>
      </c>
      <c r="B139" s="25">
        <f ca="1">100*(sim!$C$3+NORMSINV(RAND())*sim!$C$4)</f>
        <v>1.4022645473708701</v>
      </c>
    </row>
    <row r="140" spans="1:2">
      <c r="A140" s="27">
        <v>136</v>
      </c>
      <c r="B140" s="25">
        <f ca="1">100*(sim!$C$3+NORMSINV(RAND())*sim!$C$4)</f>
        <v>2.2917994812084808</v>
      </c>
    </row>
    <row r="141" spans="1:2">
      <c r="A141" s="27">
        <v>137</v>
      </c>
      <c r="B141" s="25">
        <f ca="1">100*(sim!$C$3+NORMSINV(RAND())*sim!$C$4)</f>
        <v>1.2684168335857635</v>
      </c>
    </row>
    <row r="142" spans="1:2">
      <c r="A142" s="27">
        <v>138</v>
      </c>
      <c r="B142" s="25">
        <f ca="1">100*(sim!$C$3+NORMSINV(RAND())*sim!$C$4)</f>
        <v>1.8858013681894497</v>
      </c>
    </row>
    <row r="143" spans="1:2">
      <c r="A143" s="27">
        <v>139</v>
      </c>
      <c r="B143" s="25">
        <f ca="1">100*(sim!$C$3+NORMSINV(RAND())*sim!$C$4)</f>
        <v>2.4142912162814238</v>
      </c>
    </row>
    <row r="144" spans="1:2">
      <c r="A144" s="27">
        <v>140</v>
      </c>
      <c r="B144" s="25">
        <f ca="1">100*(sim!$C$3+NORMSINV(RAND())*sim!$C$4)</f>
        <v>2.9454108762047722</v>
      </c>
    </row>
    <row r="145" spans="1:2">
      <c r="A145" s="27">
        <v>141</v>
      </c>
      <c r="B145" s="25">
        <f ca="1">100*(sim!$C$3+NORMSINV(RAND())*sim!$C$4)</f>
        <v>2.583517468162821</v>
      </c>
    </row>
    <row r="146" spans="1:2">
      <c r="A146" s="27">
        <v>142</v>
      </c>
      <c r="B146" s="25">
        <f ca="1">100*(sim!$C$3+NORMSINV(RAND())*sim!$C$4)</f>
        <v>2.2784792878411659</v>
      </c>
    </row>
    <row r="147" spans="1:2">
      <c r="A147" s="27">
        <v>143</v>
      </c>
      <c r="B147" s="25">
        <f ca="1">100*(sim!$C$3+NORMSINV(RAND())*sim!$C$4)</f>
        <v>0.57526705017118995</v>
      </c>
    </row>
    <row r="148" spans="1:2">
      <c r="A148" s="27">
        <v>144</v>
      </c>
      <c r="B148" s="25">
        <f ca="1">100*(sim!$C$3+NORMSINV(RAND())*sim!$C$4)</f>
        <v>1.8492947689091945</v>
      </c>
    </row>
    <row r="149" spans="1:2">
      <c r="A149" s="27">
        <v>145</v>
      </c>
      <c r="B149" s="25">
        <f ca="1">100*(sim!$C$3+NORMSINV(RAND())*sim!$C$4)</f>
        <v>2.3362624902992217</v>
      </c>
    </row>
    <row r="150" spans="1:2">
      <c r="A150" s="27">
        <v>146</v>
      </c>
      <c r="B150" s="25">
        <f ca="1">100*(sim!$C$3+NORMSINV(RAND())*sim!$C$4)</f>
        <v>1.2546890876435628</v>
      </c>
    </row>
    <row r="151" spans="1:2">
      <c r="A151" s="27">
        <v>147</v>
      </c>
      <c r="B151" s="25">
        <f ca="1">100*(sim!$C$3+NORMSINV(RAND())*sim!$C$4)</f>
        <v>1.9299563306698131</v>
      </c>
    </row>
    <row r="152" spans="1:2">
      <c r="A152" s="27">
        <v>148</v>
      </c>
      <c r="B152" s="25">
        <f ca="1">100*(sim!$C$3+NORMSINV(RAND())*sim!$C$4)</f>
        <v>2.5628263218854106</v>
      </c>
    </row>
    <row r="153" spans="1:2">
      <c r="A153" s="27">
        <v>149</v>
      </c>
      <c r="B153" s="25">
        <f ca="1">100*(sim!$C$3+NORMSINV(RAND())*sim!$C$4)</f>
        <v>2.5454682112693225</v>
      </c>
    </row>
    <row r="154" spans="1:2">
      <c r="A154" s="27">
        <v>150</v>
      </c>
      <c r="B154" s="25">
        <f ca="1">100*(sim!$C$3+NORMSINV(RAND())*sim!$C$4)</f>
        <v>2.3659537346169444</v>
      </c>
    </row>
    <row r="155" spans="1:2">
      <c r="A155" s="27">
        <v>151</v>
      </c>
      <c r="B155" s="25">
        <f ca="1">100*(sim!$C$3+NORMSINV(RAND())*sim!$C$4)</f>
        <v>1.1704536371209513</v>
      </c>
    </row>
    <row r="156" spans="1:2">
      <c r="A156" s="27">
        <v>152</v>
      </c>
      <c r="B156" s="25">
        <f ca="1">100*(sim!$C$3+NORMSINV(RAND())*sim!$C$4)</f>
        <v>2.6209170285516246</v>
      </c>
    </row>
    <row r="157" spans="1:2">
      <c r="A157" s="27">
        <v>153</v>
      </c>
      <c r="B157" s="25">
        <f ca="1">100*(sim!$C$3+NORMSINV(RAND())*sim!$C$4)</f>
        <v>1.4669200828088018</v>
      </c>
    </row>
    <row r="158" spans="1:2">
      <c r="A158" s="27">
        <v>154</v>
      </c>
      <c r="B158" s="25">
        <f ca="1">100*(sim!$C$3+NORMSINV(RAND())*sim!$C$4)</f>
        <v>2.2927973398300927</v>
      </c>
    </row>
    <row r="159" spans="1:2">
      <c r="A159" s="27">
        <v>155</v>
      </c>
      <c r="B159" s="25">
        <f ca="1">100*(sim!$C$3+NORMSINV(RAND())*sim!$C$4)</f>
        <v>3.2363422118877723</v>
      </c>
    </row>
    <row r="160" spans="1:2">
      <c r="A160" s="27">
        <v>156</v>
      </c>
      <c r="B160" s="25">
        <f ca="1">100*(sim!$C$3+NORMSINV(RAND())*sim!$C$4)</f>
        <v>0.71141588886256724</v>
      </c>
    </row>
    <row r="161" spans="1:2">
      <c r="A161" s="27">
        <v>157</v>
      </c>
      <c r="B161" s="25">
        <f ca="1">100*(sim!$C$3+NORMSINV(RAND())*sim!$C$4)</f>
        <v>3.2229066960795887</v>
      </c>
    </row>
    <row r="162" spans="1:2">
      <c r="A162" s="27">
        <v>158</v>
      </c>
      <c r="B162" s="25">
        <f ca="1">100*(sim!$C$3+NORMSINV(RAND())*sim!$C$4)</f>
        <v>2.0399692743600442</v>
      </c>
    </row>
    <row r="163" spans="1:2">
      <c r="A163" s="27">
        <v>159</v>
      </c>
      <c r="B163" s="25">
        <f ca="1">100*(sim!$C$3+NORMSINV(RAND())*sim!$C$4)</f>
        <v>2.7576385308891025</v>
      </c>
    </row>
    <row r="164" spans="1:2">
      <c r="A164" s="27">
        <v>160</v>
      </c>
      <c r="B164" s="25">
        <f ca="1">100*(sim!$C$3+NORMSINV(RAND())*sim!$C$4)</f>
        <v>1.9765633473215867</v>
      </c>
    </row>
    <row r="165" spans="1:2">
      <c r="A165" s="27">
        <v>161</v>
      </c>
      <c r="B165" s="25">
        <f ca="1">100*(sim!$C$3+NORMSINV(RAND())*sim!$C$4)</f>
        <v>-2.3865451948617417E-2</v>
      </c>
    </row>
    <row r="166" spans="1:2">
      <c r="A166" s="27">
        <v>162</v>
      </c>
      <c r="B166" s="25">
        <f ca="1">100*(sim!$C$3+NORMSINV(RAND())*sim!$C$4)</f>
        <v>-0.10734337653731454</v>
      </c>
    </row>
    <row r="167" spans="1:2">
      <c r="A167" s="27">
        <v>163</v>
      </c>
      <c r="B167" s="25">
        <f ca="1">100*(sim!$C$3+NORMSINV(RAND())*sim!$C$4)</f>
        <v>2.8808526759866031</v>
      </c>
    </row>
    <row r="168" spans="1:2">
      <c r="A168" s="27">
        <v>164</v>
      </c>
      <c r="B168" s="25">
        <f ca="1">100*(sim!$C$3+NORMSINV(RAND())*sim!$C$4)</f>
        <v>1.5411966343275265</v>
      </c>
    </row>
    <row r="169" spans="1:2">
      <c r="A169" s="27">
        <v>165</v>
      </c>
      <c r="B169" s="25">
        <f ca="1">100*(sim!$C$3+NORMSINV(RAND())*sim!$C$4)</f>
        <v>3.0367717210121179</v>
      </c>
    </row>
    <row r="170" spans="1:2">
      <c r="A170" s="27">
        <v>166</v>
      </c>
      <c r="B170" s="25">
        <f ca="1">100*(sim!$C$3+NORMSINV(RAND())*sim!$C$4)</f>
        <v>1.8421332182254402</v>
      </c>
    </row>
    <row r="171" spans="1:2">
      <c r="A171" s="27">
        <v>167</v>
      </c>
      <c r="B171" s="25">
        <f ca="1">100*(sim!$C$3+NORMSINV(RAND())*sim!$C$4)</f>
        <v>2.3283104827129506</v>
      </c>
    </row>
    <row r="172" spans="1:2">
      <c r="A172" s="27">
        <v>168</v>
      </c>
      <c r="B172" s="25">
        <f ca="1">100*(sim!$C$3+NORMSINV(RAND())*sim!$C$4)</f>
        <v>2.1846681610398213</v>
      </c>
    </row>
    <row r="173" spans="1:2">
      <c r="A173" s="27">
        <v>169</v>
      </c>
      <c r="B173" s="25">
        <f ca="1">100*(sim!$C$3+NORMSINV(RAND())*sim!$C$4)</f>
        <v>1.0697911120151558</v>
      </c>
    </row>
    <row r="174" spans="1:2">
      <c r="A174" s="27">
        <v>170</v>
      </c>
      <c r="B174" s="25">
        <f ca="1">100*(sim!$C$3+NORMSINV(RAND())*sim!$C$4)</f>
        <v>5.0208979730798715</v>
      </c>
    </row>
    <row r="175" spans="1:2">
      <c r="A175" s="27">
        <v>171</v>
      </c>
      <c r="B175" s="25">
        <f ca="1">100*(sim!$C$3+NORMSINV(RAND())*sim!$C$4)</f>
        <v>2.9800891011576507</v>
      </c>
    </row>
    <row r="176" spans="1:2">
      <c r="A176" s="27">
        <v>172</v>
      </c>
      <c r="B176" s="25">
        <f ca="1">100*(sim!$C$3+NORMSINV(RAND())*sim!$C$4)</f>
        <v>1.9762953381202555</v>
      </c>
    </row>
    <row r="177" spans="1:2">
      <c r="A177" s="27">
        <v>173</v>
      </c>
      <c r="B177" s="25">
        <f ca="1">100*(sim!$C$3+NORMSINV(RAND())*sim!$C$4)</f>
        <v>2.3029766322207976</v>
      </c>
    </row>
    <row r="178" spans="1:2">
      <c r="A178" s="27">
        <v>174</v>
      </c>
      <c r="B178" s="25">
        <f ca="1">100*(sim!$C$3+NORMSINV(RAND())*sim!$C$4)</f>
        <v>1.692134395096569</v>
      </c>
    </row>
    <row r="179" spans="1:2">
      <c r="A179" s="27">
        <v>175</v>
      </c>
      <c r="B179" s="25">
        <f ca="1">100*(sim!$C$3+NORMSINV(RAND())*sim!$C$4)</f>
        <v>1.5536821678579413</v>
      </c>
    </row>
    <row r="180" spans="1:2">
      <c r="A180" s="27">
        <v>176</v>
      </c>
      <c r="B180" s="25">
        <f ca="1">100*(sim!$C$3+NORMSINV(RAND())*sim!$C$4)</f>
        <v>1.4729089773717983</v>
      </c>
    </row>
    <row r="181" spans="1:2">
      <c r="A181" s="27">
        <v>177</v>
      </c>
      <c r="B181" s="25">
        <f ca="1">100*(sim!$C$3+NORMSINV(RAND())*sim!$C$4)</f>
        <v>0.99506467563457157</v>
      </c>
    </row>
    <row r="182" spans="1:2">
      <c r="A182" s="27">
        <v>178</v>
      </c>
      <c r="B182" s="25">
        <f ca="1">100*(sim!$C$3+NORMSINV(RAND())*sim!$C$4)</f>
        <v>1.6800328358857159</v>
      </c>
    </row>
    <row r="183" spans="1:2">
      <c r="A183" s="27">
        <v>179</v>
      </c>
      <c r="B183" s="25">
        <f ca="1">100*(sim!$C$3+NORMSINV(RAND())*sim!$C$4)</f>
        <v>4.0643638914809435</v>
      </c>
    </row>
    <row r="184" spans="1:2">
      <c r="A184" s="27">
        <v>180</v>
      </c>
      <c r="B184" s="25">
        <f ca="1">100*(sim!$C$3+NORMSINV(RAND())*sim!$C$4)</f>
        <v>0.97351646697035354</v>
      </c>
    </row>
    <row r="185" spans="1:2">
      <c r="A185" s="27">
        <v>181</v>
      </c>
      <c r="B185" s="25">
        <f ca="1">100*(sim!$C$3+NORMSINV(RAND())*sim!$C$4)</f>
        <v>1.5678970702354218</v>
      </c>
    </row>
    <row r="186" spans="1:2">
      <c r="A186" s="27">
        <v>182</v>
      </c>
      <c r="B186" s="25">
        <f ca="1">100*(sim!$C$3+NORMSINV(RAND())*sim!$C$4)</f>
        <v>2.2437209601766295</v>
      </c>
    </row>
    <row r="187" spans="1:2">
      <c r="A187" s="27">
        <v>183</v>
      </c>
      <c r="B187" s="25">
        <f ca="1">100*(sim!$C$3+NORMSINV(RAND())*sim!$C$4)</f>
        <v>2.9174106423429218</v>
      </c>
    </row>
    <row r="188" spans="1:2">
      <c r="A188" s="27">
        <v>184</v>
      </c>
      <c r="B188" s="25">
        <f ca="1">100*(sim!$C$3+NORMSINV(RAND())*sim!$C$4)</f>
        <v>2.2013964988081067</v>
      </c>
    </row>
    <row r="189" spans="1:2">
      <c r="A189" s="27">
        <v>185</v>
      </c>
      <c r="B189" s="25">
        <f ca="1">100*(sim!$C$3+NORMSINV(RAND())*sim!$C$4)</f>
        <v>2.577548554819082</v>
      </c>
    </row>
    <row r="190" spans="1:2">
      <c r="A190" s="27">
        <v>186</v>
      </c>
      <c r="B190" s="25">
        <f ca="1">100*(sim!$C$3+NORMSINV(RAND())*sim!$C$4)</f>
        <v>3.0219515466457585</v>
      </c>
    </row>
    <row r="191" spans="1:2">
      <c r="A191" s="27">
        <v>187</v>
      </c>
      <c r="B191" s="25">
        <f ca="1">100*(sim!$C$3+NORMSINV(RAND())*sim!$C$4)</f>
        <v>0.20518715959135653</v>
      </c>
    </row>
    <row r="192" spans="1:2">
      <c r="A192" s="27">
        <v>188</v>
      </c>
      <c r="B192" s="25">
        <f ca="1">100*(sim!$C$3+NORMSINV(RAND())*sim!$C$4)</f>
        <v>1.451704466970082</v>
      </c>
    </row>
    <row r="193" spans="1:2">
      <c r="A193" s="27">
        <v>189</v>
      </c>
      <c r="B193" s="25">
        <f ca="1">100*(sim!$C$3+NORMSINV(RAND())*sim!$C$4)</f>
        <v>1.5921543168065748</v>
      </c>
    </row>
    <row r="194" spans="1:2">
      <c r="A194" s="27">
        <v>190</v>
      </c>
      <c r="B194" s="25">
        <f ca="1">100*(sim!$C$3+NORMSINV(RAND())*sim!$C$4)</f>
        <v>3.5340489910115984</v>
      </c>
    </row>
    <row r="195" spans="1:2">
      <c r="A195" s="27">
        <v>191</v>
      </c>
      <c r="B195" s="25">
        <f ca="1">100*(sim!$C$3+NORMSINV(RAND())*sim!$C$4)</f>
        <v>2.0726596405410533</v>
      </c>
    </row>
    <row r="196" spans="1:2">
      <c r="A196" s="27">
        <v>192</v>
      </c>
      <c r="B196" s="25">
        <f ca="1">100*(sim!$C$3+NORMSINV(RAND())*sim!$C$4)</f>
        <v>1.4828799512797721</v>
      </c>
    </row>
    <row r="197" spans="1:2">
      <c r="A197" s="27">
        <v>193</v>
      </c>
      <c r="B197" s="25">
        <f ca="1">100*(sim!$C$3+NORMSINV(RAND())*sim!$C$4)</f>
        <v>1.8268962806134492</v>
      </c>
    </row>
    <row r="198" spans="1:2">
      <c r="A198" s="27">
        <v>194</v>
      </c>
      <c r="B198" s="25">
        <f ca="1">100*(sim!$C$3+NORMSINV(RAND())*sim!$C$4)</f>
        <v>2.6556063897719238</v>
      </c>
    </row>
    <row r="199" spans="1:2">
      <c r="A199" s="27">
        <v>195</v>
      </c>
      <c r="B199" s="25">
        <f ca="1">100*(sim!$C$3+NORMSINV(RAND())*sim!$C$4)</f>
        <v>2.0066350401336601</v>
      </c>
    </row>
    <row r="200" spans="1:2">
      <c r="A200" s="27">
        <v>196</v>
      </c>
      <c r="B200" s="25">
        <f ca="1">100*(sim!$C$3+NORMSINV(RAND())*sim!$C$4)</f>
        <v>0.87416439178357075</v>
      </c>
    </row>
    <row r="201" spans="1:2">
      <c r="A201" s="27">
        <v>197</v>
      </c>
      <c r="B201" s="25">
        <f ca="1">100*(sim!$C$3+NORMSINV(RAND())*sim!$C$4)</f>
        <v>2.0908017967387376</v>
      </c>
    </row>
    <row r="202" spans="1:2">
      <c r="A202" s="27">
        <v>198</v>
      </c>
      <c r="B202" s="25">
        <f ca="1">100*(sim!$C$3+NORMSINV(RAND())*sim!$C$4)</f>
        <v>1.7679319781973384</v>
      </c>
    </row>
    <row r="203" spans="1:2">
      <c r="A203" s="27">
        <v>199</v>
      </c>
      <c r="B203" s="25">
        <f ca="1">100*(sim!$C$3+NORMSINV(RAND())*sim!$C$4)</f>
        <v>2.2388924281697062</v>
      </c>
    </row>
    <row r="204" spans="1:2">
      <c r="A204" s="27">
        <v>200</v>
      </c>
      <c r="B204" s="25">
        <f ca="1">100*(sim!$C$3+NORMSINV(RAND())*sim!$C$4)</f>
        <v>2.999945141903944</v>
      </c>
    </row>
    <row r="205" spans="1:2">
      <c r="A205" s="27">
        <v>201</v>
      </c>
      <c r="B205" s="25">
        <f ca="1">100*(sim!$C$3+NORMSINV(RAND())*sim!$C$4)</f>
        <v>1.1885298846987129</v>
      </c>
    </row>
    <row r="206" spans="1:2">
      <c r="A206" s="27">
        <v>202</v>
      </c>
      <c r="B206" s="25">
        <f ca="1">100*(sim!$C$3+NORMSINV(RAND())*sim!$C$4)</f>
        <v>0.8644089551309152</v>
      </c>
    </row>
    <row r="207" spans="1:2">
      <c r="A207" s="27">
        <v>203</v>
      </c>
      <c r="B207" s="25">
        <f ca="1">100*(sim!$C$3+NORMSINV(RAND())*sim!$C$4)</f>
        <v>2.3405704858698266</v>
      </c>
    </row>
    <row r="208" spans="1:2">
      <c r="A208" s="27">
        <v>204</v>
      </c>
      <c r="B208" s="25">
        <f ca="1">100*(sim!$C$3+NORMSINV(RAND())*sim!$C$4)</f>
        <v>2.7810547987107781</v>
      </c>
    </row>
    <row r="209" spans="1:2">
      <c r="A209" s="27">
        <v>205</v>
      </c>
      <c r="B209" s="25">
        <f ca="1">100*(sim!$C$3+NORMSINV(RAND())*sim!$C$4)</f>
        <v>1.135758685526475</v>
      </c>
    </row>
    <row r="210" spans="1:2">
      <c r="A210" s="27">
        <v>206</v>
      </c>
      <c r="B210" s="25">
        <f ca="1">100*(sim!$C$3+NORMSINV(RAND())*sim!$C$4)</f>
        <v>1.5018629452254966</v>
      </c>
    </row>
    <row r="211" spans="1:2">
      <c r="A211" s="27">
        <v>207</v>
      </c>
      <c r="B211" s="25">
        <f ca="1">100*(sim!$C$3+NORMSINV(RAND())*sim!$C$4)</f>
        <v>1.3695242508724628</v>
      </c>
    </row>
    <row r="212" spans="1:2">
      <c r="A212" s="27">
        <v>208</v>
      </c>
      <c r="B212" s="25">
        <f ca="1">100*(sim!$C$3+NORMSINV(RAND())*sim!$C$4)</f>
        <v>4.6997085022090133</v>
      </c>
    </row>
    <row r="213" spans="1:2">
      <c r="A213" s="27">
        <v>209</v>
      </c>
      <c r="B213" s="25">
        <f ca="1">100*(sim!$C$3+NORMSINV(RAND())*sim!$C$4)</f>
        <v>2.5973940991989761</v>
      </c>
    </row>
    <row r="214" spans="1:2">
      <c r="A214" s="27">
        <v>210</v>
      </c>
      <c r="B214" s="25">
        <f ca="1">100*(sim!$C$3+NORMSINV(RAND())*sim!$C$4)</f>
        <v>1.7583670722785949</v>
      </c>
    </row>
    <row r="215" spans="1:2">
      <c r="A215" s="27">
        <v>211</v>
      </c>
      <c r="B215" s="25">
        <f ca="1">100*(sim!$C$3+NORMSINV(RAND())*sim!$C$4)</f>
        <v>2.0735150358687289</v>
      </c>
    </row>
    <row r="216" spans="1:2">
      <c r="A216" s="27">
        <v>212</v>
      </c>
      <c r="B216" s="25">
        <f ca="1">100*(sim!$C$3+NORMSINV(RAND())*sim!$C$4)</f>
        <v>3.3714052303622246</v>
      </c>
    </row>
    <row r="217" spans="1:2">
      <c r="A217" s="27">
        <v>213</v>
      </c>
      <c r="B217" s="25">
        <f ca="1">100*(sim!$C$3+NORMSINV(RAND())*sim!$C$4)</f>
        <v>1.413713157390124</v>
      </c>
    </row>
    <row r="218" spans="1:2">
      <c r="A218" s="27">
        <v>214</v>
      </c>
      <c r="B218" s="25">
        <f ca="1">100*(sim!$C$3+NORMSINV(RAND())*sim!$C$4)</f>
        <v>3.6689855265220346</v>
      </c>
    </row>
    <row r="219" spans="1:2">
      <c r="A219" s="27">
        <v>215</v>
      </c>
      <c r="B219" s="25">
        <f ca="1">100*(sim!$C$3+NORMSINV(RAND())*sim!$C$4)</f>
        <v>1.4300679159630605</v>
      </c>
    </row>
    <row r="220" spans="1:2">
      <c r="A220" s="27">
        <v>216</v>
      </c>
      <c r="B220" s="25">
        <f ca="1">100*(sim!$C$3+NORMSINV(RAND())*sim!$C$4)</f>
        <v>2.3115986038363237</v>
      </c>
    </row>
    <row r="221" spans="1:2">
      <c r="A221" s="27">
        <v>217</v>
      </c>
      <c r="B221" s="25">
        <f ca="1">100*(sim!$C$3+NORMSINV(RAND())*sim!$C$4)</f>
        <v>1.4192936298413628</v>
      </c>
    </row>
    <row r="222" spans="1:2">
      <c r="A222" s="27">
        <v>218</v>
      </c>
      <c r="B222" s="25">
        <f ca="1">100*(sim!$C$3+NORMSINV(RAND())*sim!$C$4)</f>
        <v>1.1127802149370787</v>
      </c>
    </row>
    <row r="223" spans="1:2">
      <c r="A223" s="27">
        <v>219</v>
      </c>
      <c r="B223" s="25">
        <f ca="1">100*(sim!$C$3+NORMSINV(RAND())*sim!$C$4)</f>
        <v>2.4227803347442127</v>
      </c>
    </row>
    <row r="224" spans="1:2">
      <c r="A224" s="27">
        <v>220</v>
      </c>
      <c r="B224" s="25">
        <f ca="1">100*(sim!$C$3+NORMSINV(RAND())*sim!$C$4)</f>
        <v>1.3073080446108669</v>
      </c>
    </row>
    <row r="225" spans="1:2">
      <c r="A225" s="27">
        <v>221</v>
      </c>
      <c r="B225" s="25">
        <f ca="1">100*(sim!$C$3+NORMSINV(RAND())*sim!$C$4)</f>
        <v>1.7018514144128323</v>
      </c>
    </row>
    <row r="226" spans="1:2">
      <c r="A226" s="27">
        <v>222</v>
      </c>
      <c r="B226" s="25">
        <f ca="1">100*(sim!$C$3+NORMSINV(RAND())*sim!$C$4)</f>
        <v>3.2199512625436562</v>
      </c>
    </row>
    <row r="227" spans="1:2">
      <c r="A227" s="27">
        <v>223</v>
      </c>
      <c r="B227" s="25">
        <f ca="1">100*(sim!$C$3+NORMSINV(RAND())*sim!$C$4)</f>
        <v>1.2700434890246477</v>
      </c>
    </row>
    <row r="228" spans="1:2">
      <c r="A228" s="27">
        <v>224</v>
      </c>
      <c r="B228" s="25">
        <f ca="1">100*(sim!$C$3+NORMSINV(RAND())*sim!$C$4)</f>
        <v>-0.1658795268986081</v>
      </c>
    </row>
    <row r="229" spans="1:2">
      <c r="A229" s="27">
        <v>225</v>
      </c>
      <c r="B229" s="25">
        <f ca="1">100*(sim!$C$3+NORMSINV(RAND())*sim!$C$4)</f>
        <v>1.3979329731080026</v>
      </c>
    </row>
    <row r="230" spans="1:2">
      <c r="A230" s="27">
        <v>226</v>
      </c>
      <c r="B230" s="25">
        <f ca="1">100*(sim!$C$3+NORMSINV(RAND())*sim!$C$4)</f>
        <v>2.6905043361981416</v>
      </c>
    </row>
    <row r="231" spans="1:2">
      <c r="A231" s="27">
        <v>227</v>
      </c>
      <c r="B231" s="25">
        <f ca="1">100*(sim!$C$3+NORMSINV(RAND())*sim!$C$4)</f>
        <v>0.50977423443233183</v>
      </c>
    </row>
    <row r="232" spans="1:2">
      <c r="A232" s="27">
        <v>228</v>
      </c>
      <c r="B232" s="25">
        <f ca="1">100*(sim!$C$3+NORMSINV(RAND())*sim!$C$4)</f>
        <v>1.2409307458152588</v>
      </c>
    </row>
    <row r="233" spans="1:2">
      <c r="A233" s="27">
        <v>229</v>
      </c>
      <c r="B233" s="25">
        <f ca="1">100*(sim!$C$3+NORMSINV(RAND())*sim!$C$4)</f>
        <v>2.0853905633165479</v>
      </c>
    </row>
    <row r="234" spans="1:2">
      <c r="A234" s="27">
        <v>230</v>
      </c>
      <c r="B234" s="25">
        <f ca="1">100*(sim!$C$3+NORMSINV(RAND())*sim!$C$4)</f>
        <v>1.0923489074275774</v>
      </c>
    </row>
    <row r="235" spans="1:2">
      <c r="A235" s="27">
        <v>231</v>
      </c>
      <c r="B235" s="25">
        <f ca="1">100*(sim!$C$3+NORMSINV(RAND())*sim!$C$4)</f>
        <v>3.3247736835385582</v>
      </c>
    </row>
    <row r="236" spans="1:2">
      <c r="A236" s="27">
        <v>232</v>
      </c>
      <c r="B236" s="25">
        <f ca="1">100*(sim!$C$3+NORMSINV(RAND())*sim!$C$4)</f>
        <v>1.7329602882049415</v>
      </c>
    </row>
    <row r="237" spans="1:2">
      <c r="A237" s="27">
        <v>233</v>
      </c>
      <c r="B237" s="25">
        <f ca="1">100*(sim!$C$3+NORMSINV(RAND())*sim!$C$4)</f>
        <v>0.85598546765910999</v>
      </c>
    </row>
    <row r="238" spans="1:2">
      <c r="A238" s="27">
        <v>234</v>
      </c>
      <c r="B238" s="25">
        <f ca="1">100*(sim!$C$3+NORMSINV(RAND())*sim!$C$4)</f>
        <v>1.3329235192880227</v>
      </c>
    </row>
    <row r="239" spans="1:2">
      <c r="A239" s="27">
        <v>235</v>
      </c>
      <c r="B239" s="25">
        <f ca="1">100*(sim!$C$3+NORMSINV(RAND())*sim!$C$4)</f>
        <v>2.689360458749718</v>
      </c>
    </row>
    <row r="240" spans="1:2">
      <c r="A240" s="27">
        <v>236</v>
      </c>
      <c r="B240" s="25">
        <f ca="1">100*(sim!$C$3+NORMSINV(RAND())*sim!$C$4)</f>
        <v>4.1000626146966566</v>
      </c>
    </row>
    <row r="241" spans="1:2">
      <c r="A241" s="27">
        <v>237</v>
      </c>
      <c r="B241" s="25">
        <f ca="1">100*(sim!$C$3+NORMSINV(RAND())*sim!$C$4)</f>
        <v>0.78915502048603936</v>
      </c>
    </row>
    <row r="242" spans="1:2">
      <c r="A242" s="27">
        <v>238</v>
      </c>
      <c r="B242" s="25">
        <f ca="1">100*(sim!$C$3+NORMSINV(RAND())*sim!$C$4)</f>
        <v>2.2678072337611281</v>
      </c>
    </row>
    <row r="243" spans="1:2">
      <c r="A243" s="27">
        <v>239</v>
      </c>
      <c r="B243" s="25">
        <f ca="1">100*(sim!$C$3+NORMSINV(RAND())*sim!$C$4)</f>
        <v>1.5653695193254373</v>
      </c>
    </row>
    <row r="244" spans="1:2">
      <c r="A244" s="27">
        <v>240</v>
      </c>
      <c r="B244" s="25">
        <f ca="1">100*(sim!$C$3+NORMSINV(RAND())*sim!$C$4)</f>
        <v>0.580831213920324</v>
      </c>
    </row>
    <row r="245" spans="1:2">
      <c r="A245" s="27">
        <v>241</v>
      </c>
      <c r="B245" s="25">
        <f ca="1">100*(sim!$C$3+NORMSINV(RAND())*sim!$C$4)</f>
        <v>1.3659752013470738</v>
      </c>
    </row>
    <row r="246" spans="1:2">
      <c r="A246" s="27">
        <v>242</v>
      </c>
      <c r="B246" s="25">
        <f ca="1">100*(sim!$C$3+NORMSINV(RAND())*sim!$C$4)</f>
        <v>1.2780316422922413</v>
      </c>
    </row>
    <row r="247" spans="1:2">
      <c r="A247" s="27">
        <v>243</v>
      </c>
      <c r="B247" s="25">
        <f ca="1">100*(sim!$C$3+NORMSINV(RAND())*sim!$C$4)</f>
        <v>1.0705706268810966</v>
      </c>
    </row>
    <row r="248" spans="1:2">
      <c r="A248" s="27">
        <v>244</v>
      </c>
      <c r="B248" s="25">
        <f ca="1">100*(sim!$C$3+NORMSINV(RAND())*sim!$C$4)</f>
        <v>4.6971265930355441</v>
      </c>
    </row>
    <row r="249" spans="1:2">
      <c r="A249" s="27">
        <v>245</v>
      </c>
      <c r="B249" s="25">
        <f ca="1">100*(sim!$C$3+NORMSINV(RAND())*sim!$C$4)</f>
        <v>1.3108403217122269</v>
      </c>
    </row>
    <row r="250" spans="1:2">
      <c r="A250" s="27">
        <v>246</v>
      </c>
      <c r="B250" s="25">
        <f ca="1">100*(sim!$C$3+NORMSINV(RAND())*sim!$C$4)</f>
        <v>1.426620802190091</v>
      </c>
    </row>
    <row r="251" spans="1:2">
      <c r="A251" s="27">
        <v>247</v>
      </c>
      <c r="B251" s="25">
        <f ca="1">100*(sim!$C$3+NORMSINV(RAND())*sim!$C$4)</f>
        <v>0.6137590406604958</v>
      </c>
    </row>
    <row r="252" spans="1:2">
      <c r="A252" s="27">
        <v>248</v>
      </c>
      <c r="B252" s="25">
        <f ca="1">100*(sim!$C$3+NORMSINV(RAND())*sim!$C$4)</f>
        <v>0.95804892652669049</v>
      </c>
    </row>
    <row r="253" spans="1:2">
      <c r="A253" s="27">
        <v>249</v>
      </c>
      <c r="B253" s="25">
        <f ca="1">100*(sim!$C$3+NORMSINV(RAND())*sim!$C$4)</f>
        <v>2.5818208211196119</v>
      </c>
    </row>
    <row r="254" spans="1:2">
      <c r="A254" s="27">
        <v>250</v>
      </c>
      <c r="B254" s="25">
        <f ca="1">100*(sim!$C$3+NORMSINV(RAND())*sim!$C$4)</f>
        <v>1.9058444439765805</v>
      </c>
    </row>
    <row r="255" spans="1:2">
      <c r="A255" s="27">
        <v>251</v>
      </c>
      <c r="B255" s="25">
        <f ca="1">100*(sim!$C$3+NORMSINV(RAND())*sim!$C$4)</f>
        <v>1.6825341714533635</v>
      </c>
    </row>
    <row r="256" spans="1:2">
      <c r="A256" s="27">
        <v>252</v>
      </c>
      <c r="B256" s="25">
        <f ca="1">100*(sim!$C$3+NORMSINV(RAND())*sim!$C$4)</f>
        <v>1.2172595337730441</v>
      </c>
    </row>
    <row r="257" spans="1:2">
      <c r="A257" s="27">
        <v>253</v>
      </c>
      <c r="B257" s="25">
        <f ca="1">100*(sim!$C$3+NORMSINV(RAND())*sim!$C$4)</f>
        <v>1.85623473973375</v>
      </c>
    </row>
    <row r="258" spans="1:2">
      <c r="A258" s="27">
        <v>254</v>
      </c>
      <c r="B258" s="25">
        <f ca="1">100*(sim!$C$3+NORMSINV(RAND())*sim!$C$4)</f>
        <v>0.61872431839914799</v>
      </c>
    </row>
    <row r="259" spans="1:2">
      <c r="A259" s="27">
        <v>255</v>
      </c>
      <c r="B259" s="25">
        <f ca="1">100*(sim!$C$3+NORMSINV(RAND())*sim!$C$4)</f>
        <v>0.39602155296770275</v>
      </c>
    </row>
    <row r="260" spans="1:2">
      <c r="A260" s="27">
        <v>256</v>
      </c>
      <c r="B260" s="25">
        <f ca="1">100*(sim!$C$3+NORMSINV(RAND())*sim!$C$4)</f>
        <v>2.0226116100642706</v>
      </c>
    </row>
    <row r="261" spans="1:2">
      <c r="A261" s="27">
        <v>257</v>
      </c>
      <c r="B261" s="25">
        <f ca="1">100*(sim!$C$3+NORMSINV(RAND())*sim!$C$4)</f>
        <v>1.7899203748597745</v>
      </c>
    </row>
    <row r="262" spans="1:2">
      <c r="A262" s="27">
        <v>258</v>
      </c>
      <c r="B262" s="25">
        <f ca="1">100*(sim!$C$3+NORMSINV(RAND())*sim!$C$4)</f>
        <v>2.9740672989810717</v>
      </c>
    </row>
    <row r="263" spans="1:2">
      <c r="A263" s="27">
        <v>259</v>
      </c>
      <c r="B263" s="25">
        <f ca="1">100*(sim!$C$3+NORMSINV(RAND())*sim!$C$4)</f>
        <v>0.590224937201417</v>
      </c>
    </row>
    <row r="264" spans="1:2">
      <c r="A264" s="27">
        <v>260</v>
      </c>
      <c r="B264" s="25">
        <f ca="1">100*(sim!$C$3+NORMSINV(RAND())*sim!$C$4)</f>
        <v>1.9312390105376276</v>
      </c>
    </row>
    <row r="265" spans="1:2">
      <c r="A265" s="27">
        <v>261</v>
      </c>
      <c r="B265" s="25">
        <f ca="1">100*(sim!$C$3+NORMSINV(RAND())*sim!$C$4)</f>
        <v>0.66552718718136261</v>
      </c>
    </row>
    <row r="266" spans="1:2">
      <c r="A266" s="27">
        <v>262</v>
      </c>
      <c r="B266" s="25">
        <f ca="1">100*(sim!$C$3+NORMSINV(RAND())*sim!$C$4)</f>
        <v>3.8863704376034951</v>
      </c>
    </row>
    <row r="267" spans="1:2">
      <c r="A267" s="27">
        <v>263</v>
      </c>
      <c r="B267" s="25">
        <f ca="1">100*(sim!$C$3+NORMSINV(RAND())*sim!$C$4)</f>
        <v>2.4853049442424244</v>
      </c>
    </row>
    <row r="268" spans="1:2">
      <c r="A268" s="27">
        <v>264</v>
      </c>
      <c r="B268" s="25">
        <f ca="1">100*(sim!$C$3+NORMSINV(RAND())*sim!$C$4)</f>
        <v>1.0918233742431809</v>
      </c>
    </row>
    <row r="269" spans="1:2">
      <c r="A269" s="27">
        <v>265</v>
      </c>
      <c r="B269" s="25">
        <f ca="1">100*(sim!$C$3+NORMSINV(RAND())*sim!$C$4)</f>
        <v>1.4699228679394236</v>
      </c>
    </row>
    <row r="270" spans="1:2">
      <c r="A270" s="27">
        <v>266</v>
      </c>
      <c r="B270" s="25">
        <f ca="1">100*(sim!$C$3+NORMSINV(RAND())*sim!$C$4)</f>
        <v>0.79825171639965542</v>
      </c>
    </row>
    <row r="271" spans="1:2">
      <c r="A271" s="27">
        <v>267</v>
      </c>
      <c r="B271" s="25">
        <f ca="1">100*(sim!$C$3+NORMSINV(RAND())*sim!$C$4)</f>
        <v>0.5737495226749999</v>
      </c>
    </row>
    <row r="272" spans="1:2">
      <c r="A272" s="27">
        <v>268</v>
      </c>
      <c r="B272" s="25">
        <f ca="1">100*(sim!$C$3+NORMSINV(RAND())*sim!$C$4)</f>
        <v>-0.25677645503336677</v>
      </c>
    </row>
    <row r="273" spans="1:2">
      <c r="A273" s="27">
        <v>269</v>
      </c>
      <c r="B273" s="25">
        <f ca="1">100*(sim!$C$3+NORMSINV(RAND())*sim!$C$4)</f>
        <v>2.3256444630831377</v>
      </c>
    </row>
    <row r="274" spans="1:2">
      <c r="A274" s="27">
        <v>270</v>
      </c>
      <c r="B274" s="25">
        <f ca="1">100*(sim!$C$3+NORMSINV(RAND())*sim!$C$4)</f>
        <v>0.55352468612526673</v>
      </c>
    </row>
    <row r="275" spans="1:2">
      <c r="A275" s="27">
        <v>271</v>
      </c>
      <c r="B275" s="25">
        <f ca="1">100*(sim!$C$3+NORMSINV(RAND())*sim!$C$4)</f>
        <v>2.5672001187978646</v>
      </c>
    </row>
    <row r="276" spans="1:2">
      <c r="A276" s="27">
        <v>272</v>
      </c>
      <c r="B276" s="25">
        <f ca="1">100*(sim!$C$3+NORMSINV(RAND())*sim!$C$4)</f>
        <v>1.0478993561659451</v>
      </c>
    </row>
    <row r="277" spans="1:2">
      <c r="A277" s="27">
        <v>273</v>
      </c>
      <c r="B277" s="25">
        <f ca="1">100*(sim!$C$3+NORMSINV(RAND())*sim!$C$4)</f>
        <v>1.4385260743896506</v>
      </c>
    </row>
    <row r="278" spans="1:2">
      <c r="A278" s="27">
        <v>274</v>
      </c>
      <c r="B278" s="25">
        <f ca="1">100*(sim!$C$3+NORMSINV(RAND())*sim!$C$4)</f>
        <v>2.3957772637022305</v>
      </c>
    </row>
    <row r="279" spans="1:2">
      <c r="A279" s="27">
        <v>275</v>
      </c>
      <c r="B279" s="25">
        <f ca="1">100*(sim!$C$3+NORMSINV(RAND())*sim!$C$4)</f>
        <v>1.3538548532084791</v>
      </c>
    </row>
    <row r="280" spans="1:2">
      <c r="A280" s="27">
        <v>276</v>
      </c>
      <c r="B280" s="25">
        <f ca="1">100*(sim!$C$3+NORMSINV(RAND())*sim!$C$4)</f>
        <v>2.256570487196897</v>
      </c>
    </row>
    <row r="281" spans="1:2">
      <c r="A281" s="27">
        <v>277</v>
      </c>
      <c r="B281" s="25">
        <f ca="1">100*(sim!$C$3+NORMSINV(RAND())*sim!$C$4)</f>
        <v>2.2409611333445758</v>
      </c>
    </row>
    <row r="282" spans="1:2">
      <c r="A282" s="27">
        <v>278</v>
      </c>
      <c r="B282" s="25">
        <f ca="1">100*(sim!$C$3+NORMSINV(RAND())*sim!$C$4)</f>
        <v>3.5127698538639827</v>
      </c>
    </row>
    <row r="283" spans="1:2">
      <c r="A283" s="27">
        <v>279</v>
      </c>
      <c r="B283" s="25">
        <f ca="1">100*(sim!$C$3+NORMSINV(RAND())*sim!$C$4)</f>
        <v>6.0408495226436931E-2</v>
      </c>
    </row>
    <row r="284" spans="1:2">
      <c r="A284" s="27">
        <v>280</v>
      </c>
      <c r="B284" s="25">
        <f ca="1">100*(sim!$C$3+NORMSINV(RAND())*sim!$C$4)</f>
        <v>3.5718931440304398</v>
      </c>
    </row>
    <row r="285" spans="1:2">
      <c r="A285" s="27">
        <v>281</v>
      </c>
      <c r="B285" s="25">
        <f ca="1">100*(sim!$C$3+NORMSINV(RAND())*sim!$C$4)</f>
        <v>2.5498909240441092</v>
      </c>
    </row>
    <row r="286" spans="1:2">
      <c r="A286" s="27">
        <v>282</v>
      </c>
      <c r="B286" s="25">
        <f ca="1">100*(sim!$C$3+NORMSINV(RAND())*sim!$C$4)</f>
        <v>0.67802924195095571</v>
      </c>
    </row>
    <row r="287" spans="1:2">
      <c r="A287" s="27">
        <v>283</v>
      </c>
      <c r="B287" s="25">
        <f ca="1">100*(sim!$C$3+NORMSINV(RAND())*sim!$C$4)</f>
        <v>2.3176154241500426</v>
      </c>
    </row>
    <row r="288" spans="1:2">
      <c r="A288" s="27">
        <v>284</v>
      </c>
      <c r="B288" s="25">
        <f ca="1">100*(sim!$C$3+NORMSINV(RAND())*sim!$C$4)</f>
        <v>3.8231313183154452</v>
      </c>
    </row>
    <row r="289" spans="1:2">
      <c r="A289" s="27">
        <v>285</v>
      </c>
      <c r="B289" s="25">
        <f ca="1">100*(sim!$C$3+NORMSINV(RAND())*sim!$C$4)</f>
        <v>3.4770047399736956</v>
      </c>
    </row>
    <row r="290" spans="1:2">
      <c r="A290" s="27">
        <v>286</v>
      </c>
      <c r="B290" s="25">
        <f ca="1">100*(sim!$C$3+NORMSINV(RAND())*sim!$C$4)</f>
        <v>3.1906005281240186</v>
      </c>
    </row>
    <row r="291" spans="1:2">
      <c r="A291" s="27">
        <v>287</v>
      </c>
      <c r="B291" s="25">
        <f ca="1">100*(sim!$C$3+NORMSINV(RAND())*sim!$C$4)</f>
        <v>1.9733931972028766</v>
      </c>
    </row>
    <row r="292" spans="1:2">
      <c r="A292" s="27">
        <v>288</v>
      </c>
      <c r="B292" s="25">
        <f ca="1">100*(sim!$C$3+NORMSINV(RAND())*sim!$C$4)</f>
        <v>3.6473849362152428</v>
      </c>
    </row>
    <row r="293" spans="1:2">
      <c r="A293" s="27">
        <v>289</v>
      </c>
      <c r="B293" s="25">
        <f ca="1">100*(sim!$C$3+NORMSINV(RAND())*sim!$C$4)</f>
        <v>2.6817036138345158</v>
      </c>
    </row>
    <row r="294" spans="1:2">
      <c r="A294" s="27">
        <v>290</v>
      </c>
      <c r="B294" s="25">
        <f ca="1">100*(sim!$C$3+NORMSINV(RAND())*sim!$C$4)</f>
        <v>2.411643431345138</v>
      </c>
    </row>
    <row r="295" spans="1:2">
      <c r="A295" s="27">
        <v>291</v>
      </c>
      <c r="B295" s="25">
        <f ca="1">100*(sim!$C$3+NORMSINV(RAND())*sim!$C$4)</f>
        <v>3.6314581831012713</v>
      </c>
    </row>
    <row r="296" spans="1:2">
      <c r="A296" s="27">
        <v>292</v>
      </c>
      <c r="B296" s="25">
        <f ca="1">100*(sim!$C$3+NORMSINV(RAND())*sim!$C$4)</f>
        <v>2.7150253525240138</v>
      </c>
    </row>
    <row r="297" spans="1:2">
      <c r="A297" s="27">
        <v>293</v>
      </c>
      <c r="B297" s="25">
        <f ca="1">100*(sim!$C$3+NORMSINV(RAND())*sim!$C$4)</f>
        <v>1.3746170296027984</v>
      </c>
    </row>
    <row r="298" spans="1:2">
      <c r="A298" s="27">
        <v>294</v>
      </c>
      <c r="B298" s="25">
        <f ca="1">100*(sim!$C$3+NORMSINV(RAND())*sim!$C$4)</f>
        <v>1.9808150046436848</v>
      </c>
    </row>
    <row r="299" spans="1:2">
      <c r="A299" s="27">
        <v>295</v>
      </c>
      <c r="B299" s="25">
        <f ca="1">100*(sim!$C$3+NORMSINV(RAND())*sim!$C$4)</f>
        <v>0.83219405943428892</v>
      </c>
    </row>
    <row r="300" spans="1:2">
      <c r="A300" s="27">
        <v>296</v>
      </c>
      <c r="B300" s="25">
        <f ca="1">100*(sim!$C$3+NORMSINV(RAND())*sim!$C$4)</f>
        <v>2.3304792943365493</v>
      </c>
    </row>
    <row r="301" spans="1:2">
      <c r="A301" s="27">
        <v>297</v>
      </c>
      <c r="B301" s="25">
        <f ca="1">100*(sim!$C$3+NORMSINV(RAND())*sim!$C$4)</f>
        <v>2.2432843464592347</v>
      </c>
    </row>
    <row r="302" spans="1:2">
      <c r="A302" s="27">
        <v>298</v>
      </c>
      <c r="B302" s="25">
        <f ca="1">100*(sim!$C$3+NORMSINV(RAND())*sim!$C$4)</f>
        <v>1.6881587705065346</v>
      </c>
    </row>
    <row r="303" spans="1:2">
      <c r="A303" s="27">
        <v>299</v>
      </c>
      <c r="B303" s="25">
        <f ca="1">100*(sim!$C$3+NORMSINV(RAND())*sim!$C$4)</f>
        <v>1.3827544368479248</v>
      </c>
    </row>
    <row r="304" spans="1:2">
      <c r="A304" s="27">
        <v>300</v>
      </c>
      <c r="B304" s="25">
        <f ca="1">100*(sim!$C$3+NORMSINV(RAND())*sim!$C$4)</f>
        <v>0.17163019634820303</v>
      </c>
    </row>
    <row r="305" spans="1:2">
      <c r="A305" s="27">
        <v>301</v>
      </c>
      <c r="B305" s="25">
        <f ca="1">100*(sim!$C$3+NORMSINV(RAND())*sim!$C$4)</f>
        <v>1.7644257343842129</v>
      </c>
    </row>
    <row r="306" spans="1:2">
      <c r="A306" s="27">
        <v>302</v>
      </c>
      <c r="B306" s="25">
        <f ca="1">100*(sim!$C$3+NORMSINV(RAND())*sim!$C$4)</f>
        <v>2.6628382468310003</v>
      </c>
    </row>
    <row r="307" spans="1:2">
      <c r="A307" s="27">
        <v>303</v>
      </c>
      <c r="B307" s="25">
        <f ca="1">100*(sim!$C$3+NORMSINV(RAND())*sim!$C$4)</f>
        <v>2.9097433374188424</v>
      </c>
    </row>
    <row r="308" spans="1:2">
      <c r="A308" s="27">
        <v>304</v>
      </c>
      <c r="B308" s="25">
        <f ca="1">100*(sim!$C$3+NORMSINV(RAND())*sim!$C$4)</f>
        <v>0.81149610380693671</v>
      </c>
    </row>
    <row r="309" spans="1:2">
      <c r="A309" s="27">
        <v>305</v>
      </c>
      <c r="B309" s="25">
        <f ca="1">100*(sim!$C$3+NORMSINV(RAND())*sim!$C$4)</f>
        <v>3.7891692427607051</v>
      </c>
    </row>
    <row r="310" spans="1:2">
      <c r="A310" s="27">
        <v>306</v>
      </c>
      <c r="B310" s="25">
        <f ca="1">100*(sim!$C$3+NORMSINV(RAND())*sim!$C$4)</f>
        <v>2.0027150600250887</v>
      </c>
    </row>
    <row r="311" spans="1:2">
      <c r="A311" s="27">
        <v>307</v>
      </c>
      <c r="B311" s="25">
        <f ca="1">100*(sim!$C$3+NORMSINV(RAND())*sim!$C$4)</f>
        <v>0.93893881943205004</v>
      </c>
    </row>
    <row r="312" spans="1:2">
      <c r="A312" s="27">
        <v>308</v>
      </c>
      <c r="B312" s="25">
        <f ca="1">100*(sim!$C$3+NORMSINV(RAND())*sim!$C$4)</f>
        <v>2.8537013299204288</v>
      </c>
    </row>
    <row r="313" spans="1:2">
      <c r="A313" s="27">
        <v>309</v>
      </c>
      <c r="B313" s="25">
        <f ca="1">100*(sim!$C$3+NORMSINV(RAND())*sim!$C$4)</f>
        <v>1.5586202803572793</v>
      </c>
    </row>
    <row r="314" spans="1:2">
      <c r="A314" s="27">
        <v>310</v>
      </c>
      <c r="B314" s="25">
        <f ca="1">100*(sim!$C$3+NORMSINV(RAND())*sim!$C$4)</f>
        <v>2.7131627866262082</v>
      </c>
    </row>
    <row r="315" spans="1:2">
      <c r="A315" s="27">
        <v>311</v>
      </c>
      <c r="B315" s="25">
        <f ca="1">100*(sim!$C$3+NORMSINV(RAND())*sim!$C$4)</f>
        <v>1.0990246729639326</v>
      </c>
    </row>
    <row r="316" spans="1:2">
      <c r="A316" s="27">
        <v>312</v>
      </c>
      <c r="B316" s="25">
        <f ca="1">100*(sim!$C$3+NORMSINV(RAND())*sim!$C$4)</f>
        <v>1.6327117557666404</v>
      </c>
    </row>
    <row r="317" spans="1:2">
      <c r="A317" s="27">
        <v>313</v>
      </c>
      <c r="B317" s="25">
        <f ca="1">100*(sim!$C$3+NORMSINV(RAND())*sim!$C$4)</f>
        <v>1.257819250101246</v>
      </c>
    </row>
    <row r="318" spans="1:2">
      <c r="A318" s="27">
        <v>314</v>
      </c>
      <c r="B318" s="25">
        <f ca="1">100*(sim!$C$3+NORMSINV(RAND())*sim!$C$4)</f>
        <v>2.4905760055074651</v>
      </c>
    </row>
    <row r="319" spans="1:2">
      <c r="A319" s="27">
        <v>315</v>
      </c>
      <c r="B319" s="25">
        <f ca="1">100*(sim!$C$3+NORMSINV(RAND())*sim!$C$4)</f>
        <v>1.2962369505366218</v>
      </c>
    </row>
    <row r="320" spans="1:2">
      <c r="A320" s="27">
        <v>316</v>
      </c>
      <c r="B320" s="25">
        <f ca="1">100*(sim!$C$3+NORMSINV(RAND())*sim!$C$4)</f>
        <v>0.33808126517390691</v>
      </c>
    </row>
    <row r="321" spans="1:2">
      <c r="A321" s="27">
        <v>317</v>
      </c>
      <c r="B321" s="25">
        <f ca="1">100*(sim!$C$3+NORMSINV(RAND())*sim!$C$4)</f>
        <v>1.3918255891595059</v>
      </c>
    </row>
    <row r="322" spans="1:2">
      <c r="A322" s="27">
        <v>318</v>
      </c>
      <c r="B322" s="25">
        <f ca="1">100*(sim!$C$3+NORMSINV(RAND())*sim!$C$4)</f>
        <v>2.0375254022255427</v>
      </c>
    </row>
    <row r="323" spans="1:2">
      <c r="A323" s="27">
        <v>319</v>
      </c>
      <c r="B323" s="25">
        <f ca="1">100*(sim!$C$3+NORMSINV(RAND())*sim!$C$4)</f>
        <v>1.8002583270206036</v>
      </c>
    </row>
    <row r="324" spans="1:2">
      <c r="A324" s="27">
        <v>320</v>
      </c>
      <c r="B324" s="25">
        <f ca="1">100*(sim!$C$3+NORMSINV(RAND())*sim!$C$4)</f>
        <v>1.5820336716893337</v>
      </c>
    </row>
    <row r="325" spans="1:2">
      <c r="A325" s="27">
        <v>321</v>
      </c>
      <c r="B325" s="25">
        <f ca="1">100*(sim!$C$3+NORMSINV(RAND())*sim!$C$4)</f>
        <v>1.1270177868828346</v>
      </c>
    </row>
    <row r="326" spans="1:2">
      <c r="A326" s="27">
        <v>322</v>
      </c>
      <c r="B326" s="25">
        <f ca="1">100*(sim!$C$3+NORMSINV(RAND())*sim!$C$4)</f>
        <v>1.8681157182476451</v>
      </c>
    </row>
    <row r="327" spans="1:2">
      <c r="A327" s="27">
        <v>323</v>
      </c>
      <c r="B327" s="25">
        <f ca="1">100*(sim!$C$3+NORMSINV(RAND())*sim!$C$4)</f>
        <v>-0.82907345174642222</v>
      </c>
    </row>
    <row r="328" spans="1:2">
      <c r="A328" s="27">
        <v>324</v>
      </c>
      <c r="B328" s="25">
        <f ca="1">100*(sim!$C$3+NORMSINV(RAND())*sim!$C$4)</f>
        <v>1.2648177449500526</v>
      </c>
    </row>
    <row r="329" spans="1:2">
      <c r="A329" s="27">
        <v>325</v>
      </c>
      <c r="B329" s="25">
        <f ca="1">100*(sim!$C$3+NORMSINV(RAND())*sim!$C$4)</f>
        <v>2.1264768646610164</v>
      </c>
    </row>
    <row r="330" spans="1:2">
      <c r="A330" s="27">
        <v>326</v>
      </c>
      <c r="B330" s="25">
        <f ca="1">100*(sim!$C$3+NORMSINV(RAND())*sim!$C$4)</f>
        <v>1.4466023031820614</v>
      </c>
    </row>
    <row r="331" spans="1:2">
      <c r="A331" s="27">
        <v>327</v>
      </c>
      <c r="B331" s="25">
        <f ca="1">100*(sim!$C$3+NORMSINV(RAND())*sim!$C$4)</f>
        <v>2.3523507904324448</v>
      </c>
    </row>
    <row r="332" spans="1:2">
      <c r="A332" s="27">
        <v>328</v>
      </c>
      <c r="B332" s="25">
        <f ca="1">100*(sim!$C$3+NORMSINV(RAND())*sim!$C$4)</f>
        <v>1.9810096615626227</v>
      </c>
    </row>
    <row r="333" spans="1:2">
      <c r="A333" s="27">
        <v>329</v>
      </c>
      <c r="B333" s="25">
        <f ca="1">100*(sim!$C$3+NORMSINV(RAND())*sim!$C$4)</f>
        <v>1.1853452731383085</v>
      </c>
    </row>
    <row r="334" spans="1:2">
      <c r="A334" s="27">
        <v>330</v>
      </c>
      <c r="B334" s="25">
        <f ca="1">100*(sim!$C$3+NORMSINV(RAND())*sim!$C$4)</f>
        <v>3.2752086277982908</v>
      </c>
    </row>
    <row r="335" spans="1:2">
      <c r="A335" s="27">
        <v>331</v>
      </c>
      <c r="B335" s="25">
        <f ca="1">100*(sim!$C$3+NORMSINV(RAND())*sim!$C$4)</f>
        <v>-0.48008116459421663</v>
      </c>
    </row>
    <row r="336" spans="1:2">
      <c r="A336" s="27">
        <v>332</v>
      </c>
      <c r="B336" s="25">
        <f ca="1">100*(sim!$C$3+NORMSINV(RAND())*sim!$C$4)</f>
        <v>0.88198933577134275</v>
      </c>
    </row>
    <row r="337" spans="1:2">
      <c r="A337" s="27">
        <v>333</v>
      </c>
      <c r="B337" s="25">
        <f ca="1">100*(sim!$C$3+NORMSINV(RAND())*sim!$C$4)</f>
        <v>2.8456552701978262</v>
      </c>
    </row>
    <row r="338" spans="1:2">
      <c r="A338" s="27">
        <v>334</v>
      </c>
      <c r="B338" s="25">
        <f ca="1">100*(sim!$C$3+NORMSINV(RAND())*sim!$C$4)</f>
        <v>2.6725078439584853</v>
      </c>
    </row>
    <row r="339" spans="1:2">
      <c r="A339" s="27">
        <v>335</v>
      </c>
      <c r="B339" s="25">
        <f ca="1">100*(sim!$C$3+NORMSINV(RAND())*sim!$C$4)</f>
        <v>1.8391336342928801</v>
      </c>
    </row>
    <row r="340" spans="1:2">
      <c r="A340" s="27">
        <v>336</v>
      </c>
      <c r="B340" s="25">
        <f ca="1">100*(sim!$C$3+NORMSINV(RAND())*sim!$C$4)</f>
        <v>2.9997782961535311</v>
      </c>
    </row>
    <row r="341" spans="1:2">
      <c r="A341" s="27">
        <v>337</v>
      </c>
      <c r="B341" s="25">
        <f ca="1">100*(sim!$C$3+NORMSINV(RAND())*sim!$C$4)</f>
        <v>2.679382567179915</v>
      </c>
    </row>
    <row r="342" spans="1:2">
      <c r="A342" s="27">
        <v>338</v>
      </c>
      <c r="B342" s="25">
        <f ca="1">100*(sim!$C$3+NORMSINV(RAND())*sim!$C$4)</f>
        <v>4.9136440829684265</v>
      </c>
    </row>
    <row r="343" spans="1:2">
      <c r="A343" s="27">
        <v>339</v>
      </c>
      <c r="B343" s="25">
        <f ca="1">100*(sim!$C$3+NORMSINV(RAND())*sim!$C$4)</f>
        <v>2.1077367261380893</v>
      </c>
    </row>
    <row r="344" spans="1:2">
      <c r="A344" s="27">
        <v>340</v>
      </c>
      <c r="B344" s="25">
        <f ca="1">100*(sim!$C$3+NORMSINV(RAND())*sim!$C$4)</f>
        <v>1.948583946903323</v>
      </c>
    </row>
    <row r="345" spans="1:2">
      <c r="A345" s="27">
        <v>341</v>
      </c>
      <c r="B345" s="25">
        <f ca="1">100*(sim!$C$3+NORMSINV(RAND())*sim!$C$4)</f>
        <v>1.4809543080921563</v>
      </c>
    </row>
    <row r="346" spans="1:2">
      <c r="A346" s="27">
        <v>342</v>
      </c>
      <c r="B346" s="25">
        <f ca="1">100*(sim!$C$3+NORMSINV(RAND())*sim!$C$4)</f>
        <v>2.5101407798075908</v>
      </c>
    </row>
    <row r="347" spans="1:2">
      <c r="A347" s="27">
        <v>343</v>
      </c>
      <c r="B347" s="25">
        <f ca="1">100*(sim!$C$3+NORMSINV(RAND())*sim!$C$4)</f>
        <v>1.7675555739077249</v>
      </c>
    </row>
    <row r="348" spans="1:2">
      <c r="A348" s="27">
        <v>344</v>
      </c>
      <c r="B348" s="25">
        <f ca="1">100*(sim!$C$3+NORMSINV(RAND())*sim!$C$4)</f>
        <v>2.552042752487881</v>
      </c>
    </row>
    <row r="349" spans="1:2">
      <c r="A349" s="27">
        <v>345</v>
      </c>
      <c r="B349" s="25">
        <f ca="1">100*(sim!$C$3+NORMSINV(RAND())*sim!$C$4)</f>
        <v>2.5971097170698978</v>
      </c>
    </row>
    <row r="350" spans="1:2">
      <c r="A350" s="27">
        <v>346</v>
      </c>
      <c r="B350" s="25">
        <f ca="1">100*(sim!$C$3+NORMSINV(RAND())*sim!$C$4)</f>
        <v>0.41208148888316165</v>
      </c>
    </row>
    <row r="351" spans="1:2">
      <c r="A351" s="27">
        <v>347</v>
      </c>
      <c r="B351" s="25">
        <f ca="1">100*(sim!$C$3+NORMSINV(RAND())*sim!$C$4)</f>
        <v>0.64327672579925432</v>
      </c>
    </row>
    <row r="352" spans="1:2">
      <c r="A352" s="27">
        <v>348</v>
      </c>
      <c r="B352" s="25">
        <f ca="1">100*(sim!$C$3+NORMSINV(RAND())*sim!$C$4)</f>
        <v>3.5022279874600271</v>
      </c>
    </row>
    <row r="353" spans="1:2">
      <c r="A353" s="27">
        <v>349</v>
      </c>
      <c r="B353" s="25">
        <f ca="1">100*(sim!$C$3+NORMSINV(RAND())*sim!$C$4)</f>
        <v>1.4871154711347214</v>
      </c>
    </row>
    <row r="354" spans="1:2">
      <c r="A354" s="27">
        <v>350</v>
      </c>
      <c r="B354" s="25">
        <f ca="1">100*(sim!$C$3+NORMSINV(RAND())*sim!$C$4)</f>
        <v>0.41355916356902134</v>
      </c>
    </row>
    <row r="355" spans="1:2">
      <c r="A355" s="27">
        <v>351</v>
      </c>
      <c r="B355" s="25">
        <f ca="1">100*(sim!$C$3+NORMSINV(RAND())*sim!$C$4)</f>
        <v>-7.7077516756445322E-2</v>
      </c>
    </row>
    <row r="356" spans="1:2">
      <c r="A356" s="27">
        <v>352</v>
      </c>
      <c r="B356" s="25">
        <f ca="1">100*(sim!$C$3+NORMSINV(RAND())*sim!$C$4)</f>
        <v>0.74891903455785136</v>
      </c>
    </row>
    <row r="357" spans="1:2">
      <c r="A357" s="27">
        <v>353</v>
      </c>
      <c r="B357" s="25">
        <f ca="1">100*(sim!$C$3+NORMSINV(RAND())*sim!$C$4)</f>
        <v>1.3321067174889305</v>
      </c>
    </row>
    <row r="358" spans="1:2">
      <c r="A358" s="27">
        <v>354</v>
      </c>
      <c r="B358" s="25">
        <f ca="1">100*(sim!$C$3+NORMSINV(RAND())*sim!$C$4)</f>
        <v>3.8000369132577703</v>
      </c>
    </row>
    <row r="359" spans="1:2">
      <c r="A359" s="27">
        <v>355</v>
      </c>
      <c r="B359" s="25">
        <f ca="1">100*(sim!$C$3+NORMSINV(RAND())*sim!$C$4)</f>
        <v>1.31181860811257</v>
      </c>
    </row>
    <row r="360" spans="1:2">
      <c r="A360" s="27">
        <v>356</v>
      </c>
      <c r="B360" s="25">
        <f ca="1">100*(sim!$C$3+NORMSINV(RAND())*sim!$C$4)</f>
        <v>3.0833880874408015</v>
      </c>
    </row>
    <row r="361" spans="1:2">
      <c r="A361" s="27">
        <v>357</v>
      </c>
      <c r="B361" s="25">
        <f ca="1">100*(sim!$C$3+NORMSINV(RAND())*sim!$C$4)</f>
        <v>0.16237864791160267</v>
      </c>
    </row>
    <row r="362" spans="1:2">
      <c r="A362" s="27">
        <v>358</v>
      </c>
      <c r="B362" s="25">
        <f ca="1">100*(sim!$C$3+NORMSINV(RAND())*sim!$C$4)</f>
        <v>0.89906942688625702</v>
      </c>
    </row>
    <row r="363" spans="1:2">
      <c r="A363" s="27">
        <v>359</v>
      </c>
      <c r="B363" s="25">
        <f ca="1">100*(sim!$C$3+NORMSINV(RAND())*sim!$C$4)</f>
        <v>2.7954777871241401</v>
      </c>
    </row>
    <row r="364" spans="1:2">
      <c r="A364" s="27">
        <v>360</v>
      </c>
      <c r="B364" s="25">
        <f ca="1">100*(sim!$C$3+NORMSINV(RAND())*sim!$C$4)</f>
        <v>2.7370387824768678</v>
      </c>
    </row>
    <row r="365" spans="1:2">
      <c r="A365" s="27">
        <v>361</v>
      </c>
      <c r="B365" s="25">
        <f ca="1">100*(sim!$C$3+NORMSINV(RAND())*sim!$C$4)</f>
        <v>2.943107019068496</v>
      </c>
    </row>
    <row r="366" spans="1:2">
      <c r="A366" s="27">
        <v>362</v>
      </c>
      <c r="B366" s="25">
        <f ca="1">100*(sim!$C$3+NORMSINV(RAND())*sim!$C$4)</f>
        <v>1.8212376955540115</v>
      </c>
    </row>
    <row r="367" spans="1:2">
      <c r="A367" s="27">
        <v>363</v>
      </c>
      <c r="B367" s="25">
        <f ca="1">100*(sim!$C$3+NORMSINV(RAND())*sim!$C$4)</f>
        <v>1.7068086537762126</v>
      </c>
    </row>
    <row r="368" spans="1:2">
      <c r="A368" s="27">
        <v>364</v>
      </c>
      <c r="B368" s="25">
        <f ca="1">100*(sim!$C$3+NORMSINV(RAND())*sim!$C$4)</f>
        <v>2.5334606921201717</v>
      </c>
    </row>
    <row r="369" spans="1:2">
      <c r="A369" s="27">
        <v>365</v>
      </c>
      <c r="B369" s="25">
        <f ca="1">100*(sim!$C$3+NORMSINV(RAND())*sim!$C$4)</f>
        <v>2.7265392817469944</v>
      </c>
    </row>
    <row r="370" spans="1:2">
      <c r="A370" s="27">
        <v>366</v>
      </c>
      <c r="B370" s="25">
        <f ca="1">100*(sim!$C$3+NORMSINV(RAND())*sim!$C$4)</f>
        <v>2.478707440270838</v>
      </c>
    </row>
    <row r="371" spans="1:2">
      <c r="A371" s="27">
        <v>367</v>
      </c>
      <c r="B371" s="25">
        <f ca="1">100*(sim!$C$3+NORMSINV(RAND())*sim!$C$4)</f>
        <v>0.90683555849807829</v>
      </c>
    </row>
    <row r="372" spans="1:2">
      <c r="A372" s="27">
        <v>368</v>
      </c>
      <c r="B372" s="25">
        <f ca="1">100*(sim!$C$3+NORMSINV(RAND())*sim!$C$4)</f>
        <v>1.8985877644686331</v>
      </c>
    </row>
    <row r="373" spans="1:2">
      <c r="A373" s="27">
        <v>369</v>
      </c>
      <c r="B373" s="25">
        <f ca="1">100*(sim!$C$3+NORMSINV(RAND())*sim!$C$4)</f>
        <v>3.5675273638580975</v>
      </c>
    </row>
    <row r="374" spans="1:2">
      <c r="A374" s="27">
        <v>370</v>
      </c>
      <c r="B374" s="25">
        <f ca="1">100*(sim!$C$3+NORMSINV(RAND())*sim!$C$4)</f>
        <v>1.5209051553532174</v>
      </c>
    </row>
    <row r="375" spans="1:2">
      <c r="A375" s="27">
        <v>371</v>
      </c>
      <c r="B375" s="25">
        <f ca="1">100*(sim!$C$3+NORMSINV(RAND())*sim!$C$4)</f>
        <v>0.72050211675172493</v>
      </c>
    </row>
    <row r="376" spans="1:2">
      <c r="A376" s="27">
        <v>372</v>
      </c>
      <c r="B376" s="25">
        <f ca="1">100*(sim!$C$3+NORMSINV(RAND())*sim!$C$4)</f>
        <v>2.2500670601914496</v>
      </c>
    </row>
    <row r="377" spans="1:2">
      <c r="A377" s="27">
        <v>373</v>
      </c>
      <c r="B377" s="25">
        <f ca="1">100*(sim!$C$3+NORMSINV(RAND())*sim!$C$4)</f>
        <v>2.9542183377662283</v>
      </c>
    </row>
    <row r="378" spans="1:2">
      <c r="A378" s="27">
        <v>374</v>
      </c>
      <c r="B378" s="25">
        <f ca="1">100*(sim!$C$3+NORMSINV(RAND())*sim!$C$4)</f>
        <v>2.7767566762575466</v>
      </c>
    </row>
    <row r="379" spans="1:2">
      <c r="A379" s="27">
        <v>375</v>
      </c>
      <c r="B379" s="25">
        <f ca="1">100*(sim!$C$3+NORMSINV(RAND())*sim!$C$4)</f>
        <v>1.345642375051183</v>
      </c>
    </row>
    <row r="380" spans="1:2">
      <c r="A380" s="27">
        <v>376</v>
      </c>
      <c r="B380" s="25">
        <f ca="1">100*(sim!$C$3+NORMSINV(RAND())*sim!$C$4)</f>
        <v>1.7600216475958264</v>
      </c>
    </row>
    <row r="381" spans="1:2">
      <c r="A381" s="27">
        <v>377</v>
      </c>
      <c r="B381" s="25">
        <f ca="1">100*(sim!$C$3+NORMSINV(RAND())*sim!$C$4)</f>
        <v>1.1961340270197456</v>
      </c>
    </row>
    <row r="382" spans="1:2">
      <c r="A382" s="27">
        <v>378</v>
      </c>
      <c r="B382" s="25">
        <f ca="1">100*(sim!$C$3+NORMSINV(RAND())*sim!$C$4)</f>
        <v>1.9496906258629609</v>
      </c>
    </row>
    <row r="383" spans="1:2">
      <c r="A383" s="27">
        <v>379</v>
      </c>
      <c r="B383" s="25">
        <f ca="1">100*(sim!$C$3+NORMSINV(RAND())*sim!$C$4)</f>
        <v>3.5655771556376106</v>
      </c>
    </row>
    <row r="384" spans="1:2">
      <c r="A384" s="27">
        <v>380</v>
      </c>
      <c r="B384" s="25">
        <f ca="1">100*(sim!$C$3+NORMSINV(RAND())*sim!$C$4)</f>
        <v>1.4009173624964462</v>
      </c>
    </row>
    <row r="385" spans="1:2">
      <c r="A385" s="27">
        <v>381</v>
      </c>
      <c r="B385" s="25">
        <f ca="1">100*(sim!$C$3+NORMSINV(RAND())*sim!$C$4)</f>
        <v>-0.77759936868128687</v>
      </c>
    </row>
    <row r="386" spans="1:2">
      <c r="A386" s="27">
        <v>382</v>
      </c>
      <c r="B386" s="25">
        <f ca="1">100*(sim!$C$3+NORMSINV(RAND())*sim!$C$4)</f>
        <v>0.47941998869529495</v>
      </c>
    </row>
    <row r="387" spans="1:2">
      <c r="A387" s="27">
        <v>383</v>
      </c>
      <c r="B387" s="25">
        <f ca="1">100*(sim!$C$3+NORMSINV(RAND())*sim!$C$4)</f>
        <v>2.6659009501915087</v>
      </c>
    </row>
    <row r="388" spans="1:2">
      <c r="A388" s="27">
        <v>384</v>
      </c>
      <c r="B388" s="25">
        <f ca="1">100*(sim!$C$3+NORMSINV(RAND())*sim!$C$4)</f>
        <v>1.878200910863945</v>
      </c>
    </row>
    <row r="389" spans="1:2">
      <c r="A389" s="27">
        <v>385</v>
      </c>
      <c r="B389" s="25">
        <f ca="1">100*(sim!$C$3+NORMSINV(RAND())*sim!$C$4)</f>
        <v>1.6735440441622944</v>
      </c>
    </row>
    <row r="390" spans="1:2">
      <c r="A390" s="27">
        <v>386</v>
      </c>
      <c r="B390" s="25">
        <f ca="1">100*(sim!$C$3+NORMSINV(RAND())*sim!$C$4)</f>
        <v>2.6197201418230485</v>
      </c>
    </row>
    <row r="391" spans="1:2">
      <c r="A391" s="27">
        <v>387</v>
      </c>
      <c r="B391" s="25">
        <f ca="1">100*(sim!$C$3+NORMSINV(RAND())*sim!$C$4)</f>
        <v>2.6734162966054185</v>
      </c>
    </row>
    <row r="392" spans="1:2">
      <c r="A392" s="27">
        <v>388</v>
      </c>
      <c r="B392" s="25">
        <f ca="1">100*(sim!$C$3+NORMSINV(RAND())*sim!$C$4)</f>
        <v>1.0450915579661333</v>
      </c>
    </row>
    <row r="393" spans="1:2">
      <c r="A393" s="27">
        <v>389</v>
      </c>
      <c r="B393" s="25">
        <f ca="1">100*(sim!$C$3+NORMSINV(RAND())*sim!$C$4)</f>
        <v>3.4539854944769419</v>
      </c>
    </row>
    <row r="394" spans="1:2">
      <c r="A394" s="27">
        <v>390</v>
      </c>
      <c r="B394" s="25">
        <f ca="1">100*(sim!$C$3+NORMSINV(RAND())*sim!$C$4)</f>
        <v>0.68363083824925353</v>
      </c>
    </row>
    <row r="395" spans="1:2">
      <c r="A395" s="27">
        <v>391</v>
      </c>
      <c r="B395" s="25">
        <f ca="1">100*(sim!$C$3+NORMSINV(RAND())*sim!$C$4)</f>
        <v>3.3074530258236048</v>
      </c>
    </row>
    <row r="396" spans="1:2">
      <c r="A396" s="27">
        <v>392</v>
      </c>
      <c r="B396" s="25">
        <f ca="1">100*(sim!$C$3+NORMSINV(RAND())*sim!$C$4)</f>
        <v>0.38190339416228763</v>
      </c>
    </row>
    <row r="397" spans="1:2">
      <c r="A397" s="27">
        <v>393</v>
      </c>
      <c r="B397" s="25">
        <f ca="1">100*(sim!$C$3+NORMSINV(RAND())*sim!$C$4)</f>
        <v>3.5360145776874741</v>
      </c>
    </row>
    <row r="398" spans="1:2">
      <c r="A398" s="27">
        <v>394</v>
      </c>
      <c r="B398" s="25">
        <f ca="1">100*(sim!$C$3+NORMSINV(RAND())*sim!$C$4)</f>
        <v>0.65536654251868809</v>
      </c>
    </row>
    <row r="399" spans="1:2">
      <c r="A399" s="27">
        <v>395</v>
      </c>
      <c r="B399" s="25">
        <f ca="1">100*(sim!$C$3+NORMSINV(RAND())*sim!$C$4)</f>
        <v>2.0373088548290519</v>
      </c>
    </row>
    <row r="400" spans="1:2">
      <c r="A400" s="27">
        <v>396</v>
      </c>
      <c r="B400" s="25">
        <f ca="1">100*(sim!$C$3+NORMSINV(RAND())*sim!$C$4)</f>
        <v>0.98842721231148967</v>
      </c>
    </row>
    <row r="401" spans="1:2">
      <c r="A401" s="27">
        <v>397</v>
      </c>
      <c r="B401" s="25">
        <f ca="1">100*(sim!$C$3+NORMSINV(RAND())*sim!$C$4)</f>
        <v>1.5911638813175957</v>
      </c>
    </row>
    <row r="402" spans="1:2">
      <c r="A402" s="27">
        <v>398</v>
      </c>
      <c r="B402" s="25">
        <f ca="1">100*(sim!$C$3+NORMSINV(RAND())*sim!$C$4)</f>
        <v>1.650545166569203</v>
      </c>
    </row>
    <row r="403" spans="1:2">
      <c r="A403" s="27">
        <v>399</v>
      </c>
      <c r="B403" s="25">
        <f ca="1">100*(sim!$C$3+NORMSINV(RAND())*sim!$C$4)</f>
        <v>2.6177537037196363</v>
      </c>
    </row>
    <row r="404" spans="1:2">
      <c r="A404" s="27">
        <v>400</v>
      </c>
      <c r="B404" s="25">
        <f ca="1">100*(sim!$C$3+NORMSINV(RAND())*sim!$C$4)</f>
        <v>3.4964754536970428</v>
      </c>
    </row>
    <row r="405" spans="1:2">
      <c r="A405" s="27">
        <v>401</v>
      </c>
      <c r="B405" s="25">
        <f ca="1">100*(sim!$C$3+NORMSINV(RAND())*sim!$C$4)</f>
        <v>2.8573928573698075</v>
      </c>
    </row>
    <row r="406" spans="1:2">
      <c r="A406" s="27">
        <v>402</v>
      </c>
      <c r="B406" s="25">
        <f ca="1">100*(sim!$C$3+NORMSINV(RAND())*sim!$C$4)</f>
        <v>3.1801049608445862</v>
      </c>
    </row>
    <row r="407" spans="1:2">
      <c r="A407" s="27">
        <v>403</v>
      </c>
      <c r="B407" s="25">
        <f ca="1">100*(sim!$C$3+NORMSINV(RAND())*sim!$C$4)</f>
        <v>1.2609335238811563</v>
      </c>
    </row>
    <row r="408" spans="1:2">
      <c r="A408" s="27">
        <v>404</v>
      </c>
      <c r="B408" s="25">
        <f ca="1">100*(sim!$C$3+NORMSINV(RAND())*sim!$C$4)</f>
        <v>0.43934494949535213</v>
      </c>
    </row>
    <row r="409" spans="1:2">
      <c r="A409" s="27">
        <v>405</v>
      </c>
      <c r="B409" s="25">
        <f ca="1">100*(sim!$C$3+NORMSINV(RAND())*sim!$C$4)</f>
        <v>2.2253100174978258</v>
      </c>
    </row>
    <row r="410" spans="1:2">
      <c r="A410" s="27">
        <v>406</v>
      </c>
      <c r="B410" s="25">
        <f ca="1">100*(sim!$C$3+NORMSINV(RAND())*sim!$C$4)</f>
        <v>2.0109415471923593</v>
      </c>
    </row>
    <row r="411" spans="1:2">
      <c r="A411" s="27">
        <v>407</v>
      </c>
      <c r="B411" s="25">
        <f ca="1">100*(sim!$C$3+NORMSINV(RAND())*sim!$C$4)</f>
        <v>0.73912930822680378</v>
      </c>
    </row>
    <row r="412" spans="1:2">
      <c r="A412" s="27">
        <v>408</v>
      </c>
      <c r="B412" s="25">
        <f ca="1">100*(sim!$C$3+NORMSINV(RAND())*sim!$C$4)</f>
        <v>3.0071434843788483</v>
      </c>
    </row>
    <row r="413" spans="1:2">
      <c r="A413" s="27">
        <v>409</v>
      </c>
      <c r="B413" s="25">
        <f ca="1">100*(sim!$C$3+NORMSINV(RAND())*sim!$C$4)</f>
        <v>0.94849390907337172</v>
      </c>
    </row>
    <row r="414" spans="1:2">
      <c r="A414" s="27">
        <v>410</v>
      </c>
      <c r="B414" s="25">
        <f ca="1">100*(sim!$C$3+NORMSINV(RAND())*sim!$C$4)</f>
        <v>3.5914244098951795</v>
      </c>
    </row>
    <row r="415" spans="1:2">
      <c r="A415" s="27">
        <v>411</v>
      </c>
      <c r="B415" s="25">
        <f ca="1">100*(sim!$C$3+NORMSINV(RAND())*sim!$C$4)</f>
        <v>-0.24527522687553155</v>
      </c>
    </row>
    <row r="416" spans="1:2">
      <c r="A416" s="27">
        <v>412</v>
      </c>
      <c r="B416" s="25">
        <f ca="1">100*(sim!$C$3+NORMSINV(RAND())*sim!$C$4)</f>
        <v>1.9331559734503667</v>
      </c>
    </row>
    <row r="417" spans="1:2">
      <c r="A417" s="27">
        <v>413</v>
      </c>
      <c r="B417" s="25">
        <f ca="1">100*(sim!$C$3+NORMSINV(RAND())*sim!$C$4)</f>
        <v>1.3469465068016335</v>
      </c>
    </row>
    <row r="418" spans="1:2">
      <c r="A418" s="27">
        <v>414</v>
      </c>
      <c r="B418" s="25">
        <f ca="1">100*(sim!$C$3+NORMSINV(RAND())*sim!$C$4)</f>
        <v>2.369668703893776</v>
      </c>
    </row>
    <row r="419" spans="1:2">
      <c r="A419" s="27">
        <v>415</v>
      </c>
      <c r="B419" s="25">
        <f ca="1">100*(sim!$C$3+NORMSINV(RAND())*sim!$C$4)</f>
        <v>4.0831992140692508</v>
      </c>
    </row>
    <row r="420" spans="1:2">
      <c r="A420" s="27">
        <v>416</v>
      </c>
      <c r="B420" s="25">
        <f ca="1">100*(sim!$C$3+NORMSINV(RAND())*sim!$C$4)</f>
        <v>1.7297821440581489</v>
      </c>
    </row>
    <row r="421" spans="1:2">
      <c r="A421" s="27">
        <v>417</v>
      </c>
      <c r="B421" s="25">
        <f ca="1">100*(sim!$C$3+NORMSINV(RAND())*sim!$C$4)</f>
        <v>2.8141518025688046</v>
      </c>
    </row>
    <row r="422" spans="1:2">
      <c r="A422" s="27">
        <v>418</v>
      </c>
      <c r="B422" s="25">
        <f ca="1">100*(sim!$C$3+NORMSINV(RAND())*sim!$C$4)</f>
        <v>3.7628536595824844</v>
      </c>
    </row>
    <row r="423" spans="1:2">
      <c r="A423" s="27">
        <v>419</v>
      </c>
      <c r="B423" s="25">
        <f ca="1">100*(sim!$C$3+NORMSINV(RAND())*sim!$C$4)</f>
        <v>1.6602839354567915</v>
      </c>
    </row>
    <row r="424" spans="1:2">
      <c r="A424" s="27">
        <v>420</v>
      </c>
      <c r="B424" s="25">
        <f ca="1">100*(sim!$C$3+NORMSINV(RAND())*sim!$C$4)</f>
        <v>2.8123871782369743</v>
      </c>
    </row>
    <row r="425" spans="1:2">
      <c r="A425" s="27">
        <v>421</v>
      </c>
      <c r="B425" s="25">
        <f ca="1">100*(sim!$C$3+NORMSINV(RAND())*sim!$C$4)</f>
        <v>2.1975320117670116</v>
      </c>
    </row>
    <row r="426" spans="1:2">
      <c r="A426" s="27">
        <v>422</v>
      </c>
      <c r="B426" s="25">
        <f ca="1">100*(sim!$C$3+NORMSINV(RAND())*sim!$C$4)</f>
        <v>2.5773345625517075</v>
      </c>
    </row>
    <row r="427" spans="1:2">
      <c r="A427" s="27">
        <v>423</v>
      </c>
      <c r="B427" s="25">
        <f ca="1">100*(sim!$C$3+NORMSINV(RAND())*sim!$C$4)</f>
        <v>2.9670125026261105</v>
      </c>
    </row>
    <row r="428" spans="1:2">
      <c r="A428" s="27">
        <v>424</v>
      </c>
      <c r="B428" s="25">
        <f ca="1">100*(sim!$C$3+NORMSINV(RAND())*sim!$C$4)</f>
        <v>3.3583022996684622</v>
      </c>
    </row>
    <row r="429" spans="1:2">
      <c r="A429" s="27">
        <v>425</v>
      </c>
      <c r="B429" s="25">
        <f ca="1">100*(sim!$C$3+NORMSINV(RAND())*sim!$C$4)</f>
        <v>3.644726894782834</v>
      </c>
    </row>
    <row r="430" spans="1:2">
      <c r="A430" s="27">
        <v>426</v>
      </c>
      <c r="B430" s="25">
        <f ca="1">100*(sim!$C$3+NORMSINV(RAND())*sim!$C$4)</f>
        <v>3.2131302515596802</v>
      </c>
    </row>
    <row r="431" spans="1:2">
      <c r="A431" s="27">
        <v>427</v>
      </c>
      <c r="B431" s="25">
        <f ca="1">100*(sim!$C$3+NORMSINV(RAND())*sim!$C$4)</f>
        <v>2.1016611609490443</v>
      </c>
    </row>
    <row r="432" spans="1:2">
      <c r="A432" s="27">
        <v>428</v>
      </c>
      <c r="B432" s="25">
        <f ca="1">100*(sim!$C$3+NORMSINV(RAND())*sim!$C$4)</f>
        <v>1.1082629449377137</v>
      </c>
    </row>
    <row r="433" spans="1:2">
      <c r="A433" s="27">
        <v>429</v>
      </c>
      <c r="B433" s="25">
        <f ca="1">100*(sim!$C$3+NORMSINV(RAND())*sim!$C$4)</f>
        <v>2.6760482083147066</v>
      </c>
    </row>
    <row r="434" spans="1:2">
      <c r="A434" s="27">
        <v>430</v>
      </c>
      <c r="B434" s="25">
        <f ca="1">100*(sim!$C$3+NORMSINV(RAND())*sim!$C$4)</f>
        <v>2.3930323392965138</v>
      </c>
    </row>
    <row r="435" spans="1:2">
      <c r="A435" s="27">
        <v>431</v>
      </c>
      <c r="B435" s="25">
        <f ca="1">100*(sim!$C$3+NORMSINV(RAND())*sim!$C$4)</f>
        <v>2.3333122861001572</v>
      </c>
    </row>
    <row r="436" spans="1:2">
      <c r="A436" s="27">
        <v>432</v>
      </c>
      <c r="B436" s="25">
        <f ca="1">100*(sim!$C$3+NORMSINV(RAND())*sim!$C$4)</f>
        <v>2.1586658003924857</v>
      </c>
    </row>
    <row r="437" spans="1:2">
      <c r="A437" s="27">
        <v>433</v>
      </c>
      <c r="B437" s="25">
        <f ca="1">100*(sim!$C$3+NORMSINV(RAND())*sim!$C$4)</f>
        <v>2.0410540393830563</v>
      </c>
    </row>
    <row r="438" spans="1:2">
      <c r="A438" s="27">
        <v>434</v>
      </c>
      <c r="B438" s="25">
        <f ca="1">100*(sim!$C$3+NORMSINV(RAND())*sim!$C$4)</f>
        <v>2.9534771518741376</v>
      </c>
    </row>
    <row r="439" spans="1:2">
      <c r="A439" s="27">
        <v>435</v>
      </c>
      <c r="B439" s="25">
        <f ca="1">100*(sim!$C$3+NORMSINV(RAND())*sim!$C$4)</f>
        <v>3.0328055248634649</v>
      </c>
    </row>
    <row r="440" spans="1:2">
      <c r="A440" s="27">
        <v>436</v>
      </c>
      <c r="B440" s="25">
        <f ca="1">100*(sim!$C$3+NORMSINV(RAND())*sim!$C$4)</f>
        <v>3.2972888956288262</v>
      </c>
    </row>
    <row r="441" spans="1:2">
      <c r="A441" s="27">
        <v>437</v>
      </c>
      <c r="B441" s="25">
        <f ca="1">100*(sim!$C$3+NORMSINV(RAND())*sim!$C$4)</f>
        <v>0.26292137358767642</v>
      </c>
    </row>
    <row r="442" spans="1:2">
      <c r="A442" s="27">
        <v>438</v>
      </c>
      <c r="B442" s="25">
        <f ca="1">100*(sim!$C$3+NORMSINV(RAND())*sim!$C$4)</f>
        <v>2.2873353736305306</v>
      </c>
    </row>
    <row r="443" spans="1:2">
      <c r="A443" s="27">
        <v>439</v>
      </c>
      <c r="B443" s="25">
        <f ca="1">100*(sim!$C$3+NORMSINV(RAND())*sim!$C$4)</f>
        <v>1.5194528543166299</v>
      </c>
    </row>
    <row r="444" spans="1:2">
      <c r="A444" s="27">
        <v>440</v>
      </c>
      <c r="B444" s="25">
        <f ca="1">100*(sim!$C$3+NORMSINV(RAND())*sim!$C$4)</f>
        <v>1.6366102138175389</v>
      </c>
    </row>
    <row r="445" spans="1:2">
      <c r="A445" s="27">
        <v>441</v>
      </c>
      <c r="B445" s="25">
        <f ca="1">100*(sim!$C$3+NORMSINV(RAND())*sim!$C$4)</f>
        <v>1.5975678920943999</v>
      </c>
    </row>
    <row r="446" spans="1:2">
      <c r="A446" s="27">
        <v>442</v>
      </c>
      <c r="B446" s="25">
        <f ca="1">100*(sim!$C$3+NORMSINV(RAND())*sim!$C$4)</f>
        <v>1.5904437405755349</v>
      </c>
    </row>
    <row r="447" spans="1:2">
      <c r="A447" s="27">
        <v>443</v>
      </c>
      <c r="B447" s="25">
        <f ca="1">100*(sim!$C$3+NORMSINV(RAND())*sim!$C$4)</f>
        <v>2.9877255460913981</v>
      </c>
    </row>
    <row r="448" spans="1:2">
      <c r="A448" s="27">
        <v>444</v>
      </c>
      <c r="B448" s="25">
        <f ca="1">100*(sim!$C$3+NORMSINV(RAND())*sim!$C$4)</f>
        <v>3.2017414853765565</v>
      </c>
    </row>
    <row r="449" spans="1:2">
      <c r="A449" s="27">
        <v>445</v>
      </c>
      <c r="B449" s="25">
        <f ca="1">100*(sim!$C$3+NORMSINV(RAND())*sim!$C$4)</f>
        <v>1.6326294144621671</v>
      </c>
    </row>
    <row r="450" spans="1:2">
      <c r="A450" s="27">
        <v>446</v>
      </c>
      <c r="B450" s="25">
        <f ca="1">100*(sim!$C$3+NORMSINV(RAND())*sim!$C$4)</f>
        <v>2.4098689525795467</v>
      </c>
    </row>
    <row r="451" spans="1:2">
      <c r="A451" s="27">
        <v>447</v>
      </c>
      <c r="B451" s="25">
        <f ca="1">100*(sim!$C$3+NORMSINV(RAND())*sim!$C$4)</f>
        <v>2.1352526480314404</v>
      </c>
    </row>
    <row r="452" spans="1:2">
      <c r="A452" s="27">
        <v>448</v>
      </c>
      <c r="B452" s="25">
        <f ca="1">100*(sim!$C$3+NORMSINV(RAND())*sim!$C$4)</f>
        <v>1.5737674594835529</v>
      </c>
    </row>
    <row r="453" spans="1:2">
      <c r="A453" s="27">
        <v>449</v>
      </c>
      <c r="B453" s="25">
        <f ca="1">100*(sim!$C$3+NORMSINV(RAND())*sim!$C$4)</f>
        <v>2.6314031965454405</v>
      </c>
    </row>
    <row r="454" spans="1:2">
      <c r="A454" s="27">
        <v>450</v>
      </c>
      <c r="B454" s="25">
        <f ca="1">100*(sim!$C$3+NORMSINV(RAND())*sim!$C$4)</f>
        <v>1.4943245269117318</v>
      </c>
    </row>
    <row r="455" spans="1:2">
      <c r="A455" s="27">
        <v>451</v>
      </c>
      <c r="B455" s="25">
        <f ca="1">100*(sim!$C$3+NORMSINV(RAND())*sim!$C$4)</f>
        <v>0.32702273510364022</v>
      </c>
    </row>
    <row r="456" spans="1:2">
      <c r="A456" s="27">
        <v>452</v>
      </c>
      <c r="B456" s="25">
        <f ca="1">100*(sim!$C$3+NORMSINV(RAND())*sim!$C$4)</f>
        <v>-2.4459052092157957E-2</v>
      </c>
    </row>
    <row r="457" spans="1:2">
      <c r="A457" s="27">
        <v>453</v>
      </c>
      <c r="B457" s="25">
        <f ca="1">100*(sim!$C$3+NORMSINV(RAND())*sim!$C$4)</f>
        <v>1.1045526302576172</v>
      </c>
    </row>
    <row r="458" spans="1:2">
      <c r="A458" s="27">
        <v>454</v>
      </c>
      <c r="B458" s="25">
        <f ca="1">100*(sim!$C$3+NORMSINV(RAND())*sim!$C$4)</f>
        <v>1.3182617668184595</v>
      </c>
    </row>
    <row r="459" spans="1:2">
      <c r="A459" s="27">
        <v>455</v>
      </c>
      <c r="B459" s="25">
        <f ca="1">100*(sim!$C$3+NORMSINV(RAND())*sim!$C$4)</f>
        <v>2.7069096892143607</v>
      </c>
    </row>
    <row r="460" spans="1:2">
      <c r="A460" s="27">
        <v>456</v>
      </c>
      <c r="B460" s="25">
        <f ca="1">100*(sim!$C$3+NORMSINV(RAND())*sim!$C$4)</f>
        <v>1.793494025083733</v>
      </c>
    </row>
    <row r="461" spans="1:2">
      <c r="A461" s="27">
        <v>457</v>
      </c>
      <c r="B461" s="25">
        <f ca="1">100*(sim!$C$3+NORMSINV(RAND())*sim!$C$4)</f>
        <v>3.2938033738074521</v>
      </c>
    </row>
    <row r="462" spans="1:2">
      <c r="A462" s="27">
        <v>458</v>
      </c>
      <c r="B462" s="25">
        <f ca="1">100*(sim!$C$3+NORMSINV(RAND())*sim!$C$4)</f>
        <v>2.3729982246741144</v>
      </c>
    </row>
    <row r="463" spans="1:2">
      <c r="A463" s="27">
        <v>459</v>
      </c>
      <c r="B463" s="25">
        <f ca="1">100*(sim!$C$3+NORMSINV(RAND())*sim!$C$4)</f>
        <v>1.8109950347666635</v>
      </c>
    </row>
    <row r="464" spans="1:2">
      <c r="A464" s="27">
        <v>460</v>
      </c>
      <c r="B464" s="25">
        <f ca="1">100*(sim!$C$3+NORMSINV(RAND())*sim!$C$4)</f>
        <v>1.9914973127009301</v>
      </c>
    </row>
    <row r="465" spans="1:2">
      <c r="A465" s="27">
        <v>461</v>
      </c>
      <c r="B465" s="25">
        <f ca="1">100*(sim!$C$3+NORMSINV(RAND())*sim!$C$4)</f>
        <v>0.66357778211616325</v>
      </c>
    </row>
    <row r="466" spans="1:2">
      <c r="A466" s="27">
        <v>462</v>
      </c>
      <c r="B466" s="25">
        <f ca="1">100*(sim!$C$3+NORMSINV(RAND())*sim!$C$4)</f>
        <v>2.0616435574577312</v>
      </c>
    </row>
    <row r="467" spans="1:2">
      <c r="A467" s="27">
        <v>463</v>
      </c>
      <c r="B467" s="25">
        <f ca="1">100*(sim!$C$3+NORMSINV(RAND())*sim!$C$4)</f>
        <v>2.3414433908425956</v>
      </c>
    </row>
    <row r="468" spans="1:2">
      <c r="A468" s="27">
        <v>464</v>
      </c>
      <c r="B468" s="25">
        <f ca="1">100*(sim!$C$3+NORMSINV(RAND())*sim!$C$4)</f>
        <v>0.83499358286934044</v>
      </c>
    </row>
    <row r="469" spans="1:2">
      <c r="A469" s="27">
        <v>465</v>
      </c>
      <c r="B469" s="25">
        <f ca="1">100*(sim!$C$3+NORMSINV(RAND())*sim!$C$4)</f>
        <v>3.1746466359436885</v>
      </c>
    </row>
    <row r="470" spans="1:2">
      <c r="A470" s="27">
        <v>466</v>
      </c>
      <c r="B470" s="25">
        <f ca="1">100*(sim!$C$3+NORMSINV(RAND())*sim!$C$4)</f>
        <v>1.825981615742587</v>
      </c>
    </row>
    <row r="471" spans="1:2">
      <c r="A471" s="27">
        <v>467</v>
      </c>
      <c r="B471" s="25">
        <f ca="1">100*(sim!$C$3+NORMSINV(RAND())*sim!$C$4)</f>
        <v>1.6343746539065875</v>
      </c>
    </row>
    <row r="472" spans="1:2">
      <c r="A472" s="27">
        <v>468</v>
      </c>
      <c r="B472" s="25">
        <f ca="1">100*(sim!$C$3+NORMSINV(RAND())*sim!$C$4)</f>
        <v>3.3380092551831582</v>
      </c>
    </row>
    <row r="473" spans="1:2">
      <c r="A473" s="27">
        <v>469</v>
      </c>
      <c r="B473" s="25">
        <f ca="1">100*(sim!$C$3+NORMSINV(RAND())*sim!$C$4)</f>
        <v>-9.5176193650413354E-2</v>
      </c>
    </row>
    <row r="474" spans="1:2">
      <c r="A474" s="27">
        <v>470</v>
      </c>
      <c r="B474" s="25">
        <f ca="1">100*(sim!$C$3+NORMSINV(RAND())*sim!$C$4)</f>
        <v>1.5886271694342462</v>
      </c>
    </row>
    <row r="475" spans="1:2">
      <c r="A475" s="27">
        <v>471</v>
      </c>
      <c r="B475" s="25">
        <f ca="1">100*(sim!$C$3+NORMSINV(RAND())*sim!$C$4)</f>
        <v>3.288587763846853</v>
      </c>
    </row>
    <row r="476" spans="1:2">
      <c r="A476" s="27">
        <v>472</v>
      </c>
      <c r="B476" s="25">
        <f ca="1">100*(sim!$C$3+NORMSINV(RAND())*sim!$C$4)</f>
        <v>3.6608873935627226</v>
      </c>
    </row>
    <row r="477" spans="1:2">
      <c r="A477" s="27">
        <v>473</v>
      </c>
      <c r="B477" s="25">
        <f ca="1">100*(sim!$C$3+NORMSINV(RAND())*sim!$C$4)</f>
        <v>2.4319795538375275</v>
      </c>
    </row>
    <row r="478" spans="1:2">
      <c r="A478" s="27">
        <v>474</v>
      </c>
      <c r="B478" s="25">
        <f ca="1">100*(sim!$C$3+NORMSINV(RAND())*sim!$C$4)</f>
        <v>2.6755254195291829</v>
      </c>
    </row>
    <row r="479" spans="1:2">
      <c r="A479" s="27">
        <v>475</v>
      </c>
      <c r="B479" s="25">
        <f ca="1">100*(sim!$C$3+NORMSINV(RAND())*sim!$C$4)</f>
        <v>3.2038008208936408</v>
      </c>
    </row>
    <row r="480" spans="1:2">
      <c r="A480" s="27">
        <v>476</v>
      </c>
      <c r="B480" s="25">
        <f ca="1">100*(sim!$C$3+NORMSINV(RAND())*sim!$C$4)</f>
        <v>4.3016765213446728</v>
      </c>
    </row>
    <row r="481" spans="1:2">
      <c r="A481" s="27">
        <v>477</v>
      </c>
      <c r="B481" s="25">
        <f ca="1">100*(sim!$C$3+NORMSINV(RAND())*sim!$C$4)</f>
        <v>1.3246521804546503</v>
      </c>
    </row>
    <row r="482" spans="1:2">
      <c r="A482" s="27">
        <v>478</v>
      </c>
      <c r="B482" s="25">
        <f ca="1">100*(sim!$C$3+NORMSINV(RAND())*sim!$C$4)</f>
        <v>0.79983064723162622</v>
      </c>
    </row>
    <row r="483" spans="1:2">
      <c r="A483" s="27">
        <v>479</v>
      </c>
      <c r="B483" s="25">
        <f ca="1">100*(sim!$C$3+NORMSINV(RAND())*sim!$C$4)</f>
        <v>2.13981171879374</v>
      </c>
    </row>
    <row r="484" spans="1:2">
      <c r="A484" s="27">
        <v>480</v>
      </c>
      <c r="B484" s="25">
        <f ca="1">100*(sim!$C$3+NORMSINV(RAND())*sim!$C$4)</f>
        <v>0.76585847350881808</v>
      </c>
    </row>
    <row r="485" spans="1:2">
      <c r="A485" s="27">
        <v>481</v>
      </c>
      <c r="B485" s="25">
        <f ca="1">100*(sim!$C$3+NORMSINV(RAND())*sim!$C$4)</f>
        <v>2.1461272416463846</v>
      </c>
    </row>
    <row r="486" spans="1:2">
      <c r="A486" s="27">
        <v>482</v>
      </c>
      <c r="B486" s="25">
        <f ca="1">100*(sim!$C$3+NORMSINV(RAND())*sim!$C$4)</f>
        <v>3.0757661594349193</v>
      </c>
    </row>
    <row r="487" spans="1:2">
      <c r="A487" s="27">
        <v>483</v>
      </c>
      <c r="B487" s="25">
        <f ca="1">100*(sim!$C$3+NORMSINV(RAND())*sim!$C$4)</f>
        <v>2.2422474900782148</v>
      </c>
    </row>
    <row r="488" spans="1:2">
      <c r="A488" s="27">
        <v>484</v>
      </c>
      <c r="B488" s="25">
        <f ca="1">100*(sim!$C$3+NORMSINV(RAND())*sim!$C$4)</f>
        <v>4.0163930382594959</v>
      </c>
    </row>
    <row r="489" spans="1:2">
      <c r="A489" s="27">
        <v>485</v>
      </c>
      <c r="B489" s="25">
        <f ca="1">100*(sim!$C$3+NORMSINV(RAND())*sim!$C$4)</f>
        <v>2.246775087150334</v>
      </c>
    </row>
    <row r="490" spans="1:2">
      <c r="A490" s="27">
        <v>486</v>
      </c>
      <c r="B490" s="25">
        <f ca="1">100*(sim!$C$3+NORMSINV(RAND())*sim!$C$4)</f>
        <v>1.6181696090816422</v>
      </c>
    </row>
    <row r="491" spans="1:2">
      <c r="A491" s="27">
        <v>487</v>
      </c>
      <c r="B491" s="25">
        <f ca="1">100*(sim!$C$3+NORMSINV(RAND())*sim!$C$4)</f>
        <v>0.81752289399015776</v>
      </c>
    </row>
    <row r="492" spans="1:2">
      <c r="A492" s="27">
        <v>488</v>
      </c>
      <c r="B492" s="25">
        <f ca="1">100*(sim!$C$3+NORMSINV(RAND())*sim!$C$4)</f>
        <v>1.3801020718702919</v>
      </c>
    </row>
    <row r="493" spans="1:2">
      <c r="A493" s="27">
        <v>489</v>
      </c>
      <c r="B493" s="25">
        <f ca="1">100*(sim!$C$3+NORMSINV(RAND())*sim!$C$4)</f>
        <v>0.94623429766875211</v>
      </c>
    </row>
    <row r="494" spans="1:2">
      <c r="A494" s="27">
        <v>490</v>
      </c>
      <c r="B494" s="25">
        <f ca="1">100*(sim!$C$3+NORMSINV(RAND())*sim!$C$4)</f>
        <v>2.4741289481153581</v>
      </c>
    </row>
    <row r="495" spans="1:2">
      <c r="A495" s="27">
        <v>491</v>
      </c>
      <c r="B495" s="25">
        <f ca="1">100*(sim!$C$3+NORMSINV(RAND())*sim!$C$4)</f>
        <v>2.8887168817564661</v>
      </c>
    </row>
    <row r="496" spans="1:2">
      <c r="A496" s="27">
        <v>492</v>
      </c>
      <c r="B496" s="25">
        <f ca="1">100*(sim!$C$3+NORMSINV(RAND())*sim!$C$4)</f>
        <v>0.19824317003096259</v>
      </c>
    </row>
    <row r="497" spans="1:2">
      <c r="A497" s="27">
        <v>493</v>
      </c>
      <c r="B497" s="25">
        <f ca="1">100*(sim!$C$3+NORMSINV(RAND())*sim!$C$4)</f>
        <v>0.12586094289004021</v>
      </c>
    </row>
    <row r="498" spans="1:2">
      <c r="A498" s="27">
        <v>494</v>
      </c>
      <c r="B498" s="25">
        <f ca="1">100*(sim!$C$3+NORMSINV(RAND())*sim!$C$4)</f>
        <v>2.277474377084554</v>
      </c>
    </row>
    <row r="499" spans="1:2">
      <c r="A499" s="27">
        <v>495</v>
      </c>
      <c r="B499" s="25">
        <f ca="1">100*(sim!$C$3+NORMSINV(RAND())*sim!$C$4)</f>
        <v>1.3769809114320659</v>
      </c>
    </row>
    <row r="500" spans="1:2">
      <c r="A500" s="27">
        <v>496</v>
      </c>
      <c r="B500" s="25">
        <f ca="1">100*(sim!$C$3+NORMSINV(RAND())*sim!$C$4)</f>
        <v>1.3689611044974941</v>
      </c>
    </row>
    <row r="501" spans="1:2">
      <c r="A501" s="27">
        <v>497</v>
      </c>
      <c r="B501" s="25">
        <f ca="1">100*(sim!$C$3+NORMSINV(RAND())*sim!$C$4)</f>
        <v>2.2109142141137683</v>
      </c>
    </row>
    <row r="502" spans="1:2">
      <c r="A502" s="27">
        <v>498</v>
      </c>
      <c r="B502" s="25">
        <f ca="1">100*(sim!$C$3+NORMSINV(RAND())*sim!$C$4)</f>
        <v>2.9948590831250161</v>
      </c>
    </row>
    <row r="503" spans="1:2">
      <c r="A503" s="27">
        <v>499</v>
      </c>
      <c r="B503" s="25">
        <f ca="1">100*(sim!$C$3+NORMSINV(RAND())*sim!$C$4)</f>
        <v>1.3791201827931949</v>
      </c>
    </row>
    <row r="504" spans="1:2">
      <c r="A504" s="27">
        <v>500</v>
      </c>
      <c r="B504" s="25">
        <f ca="1">100*(sim!$C$3+NORMSINV(RAND())*sim!$C$4)</f>
        <v>3.5051567823301601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sim</vt:lpstr>
      <vt:lpstr>histogram100</vt:lpstr>
      <vt:lpstr>histogram500</vt:lpstr>
      <vt:lpstr>adjchol</vt:lpstr>
      <vt:lpstr>adjcorrs</vt:lpstr>
      <vt:lpstr>assetnames</vt:lpstr>
      <vt:lpstr>chol</vt:lpstr>
      <vt:lpstr>corrs</vt:lpstr>
      <vt:lpstr>rands</vt:lpstr>
      <vt:lpstr>randscorrel</vt:lpstr>
      <vt:lpstr>simreturns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 Grava</dc:creator>
  <cp:lastModifiedBy>Alan Cubbon</cp:lastModifiedBy>
  <dcterms:created xsi:type="dcterms:W3CDTF">2009-08-03T16:47:03Z</dcterms:created>
  <dcterms:modified xsi:type="dcterms:W3CDTF">2026-10-15T12:01:09Z</dcterms:modified>
</cp:coreProperties>
</file>