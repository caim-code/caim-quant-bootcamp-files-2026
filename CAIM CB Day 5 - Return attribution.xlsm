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F:\Risk Management\Training Material\2026.10 Seminar\2026.10.30 Friday - Return attribution\"/>
    </mc:Choice>
  </mc:AlternateContent>
  <xr:revisionPtr revIDLastSave="0" documentId="13_ncr:1_{2A8BCF08-48B2-4763-BBD9-1C1D469BCCEC}" xr6:coauthVersionLast="47" xr6:coauthVersionMax="47" xr10:uidLastSave="{00000000-0000-0000-0000-000000000000}"/>
  <bookViews>
    <workbookView xWindow="38290" yWindow="-110" windowWidth="29020" windowHeight="15700" tabRatio="708" xr2:uid="{49E8BFC1-333E-4F93-8BC4-42066A10F358}"/>
  </bookViews>
  <sheets>
    <sheet name="Attribution" sheetId="2" r:id="rId1"/>
    <sheet name="Off benchmark bets" sheetId="1" r:id="rId2"/>
    <sheet name="Benchmark" sheetId="5" r:id="rId3"/>
    <sheet name="Portfolio" sheetId="4" r:id="rId4"/>
    <sheet name="Attributing your portfolio" sheetId="3" r:id="rId5"/>
    <sheet name="Further example" sheetId="9" r:id="rId6"/>
    <sheet name="Returns" sheetId="8" state="veryHidden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2" i="3" l="1"/>
  <c r="I22" i="3"/>
  <c r="A1" i="5"/>
  <c r="O20" i="9"/>
  <c r="N20" i="9"/>
  <c r="F10" i="3"/>
  <c r="F11" i="3"/>
  <c r="F12" i="3"/>
  <c r="F9" i="3"/>
  <c r="G9" i="3" s="1"/>
  <c r="P21" i="4"/>
  <c r="W7" i="4"/>
  <c r="W6" i="4"/>
  <c r="W5" i="4"/>
  <c r="W4" i="4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24" i="9"/>
  <c r="K25" i="9"/>
  <c r="K26" i="9"/>
  <c r="K27" i="9"/>
  <c r="K28" i="9"/>
  <c r="K29" i="9"/>
  <c r="K30" i="9"/>
  <c r="K31" i="9"/>
  <c r="K32" i="9"/>
  <c r="K33" i="9"/>
  <c r="K21" i="9"/>
  <c r="K22" i="9"/>
  <c r="K23" i="9"/>
  <c r="K20" i="9"/>
  <c r="H55" i="9"/>
  <c r="H54" i="9"/>
  <c r="H53" i="9"/>
  <c r="H52" i="9"/>
  <c r="H51" i="9"/>
  <c r="H50" i="9"/>
  <c r="H49" i="9"/>
  <c r="H48" i="9"/>
  <c r="H47" i="9"/>
  <c r="H46" i="9"/>
  <c r="H45" i="9"/>
  <c r="H44" i="9"/>
  <c r="H43" i="9"/>
  <c r="H42" i="9"/>
  <c r="H41" i="9"/>
  <c r="H40" i="9"/>
  <c r="H39" i="9"/>
  <c r="H38" i="9"/>
  <c r="H37" i="9"/>
  <c r="H36" i="9"/>
  <c r="H35" i="9"/>
  <c r="H34" i="9"/>
  <c r="H33" i="9"/>
  <c r="H32" i="9"/>
  <c r="H31" i="9"/>
  <c r="H30" i="9"/>
  <c r="H29" i="9"/>
  <c r="H28" i="9"/>
  <c r="H27" i="9"/>
  <c r="H26" i="9"/>
  <c r="H25" i="9"/>
  <c r="H24" i="9"/>
  <c r="H23" i="9"/>
  <c r="H22" i="9"/>
  <c r="H21" i="9"/>
  <c r="H20" i="9"/>
  <c r="L21" i="9"/>
  <c r="M20" i="9" l="1"/>
  <c r="L20" i="9"/>
  <c r="Q20" i="9" s="1"/>
  <c r="T20" i="9" s="1"/>
  <c r="O55" i="9"/>
  <c r="M55" i="9"/>
  <c r="N55" i="9"/>
  <c r="R55" i="9" s="1"/>
  <c r="L55" i="9"/>
  <c r="Q55" i="9" s="1"/>
  <c r="O54" i="9"/>
  <c r="M54" i="9"/>
  <c r="L54" i="9"/>
  <c r="N54" i="9"/>
  <c r="R54" i="9" s="1"/>
  <c r="Q54" i="9"/>
  <c r="O53" i="9"/>
  <c r="M53" i="9"/>
  <c r="N53" i="9"/>
  <c r="R53" i="9" s="1"/>
  <c r="L53" i="9"/>
  <c r="Q53" i="9" s="1"/>
  <c r="O52" i="9"/>
  <c r="M52" i="9"/>
  <c r="N52" i="9"/>
  <c r="R52" i="9" s="1"/>
  <c r="L52" i="9"/>
  <c r="Q52" i="9" s="1"/>
  <c r="M51" i="9"/>
  <c r="O51" i="9"/>
  <c r="L51" i="9"/>
  <c r="Q51" i="9" s="1"/>
  <c r="N51" i="9"/>
  <c r="R51" i="9" s="1"/>
  <c r="O50" i="9"/>
  <c r="M50" i="9"/>
  <c r="N50" i="9"/>
  <c r="L50" i="9"/>
  <c r="Q50" i="9" s="1"/>
  <c r="R50" i="9"/>
  <c r="M49" i="9"/>
  <c r="O49" i="9"/>
  <c r="N49" i="9"/>
  <c r="R49" i="9" s="1"/>
  <c r="L49" i="9"/>
  <c r="M48" i="9"/>
  <c r="O48" i="9"/>
  <c r="L48" i="9"/>
  <c r="N48" i="9"/>
  <c r="Q48" i="9"/>
  <c r="O47" i="9"/>
  <c r="M47" i="9"/>
  <c r="L47" i="9"/>
  <c r="N47" i="9"/>
  <c r="R47" i="9"/>
  <c r="Q47" i="9"/>
  <c r="O46" i="9"/>
  <c r="M46" i="9"/>
  <c r="N46" i="9"/>
  <c r="L46" i="9"/>
  <c r="Q46" i="9" s="1"/>
  <c r="O45" i="9"/>
  <c r="M45" i="9"/>
  <c r="L45" i="9"/>
  <c r="N45" i="9"/>
  <c r="R45" i="9" s="1"/>
  <c r="M44" i="9"/>
  <c r="O44" i="9"/>
  <c r="L44" i="9"/>
  <c r="N44" i="9"/>
  <c r="O43" i="9"/>
  <c r="M43" i="9"/>
  <c r="L43" i="9"/>
  <c r="N43" i="9"/>
  <c r="R43" i="9" s="1"/>
  <c r="Q43" i="9"/>
  <c r="M42" i="9"/>
  <c r="O42" i="9"/>
  <c r="N42" i="9"/>
  <c r="L42" i="9"/>
  <c r="O41" i="9"/>
  <c r="M41" i="9"/>
  <c r="N41" i="9"/>
  <c r="L41" i="9"/>
  <c r="Q41" i="9" s="1"/>
  <c r="R41" i="9"/>
  <c r="O40" i="9"/>
  <c r="M40" i="9"/>
  <c r="L40" i="9"/>
  <c r="Q40" i="9" s="1"/>
  <c r="N40" i="9"/>
  <c r="R40" i="9" s="1"/>
  <c r="O39" i="9"/>
  <c r="M39" i="9"/>
  <c r="N39" i="9"/>
  <c r="L39" i="9"/>
  <c r="Q39" i="9" s="1"/>
  <c r="M38" i="9"/>
  <c r="O38" i="9"/>
  <c r="L38" i="9"/>
  <c r="Q38" i="9" s="1"/>
  <c r="N38" i="9"/>
  <c r="R38" i="9" s="1"/>
  <c r="O37" i="9"/>
  <c r="M37" i="9"/>
  <c r="L37" i="9"/>
  <c r="Q37" i="9" s="1"/>
  <c r="N37" i="9"/>
  <c r="R37" i="9" s="1"/>
  <c r="O36" i="9"/>
  <c r="M36" i="9"/>
  <c r="N36" i="9"/>
  <c r="L36" i="9"/>
  <c r="R36" i="9"/>
  <c r="Q36" i="9"/>
  <c r="O35" i="9"/>
  <c r="M35" i="9"/>
  <c r="N35" i="9"/>
  <c r="R35" i="9" s="1"/>
  <c r="L35" i="9"/>
  <c r="O34" i="9"/>
  <c r="M34" i="9"/>
  <c r="N34" i="9"/>
  <c r="R34" i="9" s="1"/>
  <c r="L34" i="9"/>
  <c r="M33" i="9"/>
  <c r="O33" i="9"/>
  <c r="N33" i="9"/>
  <c r="R33" i="9" s="1"/>
  <c r="L33" i="9"/>
  <c r="Q33" i="9" s="1"/>
  <c r="O32" i="9"/>
  <c r="M32" i="9"/>
  <c r="L32" i="9"/>
  <c r="Q32" i="9" s="1"/>
  <c r="N32" i="9"/>
  <c r="O31" i="9"/>
  <c r="M31" i="9"/>
  <c r="N31" i="9"/>
  <c r="R31" i="9" s="1"/>
  <c r="L31" i="9"/>
  <c r="Q31" i="9" s="1"/>
  <c r="M30" i="9"/>
  <c r="O30" i="9"/>
  <c r="N30" i="9"/>
  <c r="L30" i="9"/>
  <c r="O29" i="9"/>
  <c r="M29" i="9"/>
  <c r="N29" i="9"/>
  <c r="R29" i="9" s="1"/>
  <c r="L29" i="9"/>
  <c r="M28" i="9"/>
  <c r="O28" i="9"/>
  <c r="N28" i="9"/>
  <c r="R28" i="9" s="1"/>
  <c r="L28" i="9"/>
  <c r="Q28" i="9" s="1"/>
  <c r="M27" i="9"/>
  <c r="O27" i="9"/>
  <c r="L27" i="9"/>
  <c r="N27" i="9"/>
  <c r="Q27" i="9"/>
  <c r="R27" i="9"/>
  <c r="O26" i="9"/>
  <c r="M26" i="9"/>
  <c r="L26" i="9"/>
  <c r="Q26" i="9" s="1"/>
  <c r="N26" i="9"/>
  <c r="R26" i="9"/>
  <c r="O25" i="9"/>
  <c r="M25" i="9"/>
  <c r="L25" i="9"/>
  <c r="Q25" i="9" s="1"/>
  <c r="N25" i="9"/>
  <c r="R25" i="9" s="1"/>
  <c r="O24" i="9"/>
  <c r="M24" i="9"/>
  <c r="L24" i="9"/>
  <c r="N24" i="9"/>
  <c r="R24" i="9" s="1"/>
  <c r="M23" i="9"/>
  <c r="O23" i="9"/>
  <c r="N23" i="9"/>
  <c r="L23" i="9"/>
  <c r="Q23" i="9" s="1"/>
  <c r="R23" i="9"/>
  <c r="O22" i="9"/>
  <c r="M22" i="9"/>
  <c r="N22" i="9"/>
  <c r="L22" i="9"/>
  <c r="Q22" i="9" s="1"/>
  <c r="R22" i="9"/>
  <c r="M21" i="9"/>
  <c r="O21" i="9"/>
  <c r="N21" i="9"/>
  <c r="Q21" i="9"/>
  <c r="R20" i="9"/>
  <c r="U20" i="9" s="1"/>
  <c r="U15" i="4"/>
  <c r="Q24" i="9" l="1"/>
  <c r="Q49" i="9"/>
  <c r="Q45" i="9"/>
  <c r="R48" i="9"/>
  <c r="R42" i="9"/>
  <c r="R21" i="9"/>
  <c r="U21" i="9" s="1"/>
  <c r="U22" i="9" s="1"/>
  <c r="U23" i="9" s="1"/>
  <c r="U24" i="9" s="1"/>
  <c r="U25" i="9" s="1"/>
  <c r="U26" i="9" s="1"/>
  <c r="U27" i="9" s="1"/>
  <c r="U28" i="9" s="1"/>
  <c r="U29" i="9" s="1"/>
  <c r="Q44" i="9"/>
  <c r="Q30" i="9"/>
  <c r="Q29" i="9"/>
  <c r="Q34" i="9"/>
  <c r="T21" i="9"/>
  <c r="T22" i="9" s="1"/>
  <c r="T23" i="9" s="1"/>
  <c r="T24" i="9" s="1"/>
  <c r="T25" i="9" s="1"/>
  <c r="T26" i="9" s="1"/>
  <c r="T27" i="9" s="1"/>
  <c r="T28" i="9" s="1"/>
  <c r="T29" i="9" s="1"/>
  <c r="T30" i="9" s="1"/>
  <c r="T31" i="9" s="1"/>
  <c r="T32" i="9" s="1"/>
  <c r="T33" i="9" s="1"/>
  <c r="T34" i="9" s="1"/>
  <c r="R30" i="9"/>
  <c r="R44" i="9"/>
  <c r="Q42" i="9"/>
  <c r="R39" i="9"/>
  <c r="R32" i="9"/>
  <c r="R46" i="9"/>
  <c r="Q35" i="9"/>
  <c r="F21" i="3"/>
  <c r="C3" i="4"/>
  <c r="U30" i="9" l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T35" i="9"/>
  <c r="T36" i="9" s="1"/>
  <c r="T37" i="9" s="1"/>
  <c r="T38" i="9" s="1"/>
  <c r="T39" i="9" s="1"/>
  <c r="T40" i="9" s="1"/>
  <c r="T41" i="9" s="1"/>
  <c r="T42" i="9" s="1"/>
  <c r="T43" i="9" s="1"/>
  <c r="T44" i="9" s="1"/>
  <c r="T45" i="9" s="1"/>
  <c r="T46" i="9" s="1"/>
  <c r="T47" i="9" s="1"/>
  <c r="T48" i="9" s="1"/>
  <c r="T49" i="9" s="1"/>
  <c r="T50" i="9" s="1"/>
  <c r="T51" i="9" s="1"/>
  <c r="T52" i="9" s="1"/>
  <c r="T53" i="9" s="1"/>
  <c r="T54" i="9" s="1"/>
  <c r="T55" i="9" s="1"/>
  <c r="G21" i="3"/>
  <c r="F16" i="3" l="1"/>
  <c r="P23" i="4"/>
  <c r="G16" i="3" l="1"/>
  <c r="F3" i="3"/>
  <c r="R17" i="5"/>
  <c r="R9" i="5"/>
  <c r="R12" i="5" l="1"/>
  <c r="R28" i="5"/>
  <c r="V20" i="4"/>
  <c r="F4" i="3"/>
  <c r="R14" i="5"/>
  <c r="H1" i="5"/>
  <c r="R25" i="5"/>
  <c r="V18" i="4"/>
  <c r="R6" i="5"/>
  <c r="R18" i="5"/>
  <c r="L1" i="5"/>
  <c r="R26" i="5"/>
  <c r="I1" i="5"/>
  <c r="R4" i="5"/>
  <c r="F5" i="3"/>
  <c r="F19" i="3"/>
  <c r="R27" i="5"/>
  <c r="F20" i="3"/>
  <c r="R24" i="5"/>
  <c r="P22" i="4"/>
  <c r="V19" i="4"/>
  <c r="R16" i="5"/>
  <c r="R19" i="5"/>
  <c r="R20" i="5"/>
  <c r="R29" i="5"/>
  <c r="R15" i="5"/>
  <c r="R11" i="5"/>
  <c r="R7" i="5"/>
  <c r="P20" i="4"/>
  <c r="V16" i="4"/>
  <c r="R10" i="5"/>
  <c r="F17" i="3"/>
  <c r="R3" i="5"/>
  <c r="Q1" i="5"/>
  <c r="L18" i="4" s="1"/>
  <c r="K1" i="5"/>
  <c r="V17" i="4"/>
  <c r="R22" i="5"/>
  <c r="R23" i="5"/>
  <c r="G11" i="3" s="1"/>
  <c r="F18" i="3"/>
  <c r="R8" i="5"/>
  <c r="R21" i="5"/>
  <c r="R30" i="5"/>
  <c r="R5" i="5"/>
  <c r="R13" i="5"/>
  <c r="G12" i="3" l="1"/>
  <c r="G10" i="3"/>
  <c r="F22" i="3"/>
  <c r="G3" i="3"/>
  <c r="F13" i="3"/>
  <c r="G19" i="3"/>
  <c r="G4" i="3"/>
  <c r="G17" i="3"/>
  <c r="G5" i="3"/>
  <c r="G18" i="3"/>
  <c r="G20" i="3"/>
  <c r="G22" i="3" l="1"/>
  <c r="G13" i="3"/>
  <c r="P9" i="4"/>
  <c r="P8" i="4"/>
  <c r="P7" i="4"/>
  <c r="P6" i="4" l="1"/>
  <c r="B3" i="5" l="1"/>
  <c r="F6" i="3"/>
  <c r="B4" i="5" l="1"/>
  <c r="G6" i="3"/>
  <c r="F48" i="2"/>
  <c r="E48" i="2"/>
  <c r="D48" i="2"/>
  <c r="C48" i="2"/>
  <c r="I37" i="2"/>
  <c r="F37" i="2"/>
  <c r="E37" i="2"/>
  <c r="D37" i="2"/>
  <c r="C37" i="2"/>
  <c r="H37" i="2"/>
  <c r="G37" i="2"/>
  <c r="G26" i="2"/>
  <c r="F26" i="2"/>
  <c r="E26" i="2"/>
  <c r="D26" i="2"/>
  <c r="C26" i="2"/>
  <c r="H26" i="2"/>
  <c r="F16" i="2"/>
  <c r="E16" i="2"/>
  <c r="D16" i="2"/>
  <c r="C16" i="2"/>
  <c r="G16" i="2"/>
  <c r="H16" i="2"/>
  <c r="C8" i="2"/>
  <c r="E8" i="2"/>
  <c r="I9" i="1"/>
  <c r="H9" i="1"/>
  <c r="G9" i="1"/>
  <c r="F9" i="1"/>
  <c r="E9" i="1"/>
  <c r="D9" i="1"/>
  <c r="C9" i="1"/>
  <c r="B5" i="5" l="1"/>
  <c r="I48" i="2"/>
  <c r="H48" i="2"/>
  <c r="B6" i="5" l="1"/>
  <c r="G48" i="2"/>
  <c r="B7" i="5" l="1"/>
  <c r="B8" i="5" s="1"/>
  <c r="B9" i="5" l="1"/>
  <c r="B10" i="5" s="1"/>
  <c r="B11" i="5" l="1"/>
  <c r="B12" i="5" s="1"/>
  <c r="B13" i="5" s="1"/>
  <c r="G5" i="4"/>
  <c r="I5" i="4"/>
  <c r="B14" i="5" l="1"/>
  <c r="B15" i="5" s="1"/>
  <c r="B16" i="5" l="1"/>
  <c r="B17" i="5" l="1"/>
  <c r="B18" i="5" l="1"/>
  <c r="B19" i="5" l="1"/>
  <c r="B20" i="5" l="1"/>
  <c r="B21" i="5" l="1"/>
  <c r="B22" i="5" l="1"/>
  <c r="B23" i="5" l="1"/>
  <c r="B24" i="5" l="1"/>
  <c r="B25" i="5" l="1"/>
  <c r="B26" i="5" s="1"/>
  <c r="B27" i="5" s="1"/>
  <c r="B28" i="5" l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H6" i="4" l="1"/>
  <c r="D6" i="4"/>
  <c r="E6" i="4"/>
  <c r="J6" i="4"/>
  <c r="K6" i="4"/>
  <c r="F6" i="4"/>
  <c r="B6" i="4"/>
  <c r="L6" i="4" s="1"/>
  <c r="F13" i="4"/>
  <c r="G13" i="4" s="1"/>
  <c r="H11" i="4"/>
  <c r="I11" i="4" s="1"/>
  <c r="D9" i="4"/>
  <c r="E11" i="4"/>
  <c r="H7" i="4"/>
  <c r="I7" i="4" s="1"/>
  <c r="E8" i="4"/>
  <c r="D13" i="4"/>
  <c r="E7" i="4"/>
  <c r="D11" i="4"/>
  <c r="K8" i="4"/>
  <c r="D15" i="4"/>
  <c r="F15" i="4"/>
  <c r="G15" i="4" s="1"/>
  <c r="K9" i="4"/>
  <c r="H12" i="4"/>
  <c r="I12" i="4" s="1"/>
  <c r="J12" i="4"/>
  <c r="J14" i="4"/>
  <c r="E9" i="4"/>
  <c r="B11" i="4"/>
  <c r="L11" i="4" s="1"/>
  <c r="F9" i="4"/>
  <c r="G9" i="4" s="1"/>
  <c r="B15" i="4"/>
  <c r="L15" i="4" s="1"/>
  <c r="D10" i="4"/>
  <c r="H13" i="4"/>
  <c r="I13" i="4" s="1"/>
  <c r="F14" i="4"/>
  <c r="G14" i="4" s="1"/>
  <c r="D12" i="4"/>
  <c r="J15" i="4"/>
  <c r="H8" i="4"/>
  <c r="I8" i="4" s="1"/>
  <c r="F7" i="4"/>
  <c r="G7" i="4" s="1"/>
  <c r="H15" i="4"/>
  <c r="I15" i="4" s="1"/>
  <c r="E12" i="4"/>
  <c r="E10" i="4"/>
  <c r="J5" i="4"/>
  <c r="J13" i="4"/>
  <c r="J10" i="4"/>
  <c r="E13" i="4"/>
  <c r="F11" i="4"/>
  <c r="G11" i="4" s="1"/>
  <c r="K7" i="4"/>
  <c r="J11" i="4"/>
  <c r="H9" i="4"/>
  <c r="I9" i="4" s="1"/>
  <c r="D8" i="4"/>
  <c r="B7" i="4"/>
  <c r="L7" i="4" s="1"/>
  <c r="D7" i="4"/>
  <c r="F10" i="4"/>
  <c r="G10" i="4" s="1"/>
  <c r="D14" i="4"/>
  <c r="K10" i="4"/>
  <c r="K14" i="4"/>
  <c r="B12" i="4"/>
  <c r="L12" i="4" s="1"/>
  <c r="B8" i="4"/>
  <c r="L8" i="4" s="1"/>
  <c r="B14" i="4"/>
  <c r="L14" i="4" s="1"/>
  <c r="H10" i="4"/>
  <c r="I10" i="4" s="1"/>
  <c r="K13" i="4"/>
  <c r="K12" i="4"/>
  <c r="K15" i="4"/>
  <c r="E14" i="4"/>
  <c r="B9" i="4"/>
  <c r="L9" i="4" s="1"/>
  <c r="F12" i="4"/>
  <c r="G12" i="4" s="1"/>
  <c r="H14" i="4"/>
  <c r="I14" i="4" s="1"/>
  <c r="K11" i="4"/>
  <c r="J9" i="4"/>
  <c r="F8" i="4"/>
  <c r="G8" i="4" s="1"/>
  <c r="J8" i="4"/>
  <c r="B10" i="4"/>
  <c r="L10" i="4" s="1"/>
  <c r="J7" i="4"/>
  <c r="B13" i="4"/>
  <c r="L13" i="4" s="1"/>
  <c r="E15" i="4"/>
  <c r="D12" i="3" l="1"/>
  <c r="E12" i="3" s="1"/>
  <c r="D11" i="3"/>
  <c r="E11" i="3" s="1"/>
  <c r="D10" i="3"/>
  <c r="E10" i="3" s="1"/>
  <c r="D9" i="3"/>
  <c r="E9" i="3" s="1"/>
  <c r="D17" i="3"/>
  <c r="D16" i="3"/>
  <c r="O21" i="4"/>
  <c r="V7" i="4"/>
  <c r="V6" i="4"/>
  <c r="V5" i="4"/>
  <c r="V4" i="4"/>
  <c r="V8" i="4"/>
  <c r="L17" i="4"/>
  <c r="L19" i="4" s="1"/>
  <c r="O7" i="4"/>
  <c r="G6" i="4"/>
  <c r="F3" i="4"/>
  <c r="H3" i="4"/>
  <c r="O6" i="4" s="1"/>
  <c r="I6" i="4"/>
  <c r="D5" i="3"/>
  <c r="D3" i="3"/>
  <c r="D4" i="3"/>
  <c r="U16" i="4"/>
  <c r="U18" i="4"/>
  <c r="D20" i="3"/>
  <c r="U20" i="4"/>
  <c r="D19" i="3"/>
  <c r="D21" i="3"/>
  <c r="U17" i="4"/>
  <c r="D18" i="3"/>
  <c r="U19" i="4"/>
  <c r="O22" i="4"/>
  <c r="O23" i="4"/>
  <c r="O20" i="4"/>
  <c r="D22" i="3" l="1"/>
  <c r="O8" i="4"/>
  <c r="O9" i="4"/>
  <c r="D13" i="3"/>
  <c r="E19" i="3"/>
  <c r="E3" i="3"/>
  <c r="D6" i="3"/>
  <c r="E21" i="3"/>
  <c r="E20" i="3"/>
  <c r="E5" i="3"/>
  <c r="E16" i="3"/>
  <c r="E17" i="3"/>
  <c r="E4" i="3"/>
  <c r="E18" i="3"/>
  <c r="E13" i="3" l="1"/>
  <c r="E22" i="3"/>
  <c r="E6" i="3"/>
  <c r="H6" i="3" l="1"/>
  <c r="I6" i="3"/>
  <c r="I13" i="3"/>
  <c r="H13" i="3"/>
</calcChain>
</file>

<file path=xl/sharedStrings.xml><?xml version="1.0" encoding="utf-8"?>
<sst xmlns="http://schemas.openxmlformats.org/spreadsheetml/2006/main" count="369" uniqueCount="128">
  <si>
    <t>Portfolio Weight %</t>
  </si>
  <si>
    <t>Portfolio Return %</t>
  </si>
  <si>
    <t>Benchmark Weight %</t>
  </si>
  <si>
    <t>Benchmark Return %</t>
  </si>
  <si>
    <t>Allocation %</t>
  </si>
  <si>
    <t>Selection %</t>
  </si>
  <si>
    <t>UK</t>
  </si>
  <si>
    <t>Germany</t>
  </si>
  <si>
    <t>Italy</t>
  </si>
  <si>
    <t>-</t>
  </si>
  <si>
    <t>US</t>
  </si>
  <si>
    <t>Total</t>
  </si>
  <si>
    <t>Calculate the Return Contribution on the below portfolio</t>
  </si>
  <si>
    <t>Contribution %</t>
  </si>
  <si>
    <t>US Treasury</t>
  </si>
  <si>
    <t>US Agency</t>
  </si>
  <si>
    <t>Regional</t>
  </si>
  <si>
    <t>Calculate the Return Attribution Allocation for the same portfolio below</t>
  </si>
  <si>
    <t>Calculate the Return Attribution Selection for the same portfolio below</t>
  </si>
  <si>
    <t>Calculate the Return Attribution - Allocation and Selection - for the portfolio below</t>
  </si>
  <si>
    <t>0-1 year</t>
  </si>
  <si>
    <t>1-3 year</t>
  </si>
  <si>
    <t>4-9 year</t>
  </si>
  <si>
    <t>10+ year</t>
  </si>
  <si>
    <t>Security or index</t>
  </si>
  <si>
    <t>Return</t>
  </si>
  <si>
    <t>% allocation</t>
  </si>
  <si>
    <t>Duration</t>
  </si>
  <si>
    <t>CTP</t>
  </si>
  <si>
    <t>0-1</t>
  </si>
  <si>
    <t>1-2</t>
  </si>
  <si>
    <t>2-3</t>
  </si>
  <si>
    <t>Description</t>
  </si>
  <si>
    <t>Maturity Date</t>
  </si>
  <si>
    <t>Rating</t>
  </si>
  <si>
    <t>Mkt % Index Wght</t>
  </si>
  <si>
    <t>Current Coupon</t>
  </si>
  <si>
    <t>Price</t>
  </si>
  <si>
    <t>TRR % 1-month LOC</t>
  </si>
  <si>
    <t>ISO Country</t>
  </si>
  <si>
    <t>A1</t>
  </si>
  <si>
    <t>AA1</t>
  </si>
  <si>
    <t>GB</t>
  </si>
  <si>
    <t>CASH</t>
  </si>
  <si>
    <t>Include in portfolio</t>
  </si>
  <si>
    <t>CTD</t>
  </si>
  <si>
    <t>Yrs to maturity</t>
  </si>
  <si>
    <t>Portfolio</t>
  </si>
  <si>
    <t>BM</t>
  </si>
  <si>
    <t>Maturity (yrs)</t>
  </si>
  <si>
    <t>Maturity</t>
  </si>
  <si>
    <t>TOTAL</t>
  </si>
  <si>
    <t>Country</t>
  </si>
  <si>
    <t>YTM</t>
  </si>
  <si>
    <t>Cash</t>
  </si>
  <si>
    <t>Benchmark</t>
  </si>
  <si>
    <t>Security type</t>
  </si>
  <si>
    <t>Government</t>
  </si>
  <si>
    <t>Corporate</t>
  </si>
  <si>
    <t>A2</t>
  </si>
  <si>
    <t>A3</t>
  </si>
  <si>
    <t>CH</t>
  </si>
  <si>
    <t>Nominal</t>
  </si>
  <si>
    <t>Mkt value</t>
  </si>
  <si>
    <t>Asset class</t>
  </si>
  <si>
    <t>Switzerland</t>
  </si>
  <si>
    <t>BM CTP</t>
  </si>
  <si>
    <t>Equities</t>
  </si>
  <si>
    <t>Performance</t>
  </si>
  <si>
    <t>Alpha</t>
  </si>
  <si>
    <t>Scenario 1 - RISK ON</t>
  </si>
  <si>
    <t>Scenario 2 - RISK OFF</t>
  </si>
  <si>
    <t>IPTV - ICE BofA BBB &amp; Lower Sovereign External Debt Excluding Asia Constrained Index</t>
  </si>
  <si>
    <t>GVQ0 - ICE BofA 1-5 Year US Treasury Index</t>
  </si>
  <si>
    <t>EM</t>
  </si>
  <si>
    <t>BB2</t>
  </si>
  <si>
    <t>*average weighting of the index</t>
  </si>
  <si>
    <t>Scenario 1  - risk on. Global growth stable with risks skewed to the upside.</t>
  </si>
  <si>
    <t>Scenario 2 Risk off scenario – Global growth expectations revised downward with increased risks of severe credit downgrades expected in the sovereign and corporate space.  </t>
  </si>
  <si>
    <t>PASSWORD:</t>
  </si>
  <si>
    <t>Emerging mkts</t>
  </si>
  <si>
    <t>Allocation, %</t>
  </si>
  <si>
    <t>Performance, %</t>
  </si>
  <si>
    <t>Allocation</t>
  </si>
  <si>
    <t>Selection</t>
  </si>
  <si>
    <t>Cumulative alpha</t>
  </si>
  <si>
    <t>Bonds</t>
  </si>
  <si>
    <t>Fund</t>
  </si>
  <si>
    <t>Sovereign</t>
  </si>
  <si>
    <t>JPM 4.25% 01/10/27</t>
  </si>
  <si>
    <t>Quasi &amp; Foreign Government</t>
  </si>
  <si>
    <t>AAA</t>
  </si>
  <si>
    <t>XB</t>
  </si>
  <si>
    <t>AA3</t>
  </si>
  <si>
    <t>NWG 4.174% 06/11/28</t>
  </si>
  <si>
    <t>T 0.5% 31/10/27</t>
  </si>
  <si>
    <t>T 4.125% 30/06/28</t>
  </si>
  <si>
    <t>BAC 3.974% 07/02/29</t>
  </si>
  <si>
    <t>EIB 4.5% 16/10/28</t>
  </si>
  <si>
    <t>EIB 3.875% 15/06/28</t>
  </si>
  <si>
    <t>IBRD 4.625% 01/08/28</t>
  </si>
  <si>
    <t>Off-benchmark (government bond indices)</t>
  </si>
  <si>
    <t>T 4% 29/02/28</t>
  </si>
  <si>
    <t>T 3.5% 30/04/28</t>
  </si>
  <si>
    <t>T 4.125% 31/08/28</t>
  </si>
  <si>
    <t>MS 4.555% 10/04/29</t>
  </si>
  <si>
    <t>T 3.25% 30/06/29</t>
  </si>
  <si>
    <t>T 4% 30/06/28</t>
  </si>
  <si>
    <t>T 2.375% 31/03/29</t>
  </si>
  <si>
    <t>T 3.375% 15/09/28</t>
  </si>
  <si>
    <t>T 2.25% 15/11/27</t>
  </si>
  <si>
    <t>T 3.875% 15/05/29</t>
  </si>
  <si>
    <t>T 3.875% 15/06/28</t>
  </si>
  <si>
    <t>T 3.375% 30/11/27</t>
  </si>
  <si>
    <t>T 3.5% 31/01/28</t>
  </si>
  <si>
    <t>MS 4.431% 23/01/29</t>
  </si>
  <si>
    <t>JPM 3.509% 23/01/28</t>
  </si>
  <si>
    <t>BAC 4.271% 23/07/28</t>
  </si>
  <si>
    <t>HSBC 4.65% 03/06/28</t>
  </si>
  <si>
    <t>AMZN 4% 13/03/29</t>
  </si>
  <si>
    <t>UBS 5.428% 08/02/29</t>
  </si>
  <si>
    <t>TOYOTA 4.05% 13/03/29</t>
  </si>
  <si>
    <t>AA</t>
  </si>
  <si>
    <t>AA2</t>
  </si>
  <si>
    <t>A</t>
  </si>
  <si>
    <t>BBB or less</t>
  </si>
  <si>
    <t>Supranational</t>
  </si>
  <si>
    <t>Attribution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</si>
</sst>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0.00_ ;[Red]\-0.00\ "/>
  </numFmts>
  <fonts count="11" x14ac:knownFonts="1">
    <font>
      <sz val="10"/>
      <name val="Arial"/>
      <family val="2"/>
    </font>
    <font>
      <sz val="12"/>
      <name val="Arial"/>
      <family val="2"/>
    </font>
    <font>
      <b/>
      <sz val="12"/>
      <color theme="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theme="4"/>
      <name val="Arial"/>
      <family val="2"/>
    </font>
    <font>
      <sz val="12"/>
      <color theme="4"/>
      <name val="Arial"/>
      <family val="2"/>
    </font>
    <font>
      <b/>
      <sz val="10"/>
      <name val="Arial"/>
      <family val="2"/>
    </font>
    <font>
      <sz val="11"/>
      <name val="Aptos"/>
      <family val="2"/>
    </font>
    <font>
      <sz val="10"/>
      <color rgb="FFFFFFFF"/>
      <name val="Arial"/>
      <family val="2"/>
    </font>
    <font>
      <sz val="10"/>
      <color theme="1" tint="0.74999237037263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89999084444715716"/>
        <bgColor indexed="64"/>
      </patternFill>
    </fill>
  </fills>
  <borders count="5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84">
    <xf numFmtId="0" fontId="0" fillId="0" borderId="0" xfId="0"/>
    <xf numFmtId="0" fontId="1" fillId="2" borderId="0" xfId="0" applyFont="1" applyFill="1"/>
    <xf numFmtId="0" fontId="0" fillId="2" borderId="0" xfId="0" applyFill="1"/>
    <xf numFmtId="0" fontId="2" fillId="3" borderId="1" xfId="0" applyFont="1" applyFill="1" applyBorder="1" applyAlignment="1">
      <alignment horizontal="center" wrapText="1"/>
    </xf>
    <xf numFmtId="0" fontId="2" fillId="4" borderId="2" xfId="0" applyFont="1" applyFill="1" applyBorder="1" applyAlignment="1">
      <alignment horizontal="center" wrapText="1"/>
    </xf>
    <xf numFmtId="0" fontId="1" fillId="2" borderId="0" xfId="0" applyFont="1" applyFill="1" applyAlignment="1">
      <alignment horizontal="center"/>
    </xf>
    <xf numFmtId="1" fontId="1" fillId="2" borderId="0" xfId="0" applyNumberFormat="1" applyFont="1" applyFill="1" applyAlignment="1">
      <alignment horizontal="center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2" fontId="1" fillId="2" borderId="3" xfId="0" applyNumberFormat="1" applyFont="1" applyFill="1" applyBorder="1" applyAlignment="1" applyProtection="1">
      <alignment horizontal="center"/>
      <protection locked="0"/>
    </xf>
    <xf numFmtId="0" fontId="1" fillId="2" borderId="0" xfId="0" applyFont="1" applyFill="1" applyAlignment="1">
      <alignment horizontal="center" vertical="center"/>
    </xf>
    <xf numFmtId="1" fontId="1" fillId="5" borderId="0" xfId="0" applyNumberFormat="1" applyFont="1" applyFill="1" applyAlignment="1">
      <alignment horizontal="center"/>
    </xf>
    <xf numFmtId="0" fontId="1" fillId="5" borderId="0" xfId="0" quotePrefix="1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3" fillId="2" borderId="0" xfId="0" applyNumberFormat="1" applyFont="1" applyFill="1" applyAlignment="1">
      <alignment horizontal="center"/>
    </xf>
    <xf numFmtId="2" fontId="3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2" fontId="1" fillId="0" borderId="3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center"/>
    </xf>
    <xf numFmtId="0" fontId="1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center"/>
    </xf>
    <xf numFmtId="0" fontId="1" fillId="6" borderId="0" xfId="0" applyFont="1" applyFill="1"/>
    <xf numFmtId="2" fontId="3" fillId="6" borderId="3" xfId="0" applyNumberFormat="1" applyFont="1" applyFill="1" applyBorder="1" applyAlignment="1" applyProtection="1">
      <alignment horizontal="center"/>
      <protection locked="0"/>
    </xf>
    <xf numFmtId="1" fontId="1" fillId="7" borderId="0" xfId="0" applyNumberFormat="1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2" fontId="3" fillId="6" borderId="0" xfId="0" applyNumberFormat="1" applyFont="1" applyFill="1" applyAlignment="1">
      <alignment horizontal="center"/>
    </xf>
    <xf numFmtId="164" fontId="3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quotePrefix="1" applyFont="1" applyAlignment="1">
      <alignment horizontal="left"/>
    </xf>
    <xf numFmtId="2" fontId="1" fillId="0" borderId="0" xfId="0" applyNumberFormat="1" applyFont="1" applyAlignment="1">
      <alignment horizontal="center"/>
    </xf>
    <xf numFmtId="2" fontId="1" fillId="7" borderId="0" xfId="0" applyNumberFormat="1" applyFont="1" applyFill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/>
    <xf numFmtId="9" fontId="1" fillId="0" borderId="0" xfId="1" applyFont="1" applyAlignment="1">
      <alignment horizontal="center"/>
    </xf>
    <xf numFmtId="9" fontId="3" fillId="6" borderId="0" xfId="1" applyFont="1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4" fontId="1" fillId="0" borderId="0" xfId="1" applyNumberFormat="1" applyFont="1" applyAlignment="1">
      <alignment horizontal="center"/>
    </xf>
    <xf numFmtId="9" fontId="1" fillId="7" borderId="0" xfId="1" applyFont="1" applyFill="1" applyAlignment="1">
      <alignment horizontal="center"/>
    </xf>
    <xf numFmtId="0" fontId="0" fillId="0" borderId="0" xfId="0" applyAlignment="1">
      <alignment horizontal="center" wrapText="1"/>
    </xf>
    <xf numFmtId="16" fontId="1" fillId="0" borderId="0" xfId="0" quotePrefix="1" applyNumberFormat="1" applyFont="1" applyAlignment="1">
      <alignment horizontal="left"/>
    </xf>
    <xf numFmtId="14" fontId="0" fillId="0" borderId="0" xfId="0" applyNumberFormat="1"/>
    <xf numFmtId="165" fontId="0" fillId="0" borderId="0" xfId="0" applyNumberFormat="1"/>
    <xf numFmtId="0" fontId="0" fillId="0" borderId="0" xfId="0" quotePrefix="1"/>
    <xf numFmtId="9" fontId="0" fillId="0" borderId="0" xfId="1" applyFont="1"/>
    <xf numFmtId="9" fontId="0" fillId="0" borderId="0" xfId="1" applyFont="1" applyAlignment="1">
      <alignment horizontal="center"/>
    </xf>
    <xf numFmtId="9" fontId="0" fillId="0" borderId="0" xfId="0" applyNumberFormat="1"/>
    <xf numFmtId="0" fontId="0" fillId="0" borderId="0" xfId="0" applyAlignment="1">
      <alignment wrapText="1"/>
    </xf>
    <xf numFmtId="0" fontId="5" fillId="0" borderId="0" xfId="0" applyFont="1"/>
    <xf numFmtId="10" fontId="0" fillId="0" borderId="0" xfId="1" applyNumberFormat="1" applyFont="1"/>
    <xf numFmtId="10" fontId="0" fillId="0" borderId="0" xfId="0" applyNumberFormat="1"/>
    <xf numFmtId="4" fontId="0" fillId="0" borderId="0" xfId="0" applyNumberFormat="1"/>
    <xf numFmtId="0" fontId="6" fillId="0" borderId="0" xfId="0" applyFont="1" applyAlignment="1">
      <alignment horizontal="right"/>
    </xf>
    <xf numFmtId="166" fontId="6" fillId="0" borderId="0" xfId="0" applyNumberFormat="1" applyFont="1" applyAlignment="1">
      <alignment horizontal="center"/>
    </xf>
    <xf numFmtId="0" fontId="5" fillId="0" borderId="0" xfId="0" applyFont="1" applyAlignment="1">
      <alignment wrapText="1"/>
    </xf>
    <xf numFmtId="165" fontId="7" fillId="0" borderId="0" xfId="0" applyNumberFormat="1" applyFont="1"/>
    <xf numFmtId="0" fontId="7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>
      <alignment vertical="center"/>
    </xf>
    <xf numFmtId="2" fontId="7" fillId="0" borderId="0" xfId="0" applyNumberFormat="1" applyFont="1"/>
    <xf numFmtId="0" fontId="6" fillId="8" borderId="0" xfId="0" applyFont="1" applyFill="1" applyAlignment="1">
      <alignment horizontal="right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9" fontId="0" fillId="8" borderId="0" xfId="0" applyNumberForma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9" fillId="0" borderId="0" xfId="0" applyFont="1"/>
    <xf numFmtId="0" fontId="7" fillId="0" borderId="0" xfId="0" applyFont="1" applyAlignment="1">
      <alignment horizontal="center" wrapText="1"/>
    </xf>
    <xf numFmtId="0" fontId="10" fillId="0" borderId="0" xfId="0" applyFont="1" applyAlignment="1">
      <alignment horizontal="left"/>
    </xf>
    <xf numFmtId="0" fontId="10" fillId="0" borderId="0" xfId="0" applyFont="1"/>
    <xf numFmtId="0" fontId="0" fillId="9" borderId="4" xfId="0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9" borderId="4" xfId="0" applyFill="1" applyBorder="1"/>
    <xf numFmtId="17" fontId="0" fillId="9" borderId="4" xfId="0" applyNumberFormat="1" applyFill="1" applyBorder="1"/>
    <xf numFmtId="9" fontId="0" fillId="0" borderId="4" xfId="1" applyFon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9" borderId="4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6"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color rgb="FF00B050"/>
      </font>
    </dxf>
    <dxf>
      <font>
        <color rgb="FFC00000"/>
      </font>
    </dxf>
    <dxf>
      <font>
        <b/>
        <i val="0"/>
        <color theme="0"/>
      </font>
      <fill>
        <patternFill>
          <bgColor theme="7" tint="0.59996337778862885"/>
        </patternFill>
      </fill>
    </dxf>
    <dxf>
      <font>
        <color theme="0"/>
      </font>
      <fill>
        <patternFill>
          <bgColor theme="5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Duration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Portfolio!$O$6:$O$9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45-4499-8332-78EE27E932D9}"/>
            </c:ext>
          </c:extLst>
        </c:ser>
        <c:ser>
          <c:idx val="1"/>
          <c:order val="1"/>
          <c:tx>
            <c:strRef>
              <c:f>Portfolio!$P$4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Portfolio!$M$6:$M$9</c:f>
              <c:strCache>
                <c:ptCount val="4"/>
                <c:pt idx="0">
                  <c:v>TOTAL</c:v>
                </c:pt>
                <c:pt idx="1">
                  <c:v>0-1</c:v>
                </c:pt>
                <c:pt idx="2">
                  <c:v>1-2</c:v>
                </c:pt>
                <c:pt idx="3">
                  <c:v>2-3</c:v>
                </c:pt>
              </c:strCache>
            </c:strRef>
          </c:cat>
          <c:val>
            <c:numRef>
              <c:f>Portfolio!$P$6:$P$9</c:f>
              <c:numCache>
                <c:formatCode>0.00</c:formatCode>
                <c:ptCount val="4"/>
                <c:pt idx="0">
                  <c:v>1.7618602838090172</c:v>
                </c:pt>
                <c:pt idx="1">
                  <c:v>0</c:v>
                </c:pt>
                <c:pt idx="2">
                  <c:v>0.88964695047926523</c:v>
                </c:pt>
                <c:pt idx="3">
                  <c:v>0.87221333332975215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45-4499-8332-78EE27E93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6007295"/>
        <c:axId val="96014015"/>
      </c:barChart>
      <c:catAx>
        <c:axId val="9600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14015"/>
        <c:crosses val="autoZero"/>
        <c:auto val="1"/>
        <c:lblAlgn val="ctr"/>
        <c:lblOffset val="100"/>
        <c:noMultiLvlLbl val="0"/>
      </c:catAx>
      <c:valAx>
        <c:axId val="96014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0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Country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Portfolio!$U$14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Portfolio!$T$15:$T$20</c:f>
              <c:strCache>
                <c:ptCount val="6"/>
                <c:pt idx="0">
                  <c:v>CASH</c:v>
                </c:pt>
                <c:pt idx="1">
                  <c:v>US</c:v>
                </c:pt>
                <c:pt idx="2">
                  <c:v>XB</c:v>
                </c:pt>
                <c:pt idx="3">
                  <c:v>CH</c:v>
                </c:pt>
                <c:pt idx="4">
                  <c:v>GB</c:v>
                </c:pt>
                <c:pt idx="5">
                  <c:v>EM</c:v>
                </c:pt>
              </c:strCache>
            </c:strRef>
          </c:cat>
          <c:val>
            <c:numRef>
              <c:f>Portfolio!$U$15:$U$20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CF-4554-A287-6BB83F9E139C}"/>
            </c:ext>
          </c:extLst>
        </c:ser>
        <c:ser>
          <c:idx val="1"/>
          <c:order val="1"/>
          <c:tx>
            <c:strRef>
              <c:f>Portfolio!$V$14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Portfolio!$T$15:$T$20</c:f>
              <c:strCache>
                <c:ptCount val="6"/>
                <c:pt idx="0">
                  <c:v>CASH</c:v>
                </c:pt>
                <c:pt idx="1">
                  <c:v>US</c:v>
                </c:pt>
                <c:pt idx="2">
                  <c:v>XB</c:v>
                </c:pt>
                <c:pt idx="3">
                  <c:v>CH</c:v>
                </c:pt>
                <c:pt idx="4">
                  <c:v>GB</c:v>
                </c:pt>
                <c:pt idx="5">
                  <c:v>EM</c:v>
                </c:pt>
              </c:strCache>
            </c:strRef>
          </c:cat>
          <c:val>
            <c:numRef>
              <c:f>Portfolio!$V$15:$V$20</c:f>
              <c:numCache>
                <c:formatCode>0%</c:formatCode>
                <c:ptCount val="6"/>
                <c:pt idx="0">
                  <c:v>0</c:v>
                </c:pt>
                <c:pt idx="1">
                  <c:v>0.81959299366384608</c:v>
                </c:pt>
                <c:pt idx="2">
                  <c:v>0.10841963698841042</c:v>
                </c:pt>
                <c:pt idx="3">
                  <c:v>3.6353415729054532E-2</c:v>
                </c:pt>
                <c:pt idx="4">
                  <c:v>3.5633953618688839E-2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CF-4554-A287-6BB83F9E13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Portfolio!$O$19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Portfolio!$N$20:$N$23</c:f>
              <c:strCache>
                <c:ptCount val="4"/>
                <c:pt idx="0">
                  <c:v>Sovereign</c:v>
                </c:pt>
                <c:pt idx="1">
                  <c:v>Quasi &amp; Foreign Government</c:v>
                </c:pt>
                <c:pt idx="2">
                  <c:v>Corporate</c:v>
                </c:pt>
                <c:pt idx="3">
                  <c:v>Cash</c:v>
                </c:pt>
              </c:strCache>
            </c:strRef>
          </c:cat>
          <c:val>
            <c:numRef>
              <c:f>Portfolio!$O$20:$O$23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22-4074-A937-A0C1E22E288E}"/>
            </c:ext>
          </c:extLst>
        </c:ser>
        <c:ser>
          <c:idx val="1"/>
          <c:order val="1"/>
          <c:tx>
            <c:strRef>
              <c:f>Portfolio!$P$19</c:f>
              <c:strCache>
                <c:ptCount val="1"/>
                <c:pt idx="0">
                  <c:v>Benchmark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Portfolio!$N$20:$N$23</c:f>
              <c:strCache>
                <c:ptCount val="4"/>
                <c:pt idx="0">
                  <c:v>Sovereign</c:v>
                </c:pt>
                <c:pt idx="1">
                  <c:v>Quasi &amp; Foreign Government</c:v>
                </c:pt>
                <c:pt idx="2">
                  <c:v>Corporate</c:v>
                </c:pt>
                <c:pt idx="3">
                  <c:v>Cash</c:v>
                </c:pt>
              </c:strCache>
            </c:strRef>
          </c:cat>
          <c:val>
            <c:numRef>
              <c:f>Portfolio!$P$20:$P$23</c:f>
              <c:numCache>
                <c:formatCode>0%</c:formatCode>
                <c:ptCount val="4"/>
                <c:pt idx="0">
                  <c:v>0.49839971382876069</c:v>
                </c:pt>
                <c:pt idx="1">
                  <c:v>0.10841963698841042</c:v>
                </c:pt>
                <c:pt idx="2">
                  <c:v>0.3931806491828288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22-4074-A937-A0C1E22E2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Asset class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Portfolio!$V$3</c:f>
              <c:strCache>
                <c:ptCount val="1"/>
                <c:pt idx="0">
                  <c:v>Portfolio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5"/>
                <c:pt idx="0">
                  <c:v>AAA</c:v>
                </c:pt>
                <c:pt idx="1">
                  <c:v>AA</c:v>
                </c:pt>
                <c:pt idx="2">
                  <c:v>A</c:v>
                </c:pt>
                <c:pt idx="3">
                  <c:v>BBB or less</c:v>
                </c:pt>
                <c:pt idx="4">
                  <c:v>Cash</c:v>
                </c:pt>
              </c:strCache>
            </c:strRef>
          </c:cat>
          <c:val>
            <c:numRef>
              <c:f>Portfolio!$V$4:$V$9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49-4DD1-AA66-E8533EC0C0C6}"/>
            </c:ext>
          </c:extLst>
        </c:ser>
        <c:ser>
          <c:idx val="1"/>
          <c:order val="1"/>
          <c:tx>
            <c:strRef>
              <c:f>Portfolio!$W$3</c:f>
              <c:strCache>
                <c:ptCount val="1"/>
                <c:pt idx="0">
                  <c:v>BM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Portfolio!$U$4:$U$9</c:f>
              <c:strCache>
                <c:ptCount val="5"/>
                <c:pt idx="0">
                  <c:v>AAA</c:v>
                </c:pt>
                <c:pt idx="1">
                  <c:v>AA</c:v>
                </c:pt>
                <c:pt idx="2">
                  <c:v>A</c:v>
                </c:pt>
                <c:pt idx="3">
                  <c:v>BBB or less</c:v>
                </c:pt>
                <c:pt idx="4">
                  <c:v>Cash</c:v>
                </c:pt>
              </c:strCache>
            </c:strRef>
          </c:cat>
          <c:val>
            <c:numRef>
              <c:f>Portfolio!$W$4:$W$9</c:f>
              <c:numCache>
                <c:formatCode>0%</c:formatCode>
                <c:ptCount val="6"/>
                <c:pt idx="0">
                  <c:v>0.10841963698841042</c:v>
                </c:pt>
                <c:pt idx="1">
                  <c:v>0.53384350139395809</c:v>
                </c:pt>
                <c:pt idx="2">
                  <c:v>0.35773686161763141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49-4DD1-AA66-E8533EC0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947295"/>
        <c:axId val="95947775"/>
      </c:barChart>
      <c:catAx>
        <c:axId val="95947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775"/>
        <c:crosses val="autoZero"/>
        <c:auto val="1"/>
        <c:lblAlgn val="ctr"/>
        <c:lblOffset val="100"/>
        <c:noMultiLvlLbl val="0"/>
      </c:catAx>
      <c:valAx>
        <c:axId val="95947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47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Cumulative</a:t>
            </a:r>
            <a:r>
              <a:rPr lang="en-GB" baseline="0"/>
              <a:t> contribution-to-alpha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'Further example'!$T$19</c:f>
              <c:strCache>
                <c:ptCount val="1"/>
                <c:pt idx="0">
                  <c:v>Allocation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'Further example'!$A$20:$A$55</c:f>
              <c:numCache>
                <c:formatCode>mmm\-yy</c:formatCode>
                <c:ptCount val="36"/>
                <c:pt idx="0">
                  <c:v>45199</c:v>
                </c:pt>
                <c:pt idx="1">
                  <c:v>45230</c:v>
                </c:pt>
                <c:pt idx="2">
                  <c:v>45260</c:v>
                </c:pt>
                <c:pt idx="3">
                  <c:v>45291</c:v>
                </c:pt>
                <c:pt idx="4">
                  <c:v>45322</c:v>
                </c:pt>
                <c:pt idx="5">
                  <c:v>45351</c:v>
                </c:pt>
                <c:pt idx="6">
                  <c:v>45382</c:v>
                </c:pt>
                <c:pt idx="7">
                  <c:v>45412</c:v>
                </c:pt>
                <c:pt idx="8">
                  <c:v>45443</c:v>
                </c:pt>
                <c:pt idx="9">
                  <c:v>45473</c:v>
                </c:pt>
                <c:pt idx="10">
                  <c:v>45504</c:v>
                </c:pt>
                <c:pt idx="11">
                  <c:v>45535</c:v>
                </c:pt>
                <c:pt idx="12">
                  <c:v>45565</c:v>
                </c:pt>
                <c:pt idx="13">
                  <c:v>45596</c:v>
                </c:pt>
                <c:pt idx="14">
                  <c:v>45626</c:v>
                </c:pt>
                <c:pt idx="15">
                  <c:v>45657</c:v>
                </c:pt>
                <c:pt idx="16">
                  <c:v>45688</c:v>
                </c:pt>
                <c:pt idx="17">
                  <c:v>45716</c:v>
                </c:pt>
                <c:pt idx="18">
                  <c:v>45747</c:v>
                </c:pt>
                <c:pt idx="19">
                  <c:v>45777</c:v>
                </c:pt>
                <c:pt idx="20">
                  <c:v>45808</c:v>
                </c:pt>
                <c:pt idx="21">
                  <c:v>45838</c:v>
                </c:pt>
                <c:pt idx="22">
                  <c:v>45869</c:v>
                </c:pt>
                <c:pt idx="23">
                  <c:v>45900</c:v>
                </c:pt>
                <c:pt idx="24">
                  <c:v>45930</c:v>
                </c:pt>
                <c:pt idx="25">
                  <c:v>45961</c:v>
                </c:pt>
                <c:pt idx="26">
                  <c:v>45991</c:v>
                </c:pt>
                <c:pt idx="27">
                  <c:v>46022</c:v>
                </c:pt>
                <c:pt idx="28">
                  <c:v>46053</c:v>
                </c:pt>
                <c:pt idx="29">
                  <c:v>46081</c:v>
                </c:pt>
                <c:pt idx="30">
                  <c:v>46112</c:v>
                </c:pt>
                <c:pt idx="31">
                  <c:v>46142</c:v>
                </c:pt>
                <c:pt idx="32">
                  <c:v>46173</c:v>
                </c:pt>
                <c:pt idx="33">
                  <c:v>46203</c:v>
                </c:pt>
                <c:pt idx="34">
                  <c:v>46234</c:v>
                </c:pt>
                <c:pt idx="35">
                  <c:v>46265</c:v>
                </c:pt>
              </c:numCache>
            </c:numRef>
          </c:cat>
          <c:val>
            <c:numRef>
              <c:f>'Further example'!$T$20:$T$55</c:f>
              <c:numCache>
                <c:formatCode>0.00</c:formatCode>
                <c:ptCount val="36"/>
                <c:pt idx="0">
                  <c:v>-4.465834211448505E-2</c:v>
                </c:pt>
                <c:pt idx="1">
                  <c:v>-6.0583153067805512E-2</c:v>
                </c:pt>
                <c:pt idx="2">
                  <c:v>0.15387129984511203</c:v>
                </c:pt>
                <c:pt idx="3">
                  <c:v>0.25605616511336698</c:v>
                </c:pt>
                <c:pt idx="4">
                  <c:v>0.29931452801981023</c:v>
                </c:pt>
                <c:pt idx="5">
                  <c:v>0.51472499143808881</c:v>
                </c:pt>
                <c:pt idx="6">
                  <c:v>0.60449323689252488</c:v>
                </c:pt>
                <c:pt idx="7">
                  <c:v>0.52133325382772588</c:v>
                </c:pt>
                <c:pt idx="8">
                  <c:v>0.59941826053210256</c:v>
                </c:pt>
                <c:pt idx="9">
                  <c:v>0.65887203517222026</c:v>
                </c:pt>
                <c:pt idx="10">
                  <c:v>0.65306827813127655</c:v>
                </c:pt>
                <c:pt idx="11">
                  <c:v>0.67600716725408228</c:v>
                </c:pt>
                <c:pt idx="12">
                  <c:v>0.69873334091096273</c:v>
                </c:pt>
                <c:pt idx="13">
                  <c:v>0.70220831652633908</c:v>
                </c:pt>
                <c:pt idx="14">
                  <c:v>0.87227128645346452</c:v>
                </c:pt>
                <c:pt idx="15">
                  <c:v>0.75519885785736796</c:v>
                </c:pt>
                <c:pt idx="16">
                  <c:v>0.84893342841096586</c:v>
                </c:pt>
                <c:pt idx="17">
                  <c:v>0.78371903636879381</c:v>
                </c:pt>
                <c:pt idx="18">
                  <c:v>0.75940233836089432</c:v>
                </c:pt>
                <c:pt idx="19">
                  <c:v>0.73015625387859495</c:v>
                </c:pt>
                <c:pt idx="20">
                  <c:v>0.81998049115973115</c:v>
                </c:pt>
                <c:pt idx="21">
                  <c:v>0.91755805281210734</c:v>
                </c:pt>
                <c:pt idx="22">
                  <c:v>0.9901606000874783</c:v>
                </c:pt>
                <c:pt idx="23">
                  <c:v>1.0208663866472447</c:v>
                </c:pt>
                <c:pt idx="24">
                  <c:v>1.1022477614923238</c:v>
                </c:pt>
                <c:pt idx="25">
                  <c:v>1.1562288263792471</c:v>
                </c:pt>
                <c:pt idx="26">
                  <c:v>1.1477450484997012</c:v>
                </c:pt>
                <c:pt idx="27">
                  <c:v>1.1440140182255334</c:v>
                </c:pt>
                <c:pt idx="28">
                  <c:v>1.1819234548326922</c:v>
                </c:pt>
                <c:pt idx="29">
                  <c:v>1.1467249432875033</c:v>
                </c:pt>
                <c:pt idx="30">
                  <c:v>1.1248216636108495</c:v>
                </c:pt>
                <c:pt idx="31">
                  <c:v>1.1922664946225237</c:v>
                </c:pt>
                <c:pt idx="32">
                  <c:v>1.3683184628507861</c:v>
                </c:pt>
                <c:pt idx="33">
                  <c:v>1.3293023497762662</c:v>
                </c:pt>
                <c:pt idx="34">
                  <c:v>1.3285000546287085</c:v>
                </c:pt>
                <c:pt idx="35">
                  <c:v>1.4344843657116642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06-4A05-8641-EA71E048D88E}"/>
            </c:ext>
          </c:extLst>
        </c:ser>
        <c:ser>
          <c:idx val="1"/>
          <c:order val="1"/>
          <c:tx>
            <c:strRef>
              <c:f>'Further example'!$U$19</c:f>
              <c:strCache>
                <c:ptCount val="1"/>
                <c:pt idx="0">
                  <c:v>Selection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'Further example'!$A$20:$A$55</c:f>
              <c:numCache>
                <c:formatCode>mmm\-yy</c:formatCode>
                <c:ptCount val="36"/>
                <c:pt idx="0">
                  <c:v>45199</c:v>
                </c:pt>
                <c:pt idx="1">
                  <c:v>45230</c:v>
                </c:pt>
                <c:pt idx="2">
                  <c:v>45260</c:v>
                </c:pt>
                <c:pt idx="3">
                  <c:v>45291</c:v>
                </c:pt>
                <c:pt idx="4">
                  <c:v>45322</c:v>
                </c:pt>
                <c:pt idx="5">
                  <c:v>45351</c:v>
                </c:pt>
                <c:pt idx="6">
                  <c:v>45382</c:v>
                </c:pt>
                <c:pt idx="7">
                  <c:v>45412</c:v>
                </c:pt>
                <c:pt idx="8">
                  <c:v>45443</c:v>
                </c:pt>
                <c:pt idx="9">
                  <c:v>45473</c:v>
                </c:pt>
                <c:pt idx="10">
                  <c:v>45504</c:v>
                </c:pt>
                <c:pt idx="11">
                  <c:v>45535</c:v>
                </c:pt>
                <c:pt idx="12">
                  <c:v>45565</c:v>
                </c:pt>
                <c:pt idx="13">
                  <c:v>45596</c:v>
                </c:pt>
                <c:pt idx="14">
                  <c:v>45626</c:v>
                </c:pt>
                <c:pt idx="15">
                  <c:v>45657</c:v>
                </c:pt>
                <c:pt idx="16">
                  <c:v>45688</c:v>
                </c:pt>
                <c:pt idx="17">
                  <c:v>45716</c:v>
                </c:pt>
                <c:pt idx="18">
                  <c:v>45747</c:v>
                </c:pt>
                <c:pt idx="19">
                  <c:v>45777</c:v>
                </c:pt>
                <c:pt idx="20">
                  <c:v>45808</c:v>
                </c:pt>
                <c:pt idx="21">
                  <c:v>45838</c:v>
                </c:pt>
                <c:pt idx="22">
                  <c:v>45869</c:v>
                </c:pt>
                <c:pt idx="23">
                  <c:v>45900</c:v>
                </c:pt>
                <c:pt idx="24">
                  <c:v>45930</c:v>
                </c:pt>
                <c:pt idx="25">
                  <c:v>45961</c:v>
                </c:pt>
                <c:pt idx="26">
                  <c:v>45991</c:v>
                </c:pt>
                <c:pt idx="27">
                  <c:v>46022</c:v>
                </c:pt>
                <c:pt idx="28">
                  <c:v>46053</c:v>
                </c:pt>
                <c:pt idx="29">
                  <c:v>46081</c:v>
                </c:pt>
                <c:pt idx="30">
                  <c:v>46112</c:v>
                </c:pt>
                <c:pt idx="31">
                  <c:v>46142</c:v>
                </c:pt>
                <c:pt idx="32">
                  <c:v>46173</c:v>
                </c:pt>
                <c:pt idx="33">
                  <c:v>46203</c:v>
                </c:pt>
                <c:pt idx="34">
                  <c:v>46234</c:v>
                </c:pt>
                <c:pt idx="35">
                  <c:v>46265</c:v>
                </c:pt>
              </c:numCache>
            </c:numRef>
          </c:cat>
          <c:val>
            <c:numRef>
              <c:f>'Further example'!$U$20:$U$55</c:f>
              <c:numCache>
                <c:formatCode>0.00</c:formatCode>
                <c:ptCount val="36"/>
                <c:pt idx="0">
                  <c:v>-1.0816264374930131</c:v>
                </c:pt>
                <c:pt idx="1">
                  <c:v>-2.1959479098673125</c:v>
                </c:pt>
                <c:pt idx="2">
                  <c:v>-0.44407277428110681</c:v>
                </c:pt>
                <c:pt idx="3">
                  <c:v>0.88343332413954556</c:v>
                </c:pt>
                <c:pt idx="4">
                  <c:v>0.59362654106238422</c:v>
                </c:pt>
                <c:pt idx="5">
                  <c:v>2.4878197606530095E-2</c:v>
                </c:pt>
                <c:pt idx="6">
                  <c:v>0.25537490035853527</c:v>
                </c:pt>
                <c:pt idx="7">
                  <c:v>-0.72689797772810461</c:v>
                </c:pt>
                <c:pt idx="8">
                  <c:v>-0.3775133425943733</c:v>
                </c:pt>
                <c:pt idx="9">
                  <c:v>-0.46778755587213494</c:v>
                </c:pt>
                <c:pt idx="10">
                  <c:v>0.38329619661181769</c:v>
                </c:pt>
                <c:pt idx="11">
                  <c:v>0.65186523948412667</c:v>
                </c:pt>
                <c:pt idx="12">
                  <c:v>0.82269986399751327</c:v>
                </c:pt>
                <c:pt idx="13">
                  <c:v>-5.3290250610145917E-2</c:v>
                </c:pt>
                <c:pt idx="14">
                  <c:v>0.30556321721111429</c:v>
                </c:pt>
                <c:pt idx="15">
                  <c:v>-0.98459929657027234</c:v>
                </c:pt>
                <c:pt idx="16">
                  <c:v>-0.76390408128290777</c:v>
                </c:pt>
                <c:pt idx="17">
                  <c:v>2.4375924468633126E-2</c:v>
                </c:pt>
                <c:pt idx="18">
                  <c:v>0.20453251934132816</c:v>
                </c:pt>
                <c:pt idx="19">
                  <c:v>0.44320683429138596</c:v>
                </c:pt>
                <c:pt idx="20">
                  <c:v>-9.0537396369132606E-2</c:v>
                </c:pt>
                <c:pt idx="21">
                  <c:v>0.19605939803981948</c:v>
                </c:pt>
                <c:pt idx="22">
                  <c:v>4.2012237459793628E-2</c:v>
                </c:pt>
                <c:pt idx="23">
                  <c:v>0.11595967131184926</c:v>
                </c:pt>
                <c:pt idx="24">
                  <c:v>0.40018484862200121</c:v>
                </c:pt>
                <c:pt idx="25">
                  <c:v>0.48738471901220315</c:v>
                </c:pt>
                <c:pt idx="26">
                  <c:v>0.66145415098443727</c:v>
                </c:pt>
                <c:pt idx="27">
                  <c:v>0.24971200891083434</c:v>
                </c:pt>
                <c:pt idx="28">
                  <c:v>0.14991215929771112</c:v>
                </c:pt>
                <c:pt idx="29">
                  <c:v>0.96597720984092428</c:v>
                </c:pt>
                <c:pt idx="30">
                  <c:v>0.19798355416715063</c:v>
                </c:pt>
                <c:pt idx="31">
                  <c:v>-0.1747068657749164</c:v>
                </c:pt>
                <c:pt idx="32">
                  <c:v>-0.41437965302716223</c:v>
                </c:pt>
                <c:pt idx="33">
                  <c:v>-0.27697410125743133</c:v>
                </c:pt>
                <c:pt idx="34">
                  <c:v>-0.79401851416796676</c:v>
                </c:pt>
                <c:pt idx="35">
                  <c:v>-0.74010624617577891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06-4A05-8641-EA71E048D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112175"/>
        <c:axId val="207115055"/>
      </c:lineChart>
      <c:dateAx>
        <c:axId val="207112175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2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15055"/>
        <c:crosses val="autoZero"/>
        <c:auto val="1"/>
        <c:lblOffset val="100"/>
        <c:baseTimeUnit val="months"/>
        <c:majorUnit val="6"/>
        <c:majorTimeUnit val="months"/>
      </c:dateAx>
      <c:valAx>
        <c:axId val="20711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12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1</xdr:row>
      <xdr:rowOff>57150</xdr:rowOff>
    </xdr:from>
    <xdr:to>
      <xdr:col>12</xdr:col>
      <xdr:colOff>587375</xdr:colOff>
      <xdr:row>3</xdr:row>
      <xdr:rowOff>245110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BF37482-A649-47DA-9371-A9956E8064B5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 bwMode="auto">
        <a:xfrm>
          <a:off x="7720965" y="243840"/>
          <a:ext cx="2458085" cy="58229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19050</xdr:colOff>
      <xdr:row>5</xdr:row>
      <xdr:rowOff>180975</xdr:rowOff>
    </xdr:from>
    <xdr:to>
      <xdr:col>17</xdr:col>
      <xdr:colOff>526165</xdr:colOff>
      <xdr:row>14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23EA97D2-9BE8-4941-B731-861F95B2BB14}"/>
                </a:ext>
              </a:extLst>
            </xdr:cNvPr>
            <xdr:cNvSpPr txBox="1">
              <a:spLocks/>
            </xdr:cNvSpPr>
          </xdr:nvSpPr>
          <xdr:spPr>
            <a:xfrm>
              <a:off x="7092315" y="1379220"/>
              <a:ext cx="6166870" cy="184882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857250</xdr:colOff>
      <xdr:row>13</xdr:row>
      <xdr:rowOff>0</xdr:rowOff>
    </xdr:from>
    <xdr:to>
      <xdr:col>17</xdr:col>
      <xdr:colOff>497590</xdr:colOff>
      <xdr:row>21</xdr:row>
      <xdr:rowOff>252433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E29029D1-8055-4640-815D-EA9A1452B347}"/>
                </a:ext>
              </a:extLst>
            </xdr:cNvPr>
            <xdr:cNvSpPr txBox="1">
              <a:spLocks/>
            </xdr:cNvSpPr>
          </xdr:nvSpPr>
          <xdr:spPr>
            <a:xfrm>
              <a:off x="7035165" y="3009900"/>
              <a:ext cx="6197350" cy="183929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123825</xdr:rowOff>
    </xdr:from>
    <xdr:to>
      <xdr:col>8</xdr:col>
      <xdr:colOff>192790</xdr:colOff>
      <xdr:row>22</xdr:row>
      <xdr:rowOff>23833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𝑏</m:t>
                          </m:r>
                        </m:sub>
                      </m:s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)</m:t>
                      </m:r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2" name="Content Placeholder 7">
              <a:extLst>
                <a:ext uri="{FF2B5EF4-FFF2-40B4-BE49-F238E27FC236}">
                  <a16:creationId xmlns:a16="http://schemas.microsoft.com/office/drawing/2014/main" id="{5E9BAA84-55C1-405A-B89B-33B985DCB7AB}"/>
                </a:ext>
              </a:extLst>
            </xdr:cNvPr>
            <xdr:cNvSpPr txBox="1">
              <a:spLocks/>
            </xdr:cNvSpPr>
          </xdr:nvSpPr>
          <xdr:spPr>
            <a:xfrm>
              <a:off x="628650" y="2487930"/>
              <a:ext cx="6193540" cy="195169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∑▒〖〖(𝑤〗_𝑝−𝑤_𝑏)〗 〖(𝑅〗_𝑏−𝐵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i="1" kern="0">
                  <a:solidFill>
                    <a:sysClr val="windowText" lastClr="000000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1</xdr:col>
      <xdr:colOff>28575</xdr:colOff>
      <xdr:row>22</xdr:row>
      <xdr:rowOff>38100</xdr:rowOff>
    </xdr:from>
    <xdr:to>
      <xdr:col>8</xdr:col>
      <xdr:colOff>221365</xdr:colOff>
      <xdr:row>33</xdr:row>
      <xdr:rowOff>100033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3" name="Content Placeholder 7">
              <a:extLst>
                <a:ext uri="{FF2B5EF4-FFF2-40B4-BE49-F238E27FC236}">
                  <a16:creationId xmlns:a16="http://schemas.microsoft.com/office/drawing/2014/main" id="{AACD8288-0649-473C-91BD-EA8CBC1F88CC}"/>
                </a:ext>
              </a:extLst>
            </xdr:cNvPr>
            <xdr:cNvSpPr txBox="1">
              <a:spLocks/>
            </xdr:cNvSpPr>
          </xdr:nvSpPr>
          <xdr:spPr>
            <a:xfrm>
              <a:off x="655320" y="4457700"/>
              <a:ext cx="6193540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〖(𝑅〗_𝑝−𝑅_𝑏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  <xdr:twoCellAnchor>
    <xdr:from>
      <xdr:col>7</xdr:col>
      <xdr:colOff>76200</xdr:colOff>
      <xdr:row>10</xdr:row>
      <xdr:rowOff>114300</xdr:rowOff>
    </xdr:from>
    <xdr:to>
      <xdr:col>16</xdr:col>
      <xdr:colOff>364240</xdr:colOff>
      <xdr:row>22</xdr:row>
      <xdr:rowOff>14308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r>
                    <a:rPr lang="en-GB" b="0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𝐵</m:t>
                  </m:r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Choice>
      <mc:Fallback xmlns="">
        <xdr:sp macro="" textlink="">
          <xdr:nvSpPr>
            <xdr:cNvPr id="4" name="Content Placeholder 7">
              <a:extLst>
                <a:ext uri="{FF2B5EF4-FFF2-40B4-BE49-F238E27FC236}">
                  <a16:creationId xmlns:a16="http://schemas.microsoft.com/office/drawing/2014/main" id="{A5E96912-4B43-40FD-A35A-8B17035C5F2D}"/>
                </a:ext>
              </a:extLst>
            </xdr:cNvPr>
            <xdr:cNvSpPr txBox="1">
              <a:spLocks/>
            </xdr:cNvSpPr>
          </xdr:nvSpPr>
          <xdr:spPr>
            <a:xfrm>
              <a:off x="5848350" y="2476500"/>
              <a:ext cx="6170680" cy="1961218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Allocation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𝐵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1" kern="0">
                  <a:solidFill>
                    <a:schemeClr val="accent1"/>
                  </a:solidFill>
                </a:rPr>
                <a:t>B 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= Total Return of the Benchmark</a:t>
              </a:r>
            </a:p>
          </xdr:txBody>
        </xdr:sp>
      </mc:Fallback>
    </mc:AlternateContent>
    <xdr:clientData/>
  </xdr:twoCellAnchor>
  <xdr:twoCellAnchor>
    <xdr:from>
      <xdr:col>7</xdr:col>
      <xdr:colOff>66675</xdr:colOff>
      <xdr:row>22</xdr:row>
      <xdr:rowOff>47625</xdr:rowOff>
    </xdr:from>
    <xdr:to>
      <xdr:col>16</xdr:col>
      <xdr:colOff>354715</xdr:colOff>
      <xdr:row>33</xdr:row>
      <xdr:rowOff>109558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14:m>
                <m:oMath xmlns:m="http://schemas.openxmlformats.org/officeDocument/2006/math">
                  <m:nary>
                    <m:naryPr>
                      <m:chr m:val="∑"/>
                      <m:subHide m:val="on"/>
                      <m:supHide m:val="on"/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naryPr>
                    <m:sub/>
                    <m:sup/>
                    <m:e>
                      <m:sSub>
                        <m:sSubPr>
                          <m:ctrlP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𝑤</m:t>
                          </m:r>
                        </m:e>
                        <m:sub>
                          <m:r>
                            <a:rPr lang="en-GB" i="1" kern="0">
                              <a:solidFill>
                                <a:schemeClr val="accent1"/>
                              </a:solidFill>
                              <a:latin typeface="Cambria Math" panose="02040503050406030204" pitchFamily="18" charset="0"/>
                            </a:rPr>
                            <m:t>𝑝</m:t>
                          </m:r>
                        </m:sub>
                      </m:sSub>
                    </m:e>
                  </m:nary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  <m:r>
                    <a:rPr lang="en-GB" i="1" kern="0">
                      <a:solidFill>
                        <a:schemeClr val="accent1"/>
                      </a:solidFill>
                      <a:latin typeface="Cambria Math" panose="02040503050406030204" pitchFamily="18" charset="0"/>
                    </a:rPr>
                    <m:t>−</m:t>
                  </m:r>
                  <m:sSub>
                    <m:sSubPr>
                      <m:ctrlP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b="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𝑤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𝑝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14:m>
                <m:oMath xmlns:m="http://schemas.openxmlformats.org/officeDocument/2006/math">
                  <m:sSub>
                    <m:sSubPr>
                      <m:ctrlP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GB" sz="1400" i="1" kern="0">
                          <a:solidFill>
                            <a:schemeClr val="accent1"/>
                          </a:solidFill>
                          <a:latin typeface="Cambria Math" panose="02040503050406030204" pitchFamily="18" charset="0"/>
                        </a:rPr>
                        <m:t>𝑏</m:t>
                      </m:r>
                    </m:sub>
                  </m:sSub>
                </m:oMath>
              </a14:m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Choice>
      <mc:Fallback xmlns="">
        <xdr:sp macro="" textlink="">
          <xdr:nvSpPr>
            <xdr:cNvPr id="5" name="Content Placeholder 7">
              <a:extLst>
                <a:ext uri="{FF2B5EF4-FFF2-40B4-BE49-F238E27FC236}">
                  <a16:creationId xmlns:a16="http://schemas.microsoft.com/office/drawing/2014/main" id="{082E0C32-9D55-46C7-98F9-A2985A0E31B9}"/>
                </a:ext>
              </a:extLst>
            </xdr:cNvPr>
            <xdr:cNvSpPr txBox="1">
              <a:spLocks/>
            </xdr:cNvSpPr>
          </xdr:nvSpPr>
          <xdr:spPr>
            <a:xfrm>
              <a:off x="5836920" y="4469130"/>
              <a:ext cx="6180205" cy="1944073"/>
            </a:xfrm>
            <a:prstGeom prst="rect">
              <a:avLst/>
            </a:prstGeom>
          </xdr:spPr>
          <xdr:txBody>
            <a:bodyPr wrap="square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r>
                <a:rPr lang="en-GB" kern="0">
                  <a:solidFill>
                    <a:sysClr val="windowText" lastClr="000000"/>
                  </a:solidFill>
                </a:rPr>
                <a:t>Selection Return where the benchmark allocation is 0% </a:t>
              </a:r>
            </a:p>
            <a:p>
              <a:r>
                <a:rPr lang="en-GB" kern="0">
                  <a:solidFill>
                    <a:sysClr val="windowText" lastClr="000000"/>
                  </a:solidFill>
                  <a:highlight>
                    <a:srgbClr val="FFFF00"/>
                  </a:highlight>
                </a:rPr>
                <a:t>Change formula below</a:t>
              </a:r>
            </a:p>
            <a:p>
              <a:r>
                <a:rPr lang="en-GB" kern="0">
                  <a:solidFill>
                    <a:sysClr val="windowText" lastClr="000000"/>
                  </a:solidFill>
                </a:rPr>
                <a:t>= </a:t>
              </a:r>
              <a:r>
                <a:rPr lang="en-GB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∑▒𝑤_𝑝  〖(𝑅〗_𝑝−𝑅_</a:t>
              </a:r>
              <a:r>
                <a:rPr lang="en-GB" b="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𝑝</a:t>
              </a:r>
              <a:r>
                <a:rPr lang="en-GB" kern="0">
                  <a:solidFill>
                    <a:schemeClr val="accent1"/>
                  </a:solidFill>
                </a:rPr>
                <a:t>)</a:t>
              </a:r>
            </a:p>
            <a:p>
              <a:r>
                <a:rPr lang="en-GB" sz="1400" kern="0">
                  <a:solidFill>
                    <a:sysClr val="windowText" lastClr="000000"/>
                  </a:solidFill>
                </a:rPr>
                <a:t>Where: 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𝑤_𝑝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Weight of the Sector 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𝑅_𝑝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Portfolio</a:t>
              </a:r>
            </a:p>
            <a:p>
              <a:r>
                <a:rPr lang="en-GB" sz="1400" kern="0">
                  <a:solidFill>
                    <a:schemeClr val="accent1"/>
                  </a:solidFill>
                </a:rPr>
                <a:t>	 </a:t>
              </a:r>
              <a:r>
                <a:rPr lang="en-GB" sz="1400" i="0" kern="0">
                  <a:solidFill>
                    <a:schemeClr val="accent1"/>
                  </a:solidFill>
                  <a:latin typeface="Cambria Math" panose="02040503050406030204" pitchFamily="18" charset="0"/>
                </a:rPr>
                <a:t>𝑅_𝑏</a:t>
              </a:r>
              <a:r>
                <a:rPr lang="en-GB" sz="1400" i="1" kern="0">
                  <a:solidFill>
                    <a:sysClr val="windowText" lastClr="000000"/>
                  </a:solidFill>
                </a:rPr>
                <a:t> = Return of the Sector within the Benchmark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13970</xdr:colOff>
      <xdr:row>0</xdr:row>
      <xdr:rowOff>120650</xdr:rowOff>
    </xdr:from>
    <xdr:to>
      <xdr:col>17</xdr:col>
      <xdr:colOff>505010</xdr:colOff>
      <xdr:row>12</xdr:row>
      <xdr:rowOff>110220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D8F83C-D5A0-1924-4D81-8F2BC0A9F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570865</xdr:colOff>
      <xdr:row>13</xdr:row>
      <xdr:rowOff>0</xdr:rowOff>
    </xdr:from>
    <xdr:to>
      <xdr:col>23</xdr:col>
      <xdr:colOff>513265</xdr:colOff>
      <xdr:row>25</xdr:row>
      <xdr:rowOff>41640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F0DEBF4-22B3-4FE0-BF9A-EBA0373561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13970</xdr:colOff>
      <xdr:row>12</xdr:row>
      <xdr:rowOff>151129</xdr:rowOff>
    </xdr:from>
    <xdr:to>
      <xdr:col>17</xdr:col>
      <xdr:colOff>505010</xdr:colOff>
      <xdr:row>25</xdr:row>
      <xdr:rowOff>34019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D0DCDAD-4AA4-4394-9140-981D642AA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144780</xdr:colOff>
      <xdr:row>16</xdr:row>
      <xdr:rowOff>83820</xdr:rowOff>
    </xdr:from>
    <xdr:to>
      <xdr:col>1</xdr:col>
      <xdr:colOff>255180</xdr:colOff>
      <xdr:row>19</xdr:row>
      <xdr:rowOff>22860</xdr:rowOff>
    </xdr:to>
    <xdr:sp macro="[0]!ThisWorkbook.Scenario1" textlink="">
      <xdr:nvSpPr>
        <xdr:cNvPr id="6" name="Rectangle 5">
          <a:extLst>
            <a:ext uri="{FF2B5EF4-FFF2-40B4-BE49-F238E27FC236}">
              <a16:creationId xmlns:a16="http://schemas.microsoft.com/office/drawing/2014/main" id="{01039807-C3EE-4568-8AD6-52D762689E7E}"/>
            </a:ext>
          </a:extLst>
        </xdr:cNvPr>
        <xdr:cNvSpPr/>
      </xdr:nvSpPr>
      <xdr:spPr>
        <a:xfrm>
          <a:off x="144780" y="293370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tx1"/>
              </a:solidFill>
            </a:rPr>
            <a:t>1</a:t>
          </a:r>
        </a:p>
      </xdr:txBody>
    </xdr:sp>
    <xdr:clientData/>
  </xdr:twoCellAnchor>
  <xdr:twoCellAnchor>
    <xdr:from>
      <xdr:col>0</xdr:col>
      <xdr:colOff>144780</xdr:colOff>
      <xdr:row>19</xdr:row>
      <xdr:rowOff>76200</xdr:rowOff>
    </xdr:from>
    <xdr:to>
      <xdr:col>1</xdr:col>
      <xdr:colOff>255180</xdr:colOff>
      <xdr:row>22</xdr:row>
      <xdr:rowOff>83820</xdr:rowOff>
    </xdr:to>
    <xdr:sp macro="[0]!ThisWorkbook.Scenario2" textlink="">
      <xdr:nvSpPr>
        <xdr:cNvPr id="7" name="Rectangle 6">
          <a:extLst>
            <a:ext uri="{FF2B5EF4-FFF2-40B4-BE49-F238E27FC236}">
              <a16:creationId xmlns:a16="http://schemas.microsoft.com/office/drawing/2014/main" id="{EFCEB373-F4A9-434D-8C9F-3DB0990623A6}"/>
            </a:ext>
          </a:extLst>
        </xdr:cNvPr>
        <xdr:cNvSpPr/>
      </xdr:nvSpPr>
      <xdr:spPr>
        <a:xfrm>
          <a:off x="144780" y="3497580"/>
          <a:ext cx="720000" cy="51054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solidFill>
                <a:schemeClr val="tx1"/>
              </a:solidFill>
            </a:rPr>
            <a:t>2</a:t>
          </a:r>
        </a:p>
      </xdr:txBody>
    </xdr:sp>
    <xdr:clientData/>
  </xdr:twoCellAnchor>
  <xdr:twoCellAnchor>
    <xdr:from>
      <xdr:col>17</xdr:col>
      <xdr:colOff>570230</xdr:colOff>
      <xdr:row>0</xdr:row>
      <xdr:rowOff>120650</xdr:rowOff>
    </xdr:from>
    <xdr:to>
      <xdr:col>23</xdr:col>
      <xdr:colOff>512630</xdr:colOff>
      <xdr:row>12</xdr:row>
      <xdr:rowOff>110220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A577DFD-D72D-40AD-8398-54C1EE35A9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393700</xdr:colOff>
      <xdr:row>21</xdr:row>
      <xdr:rowOff>152400</xdr:rowOff>
    </xdr:from>
    <xdr:to>
      <xdr:col>11</xdr:col>
      <xdr:colOff>504100</xdr:colOff>
      <xdr:row>24</xdr:row>
      <xdr:rowOff>121920</xdr:rowOff>
    </xdr:to>
    <xdr:sp macro="[0]!ThisWorkbook.ResetGame" textlink="">
      <xdr:nvSpPr>
        <xdr:cNvPr id="3" name="Rectangle 2">
          <a:extLst>
            <a:ext uri="{FF2B5EF4-FFF2-40B4-BE49-F238E27FC236}">
              <a16:creationId xmlns:a16="http://schemas.microsoft.com/office/drawing/2014/main" id="{4F67223F-1556-4B77-A873-173519BC5864}"/>
            </a:ext>
          </a:extLst>
        </xdr:cNvPr>
        <xdr:cNvSpPr/>
      </xdr:nvSpPr>
      <xdr:spPr>
        <a:xfrm>
          <a:off x="6153150" y="3759200"/>
          <a:ext cx="720000" cy="483870"/>
        </a:xfrm>
        <a:prstGeom prst="rect">
          <a:avLst/>
        </a:prstGeom>
        <a:solidFill>
          <a:schemeClr val="accent4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/>
            <a:t>Reset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53340</xdr:colOff>
      <xdr:row>0</xdr:row>
      <xdr:rowOff>53340</xdr:rowOff>
    </xdr:from>
    <xdr:to>
      <xdr:col>15</xdr:col>
      <xdr:colOff>525780</xdr:colOff>
      <xdr:row>5</xdr:row>
      <xdr:rowOff>53340</xdr:rowOff>
    </xdr:to>
    <xdr:sp macro="[0]!ThisWorkbook.AttributeForMe" textlink="">
      <xdr:nvSpPr>
        <xdr:cNvPr id="2" name="Rectangle 1">
          <a:extLst>
            <a:ext uri="{FF2B5EF4-FFF2-40B4-BE49-F238E27FC236}">
              <a16:creationId xmlns:a16="http://schemas.microsoft.com/office/drawing/2014/main" id="{DBB01713-2E34-4C25-9E86-D0D593033B27}"/>
            </a:ext>
          </a:extLst>
        </xdr:cNvPr>
        <xdr:cNvSpPr/>
      </xdr:nvSpPr>
      <xdr:spPr>
        <a:xfrm>
          <a:off x="11407140" y="53340"/>
          <a:ext cx="1082040" cy="118745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solidFill>
                <a:sysClr val="windowText" lastClr="000000"/>
              </a:solidFill>
            </a:rPr>
            <a:t>I'm</a:t>
          </a:r>
          <a:r>
            <a:rPr lang="en-GB" sz="1200" b="1" baseline="0">
              <a:solidFill>
                <a:sysClr val="windowText" lastClr="000000"/>
              </a:solidFill>
            </a:rPr>
            <a:t> too tired - attribute for me</a:t>
          </a:r>
          <a:endParaRPr lang="en-GB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193674</xdr:colOff>
      <xdr:row>15</xdr:row>
      <xdr:rowOff>152400</xdr:rowOff>
    </xdr:from>
    <xdr:to>
      <xdr:col>32</xdr:col>
      <xdr:colOff>336549</xdr:colOff>
      <xdr:row>36</xdr:row>
      <xdr:rowOff>146050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0139F46-CC0C-151E-3BEF-659680A18C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88900</xdr:colOff>
      <xdr:row>4</xdr:row>
      <xdr:rowOff>69850</xdr:rowOff>
    </xdr:from>
    <xdr:to>
      <xdr:col>2</xdr:col>
      <xdr:colOff>336550</xdr:colOff>
      <xdr:row>14</xdr:row>
      <xdr:rowOff>82550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D1DD4569-18D1-F72F-FC33-CCE90F3C3F4E}"/>
            </a:ext>
          </a:extLst>
        </xdr:cNvPr>
        <xdr:cNvSpPr/>
      </xdr:nvSpPr>
      <xdr:spPr>
        <a:xfrm>
          <a:off x="88900" y="69850"/>
          <a:ext cx="1562100" cy="16002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tx1"/>
              </a:solidFill>
            </a:rPr>
            <a:t>This is a (ficticious) portfolio</a:t>
          </a:r>
          <a:r>
            <a:rPr lang="en-GB" sz="1100" b="1" baseline="0">
              <a:solidFill>
                <a:schemeClr val="tx1"/>
              </a:solidFill>
            </a:rPr>
            <a:t> of bonds and equities.</a:t>
          </a:r>
          <a:endParaRPr lang="en-GB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488950</xdr:colOff>
      <xdr:row>4</xdr:row>
      <xdr:rowOff>69850</xdr:rowOff>
    </xdr:from>
    <xdr:to>
      <xdr:col>5</xdr:col>
      <xdr:colOff>222250</xdr:colOff>
      <xdr:row>14</xdr:row>
      <xdr:rowOff>82550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834A222C-B117-4FAE-94DE-8FBD14710E6D}"/>
            </a:ext>
          </a:extLst>
        </xdr:cNvPr>
        <xdr:cNvSpPr/>
      </xdr:nvSpPr>
      <xdr:spPr>
        <a:xfrm>
          <a:off x="1803400" y="69850"/>
          <a:ext cx="1562100" cy="16002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The</a:t>
          </a:r>
          <a:r>
            <a:rPr lang="en-GB" sz="1100" b="1" baseline="0">
              <a:solidFill>
                <a:sysClr val="windowText" lastClr="000000"/>
              </a:solidFill>
            </a:rPr>
            <a:t> benchmark is 40% equities and 60% bonds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425450</xdr:colOff>
      <xdr:row>4</xdr:row>
      <xdr:rowOff>63500</xdr:rowOff>
    </xdr:from>
    <xdr:to>
      <xdr:col>16</xdr:col>
      <xdr:colOff>520700</xdr:colOff>
      <xdr:row>14</xdr:row>
      <xdr:rowOff>76200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A6B01F39-85EC-470D-BC89-5F678F94318B}"/>
            </a:ext>
          </a:extLst>
        </xdr:cNvPr>
        <xdr:cNvSpPr/>
      </xdr:nvSpPr>
      <xdr:spPr>
        <a:xfrm>
          <a:off x="8445500" y="63500"/>
          <a:ext cx="1562100" cy="16002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What is the fund manager good at?</a:t>
          </a:r>
          <a:endParaRPr lang="en-GB" sz="1100" b="1" baseline="0"/>
        </a:p>
        <a:p>
          <a:pPr algn="ctr"/>
          <a:r>
            <a:rPr lang="en-GB" sz="1100" b="1" baseline="0"/>
            <a:t>If you were the CIO, what would you suggest?</a:t>
          </a:r>
          <a:endParaRPr lang="en-GB" sz="1100" b="1"/>
        </a:p>
      </xdr:txBody>
    </xdr:sp>
    <xdr:clientData/>
  </xdr:twoCellAnchor>
  <xdr:twoCellAnchor>
    <xdr:from>
      <xdr:col>11</xdr:col>
      <xdr:colOff>6350</xdr:colOff>
      <xdr:row>4</xdr:row>
      <xdr:rowOff>63500</xdr:rowOff>
    </xdr:from>
    <xdr:to>
      <xdr:col>13</xdr:col>
      <xdr:colOff>349250</xdr:colOff>
      <xdr:row>14</xdr:row>
      <xdr:rowOff>76200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7AA3F708-83DD-46A0-B7FF-7F5C0E72C4A0}"/>
            </a:ext>
          </a:extLst>
        </xdr:cNvPr>
        <xdr:cNvSpPr/>
      </xdr:nvSpPr>
      <xdr:spPr>
        <a:xfrm>
          <a:off x="6807200" y="63500"/>
          <a:ext cx="1562100" cy="1600200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At the end,</a:t>
          </a:r>
          <a:r>
            <a:rPr lang="en-GB" sz="1100" b="1" baseline="0"/>
            <a:t> on the right, I have added on a chart showing the cumulative alpha</a:t>
          </a:r>
          <a:endParaRPr lang="en-GB" sz="1100" b="1"/>
        </a:p>
      </xdr:txBody>
    </xdr:sp>
    <xdr:clientData/>
  </xdr:twoCellAnchor>
  <xdr:twoCellAnchor>
    <xdr:from>
      <xdr:col>8</xdr:col>
      <xdr:colOff>177800</xdr:colOff>
      <xdr:row>4</xdr:row>
      <xdr:rowOff>63500</xdr:rowOff>
    </xdr:from>
    <xdr:to>
      <xdr:col>10</xdr:col>
      <xdr:colOff>520700</xdr:colOff>
      <xdr:row>14</xdr:row>
      <xdr:rowOff>76200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B160D1A9-67F0-43C3-AA74-A86CAA34911D}"/>
            </a:ext>
          </a:extLst>
        </xdr:cNvPr>
        <xdr:cNvSpPr/>
      </xdr:nvSpPr>
      <xdr:spPr>
        <a:xfrm>
          <a:off x="5149850" y="63500"/>
          <a:ext cx="1562100" cy="1600200"/>
        </a:xfrm>
        <a:prstGeom prst="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Three years of monthly data has been hoarded.</a:t>
          </a:r>
        </a:p>
        <a:p>
          <a:pPr algn="ctr"/>
          <a:r>
            <a:rPr lang="en-GB" sz="1100" b="1">
              <a:solidFill>
                <a:sysClr val="windowText" lastClr="000000"/>
              </a:solidFill>
            </a:rPr>
            <a:t>We can see the performance</a:t>
          </a:r>
          <a:r>
            <a:rPr lang="en-GB" sz="1100" b="1" baseline="0">
              <a:solidFill>
                <a:sysClr val="windowText" lastClr="000000"/>
              </a:solidFill>
            </a:rPr>
            <a:t> and we can see how value has been added to the portfolio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336550</xdr:colOff>
      <xdr:row>4</xdr:row>
      <xdr:rowOff>69850</xdr:rowOff>
    </xdr:from>
    <xdr:to>
      <xdr:col>8</xdr:col>
      <xdr:colOff>69850</xdr:colOff>
      <xdr:row>14</xdr:row>
      <xdr:rowOff>82550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9B7FCF13-4FF2-49DF-B832-D65E2FD98594}"/>
            </a:ext>
          </a:extLst>
        </xdr:cNvPr>
        <xdr:cNvSpPr/>
      </xdr:nvSpPr>
      <xdr:spPr>
        <a:xfrm>
          <a:off x="3479800" y="69850"/>
          <a:ext cx="1562100" cy="16002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The performance attribution has been completed like the previous examples</a:t>
          </a:r>
        </a:p>
      </xdr:txBody>
    </xdr:sp>
    <xdr:clientData/>
  </xdr:twoCellAnchor>
  <xdr:twoCellAnchor>
    <xdr:from>
      <xdr:col>8</xdr:col>
      <xdr:colOff>177800</xdr:colOff>
      <xdr:row>0</xdr:row>
      <xdr:rowOff>0</xdr:rowOff>
    </xdr:from>
    <xdr:to>
      <xdr:col>10</xdr:col>
      <xdr:colOff>520700</xdr:colOff>
      <xdr:row>4</xdr:row>
      <xdr:rowOff>25400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C55BEA9-C4D4-469C-94F7-414ED1E8FFBE}"/>
            </a:ext>
          </a:extLst>
        </xdr:cNvPr>
        <xdr:cNvSpPr/>
      </xdr:nvSpPr>
      <xdr:spPr>
        <a:xfrm>
          <a:off x="5149850" y="0"/>
          <a:ext cx="1562100" cy="6604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Benefits</a:t>
          </a:r>
          <a:r>
            <a:rPr lang="en-GB" sz="1100" b="1" baseline="0">
              <a:solidFill>
                <a:sysClr val="windowText" lastClr="000000"/>
              </a:solidFill>
            </a:rPr>
            <a:t> of accumulating statistics</a:t>
          </a:r>
          <a:endParaRPr lang="en-GB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431800</xdr:colOff>
      <xdr:row>0</xdr:row>
      <xdr:rowOff>0</xdr:rowOff>
    </xdr:from>
    <xdr:to>
      <xdr:col>16</xdr:col>
      <xdr:colOff>527050</xdr:colOff>
      <xdr:row>4</xdr:row>
      <xdr:rowOff>25400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595C883-B3ED-4BB6-AC53-8A9E5DB2C096}"/>
            </a:ext>
          </a:extLst>
        </xdr:cNvPr>
        <xdr:cNvSpPr/>
      </xdr:nvSpPr>
      <xdr:spPr>
        <a:xfrm>
          <a:off x="8451850" y="0"/>
          <a:ext cx="1562100" cy="660400"/>
        </a:xfrm>
        <a:prstGeom prst="rec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chemeClr val="bg2"/>
              </a:solidFill>
            </a:rPr>
            <a:t>Drawing</a:t>
          </a:r>
          <a:r>
            <a:rPr lang="en-GB" sz="1100" b="1" baseline="0">
              <a:solidFill>
                <a:schemeClr val="bg2"/>
              </a:solidFill>
            </a:rPr>
            <a:t> conclusions from data</a:t>
          </a:r>
          <a:endParaRPr lang="en-GB" sz="1100" b="1">
            <a:solidFill>
              <a:schemeClr val="bg2"/>
            </a:solidFill>
          </a:endParaRP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CAIM colours">
      <a:dk1>
        <a:srgbClr val="1A1816"/>
      </a:dk1>
      <a:lt1>
        <a:srgbClr val="F5F4F3"/>
      </a:lt1>
      <a:dk2>
        <a:srgbClr val="F5F4F3"/>
      </a:dk2>
      <a:lt2>
        <a:srgbClr val="F5F4F3"/>
      </a:lt2>
      <a:accent1>
        <a:srgbClr val="28264B"/>
      </a:accent1>
      <a:accent2>
        <a:srgbClr val="9A221D"/>
      </a:accent2>
      <a:accent3>
        <a:srgbClr val="707070"/>
      </a:accent3>
      <a:accent4>
        <a:srgbClr val="548BE9"/>
      </a:accent4>
      <a:accent5>
        <a:srgbClr val="82ACB3"/>
      </a:accent5>
      <a:accent6>
        <a:srgbClr val="E6BE8A"/>
      </a:accent6>
      <a:hlink>
        <a:srgbClr val="69B578"/>
      </a:hlink>
      <a:folHlink>
        <a:srgbClr val="E67F7C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75891-1081-4830-B8EC-1C0EBA3CFE72}">
  <sheetPr codeName="Sheet2">
    <tabColor theme="4" tint="0.59999389629810485"/>
  </sheetPr>
  <dimension ref="A2:I48"/>
  <sheetViews>
    <sheetView showGridLines="0" tabSelected="1" workbookViewId="0"/>
  </sheetViews>
  <sheetFormatPr defaultColWidth="9.1796875" defaultRowHeight="15.5" x14ac:dyDescent="0.35"/>
  <cols>
    <col min="1" max="1" width="9.1796875" style="17"/>
    <col min="2" max="2" width="14.1796875" style="18" customWidth="1"/>
    <col min="3" max="3" width="11.81640625" style="18" customWidth="1"/>
    <col min="4" max="4" width="11.54296875" style="18" bestFit="1" customWidth="1"/>
    <col min="5" max="5" width="16" style="18" customWidth="1"/>
    <col min="6" max="6" width="14" style="18" bestFit="1" customWidth="1"/>
    <col min="7" max="7" width="13.453125" style="18" customWidth="1"/>
    <col min="8" max="8" width="13" style="18" customWidth="1"/>
    <col min="9" max="28" width="9.1796875" style="18"/>
    <col min="29" max="30" width="9.1796875" style="18" customWidth="1"/>
    <col min="31" max="16384" width="9.1796875" style="18"/>
  </cols>
  <sheetData>
    <row r="2" spans="1:8" x14ac:dyDescent="0.35">
      <c r="A2" s="17">
        <v>1</v>
      </c>
      <c r="B2" s="18" t="s">
        <v>12</v>
      </c>
    </row>
    <row r="3" spans="1:8" ht="16" thickBot="1" x14ac:dyDescent="0.4"/>
    <row r="4" spans="1:8" ht="32" thickTop="1" thickBot="1" x14ac:dyDescent="0.4">
      <c r="C4" s="3" t="s">
        <v>0</v>
      </c>
      <c r="D4" s="3" t="s">
        <v>1</v>
      </c>
      <c r="E4" s="4" t="s">
        <v>13</v>
      </c>
    </row>
    <row r="5" spans="1:8" ht="16.5" thickTop="1" thickBot="1" x14ac:dyDescent="0.4">
      <c r="B5" s="19" t="s">
        <v>14</v>
      </c>
      <c r="C5" s="20">
        <v>20</v>
      </c>
      <c r="D5" s="17">
        <v>11</v>
      </c>
      <c r="E5" s="21"/>
      <c r="F5" s="22"/>
    </row>
    <row r="6" spans="1:8" ht="16" thickBot="1" x14ac:dyDescent="0.4">
      <c r="B6" s="19" t="s">
        <v>15</v>
      </c>
      <c r="C6" s="20">
        <v>30</v>
      </c>
      <c r="D6" s="17">
        <v>5</v>
      </c>
      <c r="E6" s="21"/>
      <c r="F6" s="22"/>
    </row>
    <row r="7" spans="1:8" ht="16" thickBot="1" x14ac:dyDescent="0.4">
      <c r="B7" s="19" t="s">
        <v>16</v>
      </c>
      <c r="C7" s="20">
        <v>50</v>
      </c>
      <c r="D7" s="17">
        <v>8</v>
      </c>
      <c r="E7" s="21"/>
      <c r="F7" s="22"/>
    </row>
    <row r="8" spans="1:8" ht="16" thickBot="1" x14ac:dyDescent="0.4">
      <c r="B8" s="23" t="s">
        <v>11</v>
      </c>
      <c r="C8" s="24">
        <f>SUM(C5:C7)</f>
        <v>100</v>
      </c>
      <c r="D8" s="25"/>
      <c r="E8" s="26">
        <f>SUM(E5:E7)</f>
        <v>0</v>
      </c>
    </row>
    <row r="10" spans="1:8" x14ac:dyDescent="0.35">
      <c r="A10" s="17">
        <v>2</v>
      </c>
      <c r="B10" s="18" t="s">
        <v>17</v>
      </c>
    </row>
    <row r="11" spans="1:8" ht="16" thickBot="1" x14ac:dyDescent="0.4"/>
    <row r="12" spans="1:8" ht="32" thickTop="1" thickBot="1" x14ac:dyDescent="0.4">
      <c r="C12" s="3" t="s">
        <v>0</v>
      </c>
      <c r="D12" s="3" t="s">
        <v>1</v>
      </c>
      <c r="E12" s="3" t="s">
        <v>2</v>
      </c>
      <c r="F12" s="3" t="s">
        <v>3</v>
      </c>
      <c r="G12" s="4" t="s">
        <v>4</v>
      </c>
    </row>
    <row r="13" spans="1:8" ht="16.5" thickTop="1" thickBot="1" x14ac:dyDescent="0.4">
      <c r="B13" s="19" t="s">
        <v>14</v>
      </c>
      <c r="C13" s="20">
        <v>20</v>
      </c>
      <c r="D13" s="17">
        <v>11</v>
      </c>
      <c r="E13" s="27">
        <v>30</v>
      </c>
      <c r="F13" s="28">
        <v>10</v>
      </c>
      <c r="G13" s="21"/>
      <c r="H13" s="22"/>
    </row>
    <row r="14" spans="1:8" ht="16" thickBot="1" x14ac:dyDescent="0.4">
      <c r="B14" s="19" t="s">
        <v>15</v>
      </c>
      <c r="C14" s="20">
        <v>30</v>
      </c>
      <c r="D14" s="17">
        <v>5</v>
      </c>
      <c r="E14" s="27">
        <v>40</v>
      </c>
      <c r="F14" s="28">
        <v>8</v>
      </c>
      <c r="G14" s="21"/>
      <c r="H14" s="22"/>
    </row>
    <row r="15" spans="1:8" ht="16" thickBot="1" x14ac:dyDescent="0.4">
      <c r="B15" s="19" t="s">
        <v>16</v>
      </c>
      <c r="C15" s="20">
        <v>50</v>
      </c>
      <c r="D15" s="17">
        <v>8</v>
      </c>
      <c r="E15" s="27">
        <v>30</v>
      </c>
      <c r="F15" s="28">
        <v>5</v>
      </c>
      <c r="G15" s="21"/>
      <c r="H15" s="22"/>
    </row>
    <row r="16" spans="1:8" x14ac:dyDescent="0.35">
      <c r="B16" s="29" t="s">
        <v>11</v>
      </c>
      <c r="C16" s="24">
        <f>SUM(C13:C15)</f>
        <v>100</v>
      </c>
      <c r="D16" s="30">
        <f>SUMPRODUCT(C13:C15,D13:D15)/100</f>
        <v>7.7</v>
      </c>
      <c r="E16" s="24">
        <f>SUM(E13:E15)</f>
        <v>100</v>
      </c>
      <c r="F16" s="30">
        <f>SUMPRODUCT(E13:E15,F13:F15)/100</f>
        <v>7.7</v>
      </c>
      <c r="G16" s="31" t="str">
        <f>IF(G15="","",SUM(G13:G15))</f>
        <v/>
      </c>
      <c r="H16" s="32" t="str">
        <f>IF(G15="","",IF(FIXED(SUM(G13:G15),2)="-0.80","Correct","Try again"))</f>
        <v/>
      </c>
    </row>
    <row r="17" spans="1:8" x14ac:dyDescent="0.35">
      <c r="B17" s="19"/>
      <c r="C17" s="33"/>
    </row>
    <row r="18" spans="1:8" x14ac:dyDescent="0.35">
      <c r="B18" s="19"/>
      <c r="C18" s="33"/>
    </row>
    <row r="19" spans="1:8" x14ac:dyDescent="0.35">
      <c r="B19" s="19"/>
      <c r="C19" s="33"/>
    </row>
    <row r="20" spans="1:8" x14ac:dyDescent="0.35">
      <c r="A20" s="17">
        <v>3</v>
      </c>
      <c r="B20" s="19" t="s">
        <v>18</v>
      </c>
    </row>
    <row r="21" spans="1:8" ht="16" thickBot="1" x14ac:dyDescent="0.4">
      <c r="B21" s="19"/>
    </row>
    <row r="22" spans="1:8" ht="32" thickTop="1" thickBot="1" x14ac:dyDescent="0.4">
      <c r="B22" s="19"/>
      <c r="C22" s="3" t="s">
        <v>0</v>
      </c>
      <c r="D22" s="3" t="s">
        <v>1</v>
      </c>
      <c r="E22" s="3" t="s">
        <v>2</v>
      </c>
      <c r="F22" s="3" t="s">
        <v>3</v>
      </c>
      <c r="G22" s="4" t="s">
        <v>5</v>
      </c>
    </row>
    <row r="23" spans="1:8" ht="16.5" thickTop="1" thickBot="1" x14ac:dyDescent="0.4">
      <c r="B23" s="19" t="s">
        <v>14</v>
      </c>
      <c r="C23" s="20">
        <v>20</v>
      </c>
      <c r="D23" s="17">
        <v>11</v>
      </c>
      <c r="E23" s="27">
        <v>30</v>
      </c>
      <c r="F23" s="28">
        <v>10</v>
      </c>
      <c r="G23" s="21"/>
      <c r="H23" s="22"/>
    </row>
    <row r="24" spans="1:8" ht="16" thickBot="1" x14ac:dyDescent="0.4">
      <c r="B24" s="19" t="s">
        <v>15</v>
      </c>
      <c r="C24" s="20">
        <v>30</v>
      </c>
      <c r="D24" s="17">
        <v>5</v>
      </c>
      <c r="E24" s="27">
        <v>40</v>
      </c>
      <c r="F24" s="28">
        <v>8</v>
      </c>
      <c r="G24" s="21"/>
      <c r="H24" s="22"/>
    </row>
    <row r="25" spans="1:8" ht="16" thickBot="1" x14ac:dyDescent="0.4">
      <c r="B25" s="19" t="s">
        <v>16</v>
      </c>
      <c r="C25" s="20">
        <v>50</v>
      </c>
      <c r="D25" s="17">
        <v>8</v>
      </c>
      <c r="E25" s="27">
        <v>30</v>
      </c>
      <c r="F25" s="28">
        <v>5</v>
      </c>
      <c r="G25" s="21"/>
      <c r="H25" s="22"/>
    </row>
    <row r="26" spans="1:8" x14ac:dyDescent="0.35">
      <c r="B26" s="29" t="s">
        <v>11</v>
      </c>
      <c r="C26" s="24">
        <f>SUM(C23:C25)</f>
        <v>100</v>
      </c>
      <c r="D26" s="30">
        <f>SUMPRODUCT(C23:C25/100,D23:D25)</f>
        <v>7.7</v>
      </c>
      <c r="E26" s="24">
        <f>SUM(E23:E25)</f>
        <v>100</v>
      </c>
      <c r="F26" s="30">
        <f>SUMPRODUCT(E23:E25/100,F23:F25)</f>
        <v>7.7</v>
      </c>
      <c r="G26" s="31" t="str">
        <f>IF(G25="","",SUM(G23:G25))</f>
        <v/>
      </c>
      <c r="H26" s="32" t="str">
        <f>IF(G25="","",IF(FIXED(SUM(G23:G25),2)="0.80","Correct","Try again"))</f>
        <v/>
      </c>
    </row>
    <row r="27" spans="1:8" x14ac:dyDescent="0.35">
      <c r="C27" s="33"/>
    </row>
    <row r="28" spans="1:8" x14ac:dyDescent="0.35">
      <c r="A28" s="18"/>
      <c r="C28" s="33"/>
    </row>
    <row r="30" spans="1:8" x14ac:dyDescent="0.35">
      <c r="A30" s="17">
        <v>4</v>
      </c>
      <c r="B30" s="19" t="s">
        <v>19</v>
      </c>
    </row>
    <row r="31" spans="1:8" ht="16" thickBot="1" x14ac:dyDescent="0.4"/>
    <row r="32" spans="1:8" ht="32" thickTop="1" thickBot="1" x14ac:dyDescent="0.4">
      <c r="C32" s="3" t="s">
        <v>0</v>
      </c>
      <c r="D32" s="3" t="s">
        <v>1</v>
      </c>
      <c r="E32" s="3" t="s">
        <v>2</v>
      </c>
      <c r="F32" s="3" t="s">
        <v>3</v>
      </c>
      <c r="G32" s="4" t="s">
        <v>4</v>
      </c>
      <c r="H32" s="4" t="s">
        <v>5</v>
      </c>
    </row>
    <row r="33" spans="1:9" ht="16.5" thickTop="1" thickBot="1" x14ac:dyDescent="0.4">
      <c r="B33" s="19" t="s">
        <v>6</v>
      </c>
      <c r="C33" s="20">
        <v>10</v>
      </c>
      <c r="D33" s="17">
        <v>5</v>
      </c>
      <c r="E33" s="27">
        <v>20</v>
      </c>
      <c r="F33" s="28">
        <v>2</v>
      </c>
      <c r="G33" s="21"/>
      <c r="H33" s="21"/>
      <c r="I33" s="22"/>
    </row>
    <row r="34" spans="1:9" ht="16" thickBot="1" x14ac:dyDescent="0.4">
      <c r="B34" s="19" t="s">
        <v>7</v>
      </c>
      <c r="C34" s="20">
        <v>30</v>
      </c>
      <c r="D34" s="17">
        <v>4</v>
      </c>
      <c r="E34" s="27">
        <v>20</v>
      </c>
      <c r="F34" s="28">
        <v>3</v>
      </c>
      <c r="G34" s="21"/>
      <c r="H34" s="21"/>
      <c r="I34" s="22"/>
    </row>
    <row r="35" spans="1:9" ht="16" thickBot="1" x14ac:dyDescent="0.4">
      <c r="B35" s="19" t="s">
        <v>8</v>
      </c>
      <c r="C35" s="20">
        <v>10</v>
      </c>
      <c r="D35" s="17">
        <v>6</v>
      </c>
      <c r="E35" s="27">
        <v>20</v>
      </c>
      <c r="F35" s="28">
        <v>5</v>
      </c>
      <c r="G35" s="21"/>
      <c r="H35" s="21"/>
      <c r="I35" s="22"/>
    </row>
    <row r="36" spans="1:9" ht="16" thickBot="1" x14ac:dyDescent="0.4">
      <c r="B36" s="19" t="s">
        <v>10</v>
      </c>
      <c r="C36" s="20">
        <v>50</v>
      </c>
      <c r="D36" s="17">
        <v>8</v>
      </c>
      <c r="E36" s="27">
        <v>40</v>
      </c>
      <c r="F36" s="28">
        <v>6</v>
      </c>
      <c r="G36" s="21"/>
      <c r="H36" s="21"/>
      <c r="I36" s="22"/>
    </row>
    <row r="37" spans="1:9" x14ac:dyDescent="0.35">
      <c r="B37" s="29" t="s">
        <v>11</v>
      </c>
      <c r="C37" s="24">
        <f>SUM(C33:C36)</f>
        <v>100</v>
      </c>
      <c r="D37" s="30">
        <f>SUMPRODUCT(C33:C36/100,D33:D36)</f>
        <v>6.3</v>
      </c>
      <c r="E37" s="24">
        <f>SUM(E33:E36)</f>
        <v>100</v>
      </c>
      <c r="F37" s="30">
        <f>SUMPRODUCT(E33:E36/100,F33:F36)</f>
        <v>4.4000000000000004</v>
      </c>
      <c r="G37" s="31" t="str">
        <f>IF(G36="","",SUM(G33:G36))</f>
        <v/>
      </c>
      <c r="H37" s="31" t="str">
        <f>IF(H36="","",SUM(H33:H36))</f>
        <v/>
      </c>
      <c r="I37" s="32" t="str">
        <f>IF(H36="","",IF(AND(FIXED(SUM(H33:H36),2)="1.70",FIXED(SUM(G33:G36),2)="0.20"),"Correct","Try again"))</f>
        <v/>
      </c>
    </row>
    <row r="38" spans="1:9" x14ac:dyDescent="0.35">
      <c r="C38" s="33"/>
    </row>
    <row r="41" spans="1:9" x14ac:dyDescent="0.35">
      <c r="A41" s="17">
        <v>5</v>
      </c>
      <c r="B41" s="19" t="s">
        <v>19</v>
      </c>
    </row>
    <row r="42" spans="1:9" ht="16" thickBot="1" x14ac:dyDescent="0.4"/>
    <row r="43" spans="1:9" ht="32" thickTop="1" thickBot="1" x14ac:dyDescent="0.4">
      <c r="C43" s="3" t="s">
        <v>0</v>
      </c>
      <c r="D43" s="3" t="s">
        <v>1</v>
      </c>
      <c r="E43" s="3" t="s">
        <v>2</v>
      </c>
      <c r="F43" s="3" t="s">
        <v>3</v>
      </c>
      <c r="G43" s="4" t="s">
        <v>4</v>
      </c>
      <c r="H43" s="4" t="s">
        <v>5</v>
      </c>
    </row>
    <row r="44" spans="1:9" ht="16.5" thickTop="1" thickBot="1" x14ac:dyDescent="0.4">
      <c r="B44" s="34" t="s">
        <v>20</v>
      </c>
      <c r="C44" s="20">
        <v>20</v>
      </c>
      <c r="D44" s="35">
        <v>0.15</v>
      </c>
      <c r="E44" s="27">
        <v>20</v>
      </c>
      <c r="F44" s="36">
        <v>0.14000000000000001</v>
      </c>
      <c r="G44" s="21"/>
      <c r="H44" s="21"/>
      <c r="I44" s="22"/>
    </row>
    <row r="45" spans="1:9" ht="16" thickBot="1" x14ac:dyDescent="0.4">
      <c r="B45" s="19" t="s">
        <v>21</v>
      </c>
      <c r="C45" s="20">
        <v>50</v>
      </c>
      <c r="D45" s="35">
        <v>1.65</v>
      </c>
      <c r="E45" s="27">
        <v>30</v>
      </c>
      <c r="F45" s="36">
        <v>1.55</v>
      </c>
      <c r="G45" s="21"/>
      <c r="H45" s="21"/>
      <c r="I45" s="22"/>
    </row>
    <row r="46" spans="1:9" ht="16" thickBot="1" x14ac:dyDescent="0.4">
      <c r="B46" s="19" t="s">
        <v>22</v>
      </c>
      <c r="C46" s="20">
        <v>20</v>
      </c>
      <c r="D46" s="35">
        <v>2.8</v>
      </c>
      <c r="E46" s="27">
        <v>30</v>
      </c>
      <c r="F46" s="36">
        <v>2.75</v>
      </c>
      <c r="G46" s="21"/>
      <c r="H46" s="21"/>
      <c r="I46" s="22"/>
    </row>
    <row r="47" spans="1:9" ht="16" thickBot="1" x14ac:dyDescent="0.4">
      <c r="B47" s="19" t="s">
        <v>23</v>
      </c>
      <c r="C47" s="20">
        <v>10</v>
      </c>
      <c r="D47" s="35">
        <v>3.35</v>
      </c>
      <c r="E47" s="27">
        <v>20</v>
      </c>
      <c r="F47" s="36">
        <v>3.25</v>
      </c>
      <c r="G47" s="21"/>
      <c r="H47" s="21"/>
      <c r="I47" s="22"/>
    </row>
    <row r="48" spans="1:9" x14ac:dyDescent="0.35">
      <c r="B48" s="29" t="s">
        <v>11</v>
      </c>
      <c r="C48" s="24">
        <f>SUM(C44:C47)</f>
        <v>100</v>
      </c>
      <c r="D48" s="30">
        <f>SUMPRODUCT(C44:C47/100,D44:D47)</f>
        <v>1.75</v>
      </c>
      <c r="E48" s="24">
        <f>SUM(E44:E47)</f>
        <v>100</v>
      </c>
      <c r="F48" s="31">
        <f>SUMPRODUCT(E44:E47/100,F44:F47)</f>
        <v>1.968</v>
      </c>
      <c r="G48" s="31" t="str">
        <f>IF(G47="","",SUM(G44:G47))</f>
        <v/>
      </c>
      <c r="H48" s="31" t="str">
        <f>IF(H47="","",SUM(H44:H47))</f>
        <v/>
      </c>
      <c r="I48" s="32" t="str">
        <f>IF(H47="","",IF(AND(FIXED(SUM(H44:H47),2)="0.07",FIXED(SUM(G44:G47),2)="-0.29"),"Correct","Try again"))</f>
        <v/>
      </c>
    </row>
  </sheetData>
  <conditionalFormatting sqref="F5:F7 H13:H15 H23:H25 I33:I36">
    <cfRule type="cellIs" dxfId="15" priority="11" operator="equal">
      <formula>"Incorrect"</formula>
    </cfRule>
    <cfRule type="cellIs" dxfId="14" priority="12" operator="equal">
      <formula>"Correct"</formula>
    </cfRule>
  </conditionalFormatting>
  <conditionalFormatting sqref="H16">
    <cfRule type="cellIs" dxfId="13" priority="9" operator="equal">
      <formula>"Try Again"</formula>
    </cfRule>
    <cfRule type="cellIs" dxfId="12" priority="10" operator="equal">
      <formula>"Correct"</formula>
    </cfRule>
  </conditionalFormatting>
  <conditionalFormatting sqref="H26">
    <cfRule type="cellIs" dxfId="11" priority="7" operator="equal">
      <formula>"Try Again"</formula>
    </cfRule>
    <cfRule type="cellIs" dxfId="10" priority="8" operator="equal">
      <formula>"Correct"</formula>
    </cfRule>
  </conditionalFormatting>
  <conditionalFormatting sqref="I37">
    <cfRule type="cellIs" dxfId="9" priority="5" operator="equal">
      <formula>"Try Again"</formula>
    </cfRule>
    <cfRule type="cellIs" dxfId="8" priority="6" operator="equal">
      <formula>"Correct"</formula>
    </cfRule>
  </conditionalFormatting>
  <conditionalFormatting sqref="I44:I47">
    <cfRule type="cellIs" dxfId="7" priority="3" operator="equal">
      <formula>"Incorrect"</formula>
    </cfRule>
    <cfRule type="cellIs" dxfId="6" priority="4" operator="equal">
      <formula>"Correct"</formula>
    </cfRule>
  </conditionalFormatting>
  <conditionalFormatting sqref="I48">
    <cfRule type="cellIs" dxfId="5" priority="1" operator="equal">
      <formula>"Try Again"</formula>
    </cfRule>
    <cfRule type="cellIs" dxfId="4" priority="2" operator="equal">
      <formula>"Correct"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04EA3-823E-4138-8A7D-C8DCAA952611}">
  <sheetPr codeName="Sheet1">
    <tabColor theme="7" tint="0.79998168889431442"/>
  </sheetPr>
  <dimension ref="B3:K10"/>
  <sheetViews>
    <sheetView workbookViewId="0"/>
  </sheetViews>
  <sheetFormatPr defaultColWidth="9.1796875" defaultRowHeight="12.5" x14ac:dyDescent="0.25"/>
  <cols>
    <col min="1" max="1" width="9.1796875" style="2"/>
    <col min="2" max="8" width="12.453125" style="2" customWidth="1"/>
    <col min="9" max="16384" width="9.1796875" style="2"/>
  </cols>
  <sheetData>
    <row r="3" spans="2:11" ht="16" thickBot="1" x14ac:dyDescent="0.4">
      <c r="B3" s="1"/>
      <c r="C3" s="1"/>
      <c r="D3" s="1"/>
      <c r="E3" s="1"/>
      <c r="F3" s="1"/>
      <c r="G3" s="1"/>
      <c r="H3" s="1"/>
      <c r="I3" s="1"/>
    </row>
    <row r="4" spans="2:11" ht="32" thickTop="1" thickBot="1" x14ac:dyDescent="0.4">
      <c r="B4" s="1"/>
      <c r="C4" s="3" t="s">
        <v>0</v>
      </c>
      <c r="D4" s="3" t="s">
        <v>1</v>
      </c>
      <c r="E4" s="3" t="s">
        <v>2</v>
      </c>
      <c r="F4" s="3" t="s">
        <v>3</v>
      </c>
      <c r="G4" s="4" t="s">
        <v>4</v>
      </c>
      <c r="H4" s="4" t="s">
        <v>5</v>
      </c>
      <c r="I4" s="1"/>
    </row>
    <row r="5" spans="2:11" ht="16.5" thickTop="1" thickBot="1" x14ac:dyDescent="0.4">
      <c r="B5" s="5" t="s">
        <v>6</v>
      </c>
      <c r="C5" s="6">
        <v>10</v>
      </c>
      <c r="D5" s="5">
        <v>5</v>
      </c>
      <c r="E5" s="6">
        <v>20</v>
      </c>
      <c r="F5" s="5">
        <v>2</v>
      </c>
      <c r="G5" s="7"/>
      <c r="H5" s="8"/>
      <c r="I5" s="9"/>
    </row>
    <row r="6" spans="2:11" ht="16" thickBot="1" x14ac:dyDescent="0.4">
      <c r="B6" s="5" t="s">
        <v>7</v>
      </c>
      <c r="C6" s="6">
        <v>30</v>
      </c>
      <c r="D6" s="5">
        <v>4</v>
      </c>
      <c r="E6" s="6">
        <v>40</v>
      </c>
      <c r="F6" s="5">
        <v>3</v>
      </c>
      <c r="G6" s="7"/>
      <c r="H6" s="8"/>
      <c r="I6" s="9"/>
    </row>
    <row r="7" spans="2:11" ht="16" thickBot="1" x14ac:dyDescent="0.4">
      <c r="B7" s="5" t="s">
        <v>8</v>
      </c>
      <c r="C7" s="6">
        <v>10</v>
      </c>
      <c r="D7" s="5">
        <v>6</v>
      </c>
      <c r="E7" s="10">
        <v>0</v>
      </c>
      <c r="F7" s="11" t="s">
        <v>9</v>
      </c>
      <c r="G7" s="7"/>
      <c r="H7" s="8"/>
      <c r="I7" s="9"/>
    </row>
    <row r="8" spans="2:11" ht="16" thickBot="1" x14ac:dyDescent="0.4">
      <c r="B8" s="5" t="s">
        <v>10</v>
      </c>
      <c r="C8" s="6">
        <v>50</v>
      </c>
      <c r="D8" s="5">
        <v>8</v>
      </c>
      <c r="E8" s="6">
        <v>40</v>
      </c>
      <c r="F8" s="5">
        <v>6</v>
      </c>
      <c r="G8" s="7"/>
      <c r="H8" s="8"/>
      <c r="I8" s="9"/>
    </row>
    <row r="9" spans="2:11" ht="15.5" x14ac:dyDescent="0.35">
      <c r="B9" s="12" t="s">
        <v>11</v>
      </c>
      <c r="C9" s="13">
        <f>SUM(C5:C8)</f>
        <v>100</v>
      </c>
      <c r="D9" s="12">
        <f>SUMPRODUCT(C5:C8/100,D5:D8)</f>
        <v>6.3</v>
      </c>
      <c r="E9" s="13">
        <f>SUM(E5:E8)</f>
        <v>100</v>
      </c>
      <c r="F9" s="14">
        <f>SUMPRODUCT(E5:E8/100,F5:F8)</f>
        <v>4</v>
      </c>
      <c r="G9" s="15" t="str">
        <f>IF(G8="","",SUM(G5:G8))</f>
        <v/>
      </c>
      <c r="H9" s="15" t="str">
        <f>IF(H8="","",SUM(H5:H8))</f>
        <v/>
      </c>
      <c r="I9" s="14" t="str">
        <f>IF(H8="","",IF(AND(FIXED(SUM(H5:H8),2)="1.60",FIXED(SUM(G5:G8),2)="0.70"),"Correct","Try again"))</f>
        <v/>
      </c>
      <c r="J9" s="1"/>
      <c r="K9" s="1"/>
    </row>
    <row r="10" spans="2:11" ht="15.5" x14ac:dyDescent="0.35">
      <c r="B10" s="1"/>
      <c r="C10" s="16"/>
      <c r="D10" s="1"/>
      <c r="E10" s="1"/>
      <c r="F10" s="1"/>
      <c r="G10" s="1"/>
      <c r="H10" s="1"/>
      <c r="I10" s="1"/>
    </row>
  </sheetData>
  <conditionalFormatting sqref="I5:I8">
    <cfRule type="cellIs" dxfId="3" priority="3" operator="equal">
      <formula>"Incorrect"</formula>
    </cfRule>
    <cfRule type="cellIs" dxfId="2" priority="4" operator="equal">
      <formula>"Correct"</formula>
    </cfRule>
  </conditionalFormatting>
  <conditionalFormatting sqref="I9">
    <cfRule type="cellIs" dxfId="1" priority="1" operator="equal">
      <formula>"Try Again"</formula>
    </cfRule>
    <cfRule type="cellIs" dxfId="0" priority="2" operator="equal">
      <formula>"Correct"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AE161-8BE7-469E-A41D-5DBAA312E693}">
  <sheetPr codeName="Sheet5"/>
  <dimension ref="A1:W480"/>
  <sheetViews>
    <sheetView workbookViewId="0">
      <selection activeCell="D10" sqref="D10"/>
    </sheetView>
  </sheetViews>
  <sheetFormatPr defaultRowHeight="18" x14ac:dyDescent="0.4"/>
  <cols>
    <col min="1" max="1" width="13.1796875" style="68" customWidth="1"/>
    <col min="2" max="2" width="8.90625" hidden="1" customWidth="1"/>
    <col min="3" max="3" width="26.36328125" customWidth="1"/>
    <col min="4" max="4" width="24.26953125" bestFit="1" customWidth="1"/>
    <col min="5" max="16" width="11.1796875" customWidth="1"/>
    <col min="17" max="18" width="11.1796875" style="64" customWidth="1"/>
    <col min="21" max="21" width="11.1796875" customWidth="1"/>
  </cols>
  <sheetData>
    <row r="1" spans="1:23" x14ac:dyDescent="0.4">
      <c r="A1" s="68">
        <f>COUNTIF(A3:A34,TRUE)</f>
        <v>0</v>
      </c>
      <c r="C1" s="55" t="s">
        <v>55</v>
      </c>
      <c r="D1" s="55"/>
      <c r="F1" s="48">
        <v>46295</v>
      </c>
      <c r="H1" s="57">
        <f>SUM(H3:H353)</f>
        <v>0.99999999999999978</v>
      </c>
      <c r="I1" s="49">
        <f>SUMPRODUCT($H3:$H353,I3:I353)</f>
        <v>1.7618602838090172</v>
      </c>
      <c r="K1" s="49">
        <f>SUMPRODUCT($H3:$H353,K3:K353)</f>
        <v>3.8083730133777798</v>
      </c>
      <c r="L1" s="49">
        <f>SUMPRODUCT($H3:$H353,L3:L353)</f>
        <v>5.0477630031228937</v>
      </c>
      <c r="Q1" s="62">
        <f>SUMPRODUCT($H3:$H353,Q3:Q353)</f>
        <v>0</v>
      </c>
      <c r="R1" s="62"/>
      <c r="U1" s="49"/>
    </row>
    <row r="2" spans="1:23" ht="36" x14ac:dyDescent="0.4">
      <c r="A2" s="69" t="s">
        <v>44</v>
      </c>
      <c r="B2" s="54"/>
      <c r="C2" s="54" t="s">
        <v>32</v>
      </c>
      <c r="D2" s="54" t="s">
        <v>56</v>
      </c>
      <c r="E2" s="46" t="s">
        <v>33</v>
      </c>
      <c r="F2" s="46" t="s">
        <v>46</v>
      </c>
      <c r="G2" s="46" t="s">
        <v>34</v>
      </c>
      <c r="H2" s="46" t="s">
        <v>35</v>
      </c>
      <c r="I2" s="46" t="s">
        <v>27</v>
      </c>
      <c r="J2" s="46" t="s">
        <v>45</v>
      </c>
      <c r="K2" s="46" t="s">
        <v>36</v>
      </c>
      <c r="L2" s="46" t="s">
        <v>53</v>
      </c>
      <c r="M2" s="46" t="s">
        <v>37</v>
      </c>
      <c r="N2" s="46" t="s">
        <v>39</v>
      </c>
      <c r="O2" s="46" t="s">
        <v>62</v>
      </c>
      <c r="P2" s="46" t="s">
        <v>63</v>
      </c>
      <c r="Q2" s="74" t="s">
        <v>38</v>
      </c>
      <c r="R2" s="74" t="s">
        <v>66</v>
      </c>
      <c r="S2" s="54"/>
      <c r="U2" s="54"/>
      <c r="V2" s="54"/>
      <c r="W2" s="54"/>
    </row>
    <row r="3" spans="1:23" x14ac:dyDescent="0.4">
      <c r="A3" s="72" t="b">
        <v>0</v>
      </c>
      <c r="B3">
        <f>IF(A3="","",A3+MAX(B$2:B2))</f>
        <v>0</v>
      </c>
      <c r="C3" t="s">
        <v>106</v>
      </c>
      <c r="D3" t="s">
        <v>88</v>
      </c>
      <c r="E3" s="48">
        <v>47299</v>
      </c>
      <c r="F3" s="38">
        <v>2.7488021902806299</v>
      </c>
      <c r="G3" t="s">
        <v>41</v>
      </c>
      <c r="H3" s="56">
        <v>3.4899940015179098E-2</v>
      </c>
      <c r="I3" s="49">
        <v>2.57</v>
      </c>
      <c r="J3" s="49">
        <v>8.9692845839010271E-2</v>
      </c>
      <c r="K3" s="49">
        <v>3.25</v>
      </c>
      <c r="L3" s="49">
        <v>4.97</v>
      </c>
      <c r="M3" s="49">
        <v>95.632812000000001</v>
      </c>
      <c r="N3" t="s">
        <v>10</v>
      </c>
      <c r="O3" s="58">
        <v>100000</v>
      </c>
      <c r="P3" s="58">
        <v>95632.812000000005</v>
      </c>
      <c r="Q3" s="66">
        <v>0</v>
      </c>
      <c r="R3" s="62">
        <f t="shared" ref="R3:R30" si="0">Q3*H3</f>
        <v>0</v>
      </c>
    </row>
    <row r="4" spans="1:23" x14ac:dyDescent="0.4">
      <c r="A4" s="72" t="b">
        <v>0</v>
      </c>
      <c r="B4">
        <f>IF(A4="","",A4+MAX(B$2:B3))</f>
        <v>0</v>
      </c>
      <c r="C4" t="s">
        <v>107</v>
      </c>
      <c r="D4" t="s">
        <v>88</v>
      </c>
      <c r="E4" s="48">
        <v>46934</v>
      </c>
      <c r="F4" s="38">
        <v>1.7494866529774127</v>
      </c>
      <c r="G4" t="s">
        <v>41</v>
      </c>
      <c r="H4" s="56">
        <v>3.5987623072298663E-2</v>
      </c>
      <c r="I4" s="49">
        <v>1.65</v>
      </c>
      <c r="J4" s="49">
        <v>5.9379578069292789E-2</v>
      </c>
      <c r="K4" s="49">
        <v>4</v>
      </c>
      <c r="L4" s="49">
        <v>4.83</v>
      </c>
      <c r="M4" s="49">
        <v>98.613281000000001</v>
      </c>
      <c r="N4" t="s">
        <v>10</v>
      </c>
      <c r="O4" s="58">
        <v>100000</v>
      </c>
      <c r="P4" s="58">
        <v>98613.281000000003</v>
      </c>
      <c r="Q4" s="66">
        <v>0</v>
      </c>
      <c r="R4" s="62">
        <f t="shared" si="0"/>
        <v>0</v>
      </c>
    </row>
    <row r="5" spans="1:23" x14ac:dyDescent="0.4">
      <c r="A5" s="72" t="b">
        <v>0</v>
      </c>
      <c r="B5">
        <f>IF(A5="","",A5+MAX(B$2:B4))</f>
        <v>0</v>
      </c>
      <c r="C5" t="s">
        <v>108</v>
      </c>
      <c r="D5" t="s">
        <v>88</v>
      </c>
      <c r="E5" s="48">
        <v>47208</v>
      </c>
      <c r="F5" s="38">
        <v>2.4996577686516086</v>
      </c>
      <c r="G5" t="s">
        <v>41</v>
      </c>
      <c r="H5" s="56">
        <v>3.4305492142095897E-2</v>
      </c>
      <c r="I5" s="49">
        <v>2.38</v>
      </c>
      <c r="J5" s="49">
        <v>8.1647071298188226E-2</v>
      </c>
      <c r="K5" s="49">
        <v>2.375</v>
      </c>
      <c r="L5" s="49">
        <v>4.96</v>
      </c>
      <c r="M5" s="49">
        <v>94.003906000000001</v>
      </c>
      <c r="N5" t="s">
        <v>10</v>
      </c>
      <c r="O5" s="58">
        <v>100000</v>
      </c>
      <c r="P5" s="58">
        <v>94003.906000000003</v>
      </c>
      <c r="Q5" s="66">
        <v>0</v>
      </c>
      <c r="R5" s="62">
        <f t="shared" si="0"/>
        <v>0</v>
      </c>
    </row>
    <row r="6" spans="1:23" x14ac:dyDescent="0.4">
      <c r="A6" s="72" t="b">
        <v>0</v>
      </c>
      <c r="B6">
        <f>IF(A6="","",A6+MAX(B$2:B5))</f>
        <v>0</v>
      </c>
      <c r="C6" t="s">
        <v>103</v>
      </c>
      <c r="D6" t="s">
        <v>88</v>
      </c>
      <c r="E6" s="48">
        <v>46873</v>
      </c>
      <c r="F6" s="38">
        <v>1.5824777549623545</v>
      </c>
      <c r="G6" t="s">
        <v>41</v>
      </c>
      <c r="H6" s="56">
        <v>3.5773793051775221E-2</v>
      </c>
      <c r="I6" s="49">
        <v>1.49</v>
      </c>
      <c r="J6" s="49">
        <v>5.3302951647145082E-2</v>
      </c>
      <c r="K6" s="49">
        <v>3.5</v>
      </c>
      <c r="L6" s="49">
        <v>4.8099999999999996</v>
      </c>
      <c r="M6" s="49">
        <v>98.027343999999999</v>
      </c>
      <c r="N6" t="s">
        <v>10</v>
      </c>
      <c r="O6" s="58">
        <v>100000</v>
      </c>
      <c r="P6" s="58">
        <v>98027.343999999997</v>
      </c>
      <c r="Q6" s="66">
        <v>0</v>
      </c>
      <c r="R6" s="62">
        <f t="shared" si="0"/>
        <v>0</v>
      </c>
    </row>
    <row r="7" spans="1:23" x14ac:dyDescent="0.4">
      <c r="A7" s="72" t="b">
        <v>0</v>
      </c>
      <c r="B7">
        <f>IF(A7="","",A7+MAX(B$2:B6))</f>
        <v>0</v>
      </c>
      <c r="C7" t="s">
        <v>109</v>
      </c>
      <c r="D7" t="s">
        <v>88</v>
      </c>
      <c r="E7" s="48">
        <v>47011</v>
      </c>
      <c r="F7" s="38">
        <v>1.9603011635865846</v>
      </c>
      <c r="G7" t="s">
        <v>41</v>
      </c>
      <c r="H7" s="56">
        <v>3.5481558167317004E-2</v>
      </c>
      <c r="I7" s="49">
        <v>1.87</v>
      </c>
      <c r="J7" s="49">
        <v>6.6350513772882799E-2</v>
      </c>
      <c r="K7" s="49">
        <v>3.375</v>
      </c>
      <c r="L7" s="49">
        <v>4.88</v>
      </c>
      <c r="M7" s="49">
        <v>97.226562000000001</v>
      </c>
      <c r="N7" t="s">
        <v>10</v>
      </c>
      <c r="O7" s="58">
        <v>100000</v>
      </c>
      <c r="P7" s="58">
        <v>97226.562000000005</v>
      </c>
      <c r="Q7" s="66">
        <v>0</v>
      </c>
      <c r="R7" s="62">
        <f t="shared" si="0"/>
        <v>0</v>
      </c>
    </row>
    <row r="8" spans="1:23" x14ac:dyDescent="0.4">
      <c r="A8" s="72" t="b">
        <v>0</v>
      </c>
      <c r="B8">
        <f>IF(A8="","",A8+MAX(B$2:B7))</f>
        <v>0</v>
      </c>
      <c r="C8" t="s">
        <v>110</v>
      </c>
      <c r="D8" t="s">
        <v>88</v>
      </c>
      <c r="E8" s="48">
        <v>46706</v>
      </c>
      <c r="F8" s="38">
        <v>1.1252566735112937</v>
      </c>
      <c r="G8" t="s">
        <v>41</v>
      </c>
      <c r="H8" s="56">
        <v>3.5535728667876715E-2</v>
      </c>
      <c r="I8" s="49">
        <v>1.08</v>
      </c>
      <c r="J8" s="49">
        <v>3.8378586961306853E-2</v>
      </c>
      <c r="K8" s="49">
        <v>2.25</v>
      </c>
      <c r="L8" s="49">
        <v>4.68</v>
      </c>
      <c r="M8" s="49">
        <v>97.375</v>
      </c>
      <c r="N8" t="s">
        <v>10</v>
      </c>
      <c r="O8" s="58">
        <v>100000</v>
      </c>
      <c r="P8" s="58">
        <v>97375</v>
      </c>
      <c r="Q8" s="66">
        <v>0</v>
      </c>
      <c r="R8" s="62">
        <f t="shared" si="0"/>
        <v>0</v>
      </c>
    </row>
    <row r="9" spans="1:23" x14ac:dyDescent="0.4">
      <c r="A9" s="72" t="b">
        <v>0</v>
      </c>
      <c r="B9">
        <f>IF(A9="","",A9+MAX(B$2:B8))</f>
        <v>0</v>
      </c>
      <c r="C9" t="s">
        <v>111</v>
      </c>
      <c r="D9" t="s">
        <v>88</v>
      </c>
      <c r="E9" s="48">
        <v>47253</v>
      </c>
      <c r="F9" s="38">
        <v>2.622861054072553</v>
      </c>
      <c r="G9" t="s">
        <v>41</v>
      </c>
      <c r="H9" s="56">
        <v>3.5535728667876715E-2</v>
      </c>
      <c r="I9" s="49">
        <v>2.42</v>
      </c>
      <c r="J9" s="49">
        <v>8.5996463376261642E-2</v>
      </c>
      <c r="K9" s="49">
        <v>3.875</v>
      </c>
      <c r="L9" s="49">
        <v>4.95</v>
      </c>
      <c r="M9" s="49">
        <v>97.375</v>
      </c>
      <c r="N9" t="s">
        <v>10</v>
      </c>
      <c r="O9" s="58">
        <v>100000</v>
      </c>
      <c r="P9" s="58">
        <v>97375</v>
      </c>
      <c r="Q9" s="66">
        <v>0</v>
      </c>
      <c r="R9" s="62">
        <f t="shared" si="0"/>
        <v>0</v>
      </c>
    </row>
    <row r="10" spans="1:23" x14ac:dyDescent="0.4">
      <c r="A10" s="72" t="b">
        <v>0</v>
      </c>
      <c r="B10">
        <f>IF(A10="","",A10+MAX(B$2:B9))</f>
        <v>0</v>
      </c>
      <c r="C10" t="s">
        <v>112</v>
      </c>
      <c r="D10" t="s">
        <v>88</v>
      </c>
      <c r="E10" s="48">
        <v>46919</v>
      </c>
      <c r="F10" s="38">
        <v>1.7084188911704312</v>
      </c>
      <c r="G10" t="s">
        <v>41</v>
      </c>
      <c r="H10" s="56">
        <v>3.5922048659182929E-2</v>
      </c>
      <c r="I10" s="49">
        <v>1.61</v>
      </c>
      <c r="J10" s="49">
        <v>5.783449834128452E-2</v>
      </c>
      <c r="K10" s="49">
        <v>3.875</v>
      </c>
      <c r="L10" s="49">
        <v>4.84</v>
      </c>
      <c r="M10" s="49">
        <v>98.433593999999999</v>
      </c>
      <c r="N10" t="s">
        <v>10</v>
      </c>
      <c r="O10" s="58">
        <v>100000</v>
      </c>
      <c r="P10" s="58">
        <v>98433.593999999997</v>
      </c>
      <c r="Q10" s="66">
        <v>0</v>
      </c>
      <c r="R10" s="62">
        <f t="shared" si="0"/>
        <v>0</v>
      </c>
    </row>
    <row r="11" spans="1:23" x14ac:dyDescent="0.4">
      <c r="A11" s="72" t="b">
        <v>0</v>
      </c>
      <c r="B11">
        <f>IF(A11="","",A11+MAX(B$2:B10))</f>
        <v>0</v>
      </c>
      <c r="C11" t="s">
        <v>96</v>
      </c>
      <c r="D11" t="s">
        <v>88</v>
      </c>
      <c r="E11" s="48">
        <v>46934</v>
      </c>
      <c r="F11" s="38">
        <v>1.7494866529774127</v>
      </c>
      <c r="G11" t="s">
        <v>41</v>
      </c>
      <c r="H11" s="56">
        <v>3.6056048737256062E-2</v>
      </c>
      <c r="I11" s="49">
        <v>1.65</v>
      </c>
      <c r="J11" s="49">
        <v>5.9492480416472496E-2</v>
      </c>
      <c r="K11" s="49">
        <v>4.125</v>
      </c>
      <c r="L11" s="49">
        <v>4.8499999999999996</v>
      </c>
      <c r="M11" s="49">
        <v>98.800781000000001</v>
      </c>
      <c r="N11" t="s">
        <v>10</v>
      </c>
      <c r="O11" s="58">
        <v>100000</v>
      </c>
      <c r="P11" s="58">
        <v>98800.781000000003</v>
      </c>
      <c r="Q11" s="66">
        <v>0</v>
      </c>
      <c r="R11" s="62">
        <f t="shared" si="0"/>
        <v>0</v>
      </c>
    </row>
    <row r="12" spans="1:23" x14ac:dyDescent="0.4">
      <c r="A12" s="72" t="b">
        <v>0</v>
      </c>
      <c r="B12">
        <f>IF(A12="","",A12+MAX(B$2:B11))</f>
        <v>0</v>
      </c>
      <c r="C12" t="s">
        <v>113</v>
      </c>
      <c r="D12" t="s">
        <v>88</v>
      </c>
      <c r="E12" s="48">
        <v>46721</v>
      </c>
      <c r="F12" s="38">
        <v>1.1663244353182751</v>
      </c>
      <c r="G12" t="s">
        <v>41</v>
      </c>
      <c r="H12" s="56">
        <v>3.5954836048209232E-2</v>
      </c>
      <c r="I12" s="49">
        <v>1.1100000000000001</v>
      </c>
      <c r="J12" s="49">
        <v>3.9909868013512248E-2</v>
      </c>
      <c r="K12" s="49">
        <v>3.375</v>
      </c>
      <c r="L12" s="49">
        <v>4.6900000000000004</v>
      </c>
      <c r="M12" s="49">
        <v>98.523437999999999</v>
      </c>
      <c r="N12" t="s">
        <v>10</v>
      </c>
      <c r="O12" s="58">
        <v>100000</v>
      </c>
      <c r="P12" s="58">
        <v>98523.437999999995</v>
      </c>
      <c r="Q12" s="66">
        <v>0</v>
      </c>
      <c r="R12" s="62">
        <f t="shared" si="0"/>
        <v>0</v>
      </c>
    </row>
    <row r="13" spans="1:23" x14ac:dyDescent="0.4">
      <c r="A13" s="72" t="b">
        <v>0</v>
      </c>
      <c r="B13">
        <f>IF(A13="","",A13+MAX(B$2:B12))</f>
        <v>0</v>
      </c>
      <c r="C13" t="s">
        <v>114</v>
      </c>
      <c r="D13" t="s">
        <v>88</v>
      </c>
      <c r="E13" s="48">
        <v>46783</v>
      </c>
      <c r="F13" s="38">
        <v>1.3360711841204653</v>
      </c>
      <c r="G13" t="s">
        <v>41</v>
      </c>
      <c r="H13" s="56">
        <v>3.5909218938237633E-2</v>
      </c>
      <c r="I13" s="49">
        <v>1.28</v>
      </c>
      <c r="J13" s="49">
        <v>4.5963800240944173E-2</v>
      </c>
      <c r="K13" s="49">
        <v>3.5</v>
      </c>
      <c r="L13" s="49">
        <v>4.75</v>
      </c>
      <c r="M13" s="49">
        <v>98.398437999999999</v>
      </c>
      <c r="N13" t="s">
        <v>10</v>
      </c>
      <c r="O13" s="58">
        <v>100000</v>
      </c>
      <c r="P13" s="58">
        <v>98398.437999999995</v>
      </c>
      <c r="Q13" s="66">
        <v>0</v>
      </c>
      <c r="R13" s="62">
        <f t="shared" si="0"/>
        <v>0</v>
      </c>
    </row>
    <row r="14" spans="1:23" x14ac:dyDescent="0.4">
      <c r="A14" s="72" t="b">
        <v>0</v>
      </c>
      <c r="B14">
        <f>IF(A14="","",A14+MAX(B$2:B13))</f>
        <v>0</v>
      </c>
      <c r="C14" t="s">
        <v>102</v>
      </c>
      <c r="D14" t="s">
        <v>88</v>
      </c>
      <c r="E14" s="48">
        <v>46812</v>
      </c>
      <c r="F14" s="38">
        <v>1.4154688569472964</v>
      </c>
      <c r="G14" t="s">
        <v>41</v>
      </c>
      <c r="H14" s="56">
        <v>3.6115921376562228E-2</v>
      </c>
      <c r="I14" s="49">
        <v>1.35</v>
      </c>
      <c r="J14" s="49">
        <v>4.8756493858359014E-2</v>
      </c>
      <c r="K14" s="49">
        <v>4</v>
      </c>
      <c r="L14" s="49">
        <v>4.76</v>
      </c>
      <c r="M14" s="49">
        <v>98.964843999999999</v>
      </c>
      <c r="N14" t="s">
        <v>10</v>
      </c>
      <c r="O14" s="58">
        <v>100000</v>
      </c>
      <c r="P14" s="58">
        <v>98964.843999999997</v>
      </c>
      <c r="Q14" s="66">
        <v>0</v>
      </c>
      <c r="R14" s="62">
        <f t="shared" si="0"/>
        <v>0</v>
      </c>
    </row>
    <row r="15" spans="1:23" x14ac:dyDescent="0.4">
      <c r="A15" s="72" t="b">
        <v>0</v>
      </c>
      <c r="B15">
        <f>IF(A15="","",A15+MAX(B$2:B14))</f>
        <v>0</v>
      </c>
      <c r="C15" t="s">
        <v>95</v>
      </c>
      <c r="D15" t="s">
        <v>88</v>
      </c>
      <c r="E15" s="48">
        <v>46691</v>
      </c>
      <c r="F15" s="38">
        <v>1.0841889117043122</v>
      </c>
      <c r="G15" t="s">
        <v>41</v>
      </c>
      <c r="H15" s="56">
        <v>3.4914195544513658E-2</v>
      </c>
      <c r="I15" s="49">
        <v>1.05</v>
      </c>
      <c r="J15" s="49">
        <v>3.6659905321739343E-2</v>
      </c>
      <c r="K15" s="49">
        <v>0.5</v>
      </c>
      <c r="L15" s="49">
        <v>4.6500000000000004</v>
      </c>
      <c r="M15" s="49">
        <v>95.671875</v>
      </c>
      <c r="N15" t="s">
        <v>10</v>
      </c>
      <c r="O15" s="58">
        <v>100000</v>
      </c>
      <c r="P15" s="58">
        <v>95671.875</v>
      </c>
      <c r="Q15" s="66">
        <v>0</v>
      </c>
      <c r="R15" s="62">
        <f t="shared" si="0"/>
        <v>0</v>
      </c>
    </row>
    <row r="16" spans="1:23" x14ac:dyDescent="0.4">
      <c r="A16" s="72" t="b">
        <v>0</v>
      </c>
      <c r="B16">
        <f>IF(A16="","",A16+MAX(B$2:B15))</f>
        <v>0</v>
      </c>
      <c r="C16" t="s">
        <v>104</v>
      </c>
      <c r="D16" t="s">
        <v>88</v>
      </c>
      <c r="E16" s="48">
        <v>46996</v>
      </c>
      <c r="F16" s="38">
        <v>1.9192334017796031</v>
      </c>
      <c r="G16" t="s">
        <v>41</v>
      </c>
      <c r="H16" s="56">
        <v>3.6007580740379679E-2</v>
      </c>
      <c r="I16" s="49">
        <v>1.82</v>
      </c>
      <c r="J16" s="49">
        <v>6.5533796947491021E-2</v>
      </c>
      <c r="K16" s="49">
        <v>4.125</v>
      </c>
      <c r="L16" s="49">
        <v>4.8600000000000003</v>
      </c>
      <c r="M16" s="49">
        <v>98.667968999999999</v>
      </c>
      <c r="N16" t="s">
        <v>10</v>
      </c>
      <c r="O16" s="58">
        <v>100000</v>
      </c>
      <c r="P16" s="58">
        <v>98667.968999999997</v>
      </c>
      <c r="Q16" s="66">
        <v>0</v>
      </c>
      <c r="R16" s="62">
        <f t="shared" si="0"/>
        <v>0</v>
      </c>
    </row>
    <row r="17" spans="1:18" x14ac:dyDescent="0.4">
      <c r="A17" s="72" t="b">
        <v>0</v>
      </c>
      <c r="B17">
        <f>IF(A17="","",A17+MAX(B$2:B16))</f>
        <v>0</v>
      </c>
      <c r="C17" t="s">
        <v>105</v>
      </c>
      <c r="D17" t="s">
        <v>58</v>
      </c>
      <c r="E17" s="48">
        <v>47218</v>
      </c>
      <c r="F17" s="38">
        <v>2.5270362765229293</v>
      </c>
      <c r="G17" t="s">
        <v>59</v>
      </c>
      <c r="H17" s="56">
        <v>3.5522694582278747E-2</v>
      </c>
      <c r="I17" s="49">
        <v>2.2999999999999998</v>
      </c>
      <c r="J17" s="49">
        <v>8.1702197539241114E-2</v>
      </c>
      <c r="K17" s="49">
        <v>4.5549999999999997</v>
      </c>
      <c r="L17" s="49">
        <v>5.46</v>
      </c>
      <c r="M17" s="49">
        <v>97.339284000000006</v>
      </c>
      <c r="N17" t="s">
        <v>10</v>
      </c>
      <c r="O17" s="58">
        <v>100000</v>
      </c>
      <c r="P17" s="58">
        <v>97339.284</v>
      </c>
      <c r="Q17" s="66">
        <v>0</v>
      </c>
      <c r="R17" s="62">
        <f t="shared" si="0"/>
        <v>0</v>
      </c>
    </row>
    <row r="18" spans="1:18" x14ac:dyDescent="0.4">
      <c r="A18" s="72" t="b">
        <v>0</v>
      </c>
      <c r="B18">
        <f>IF(A18="","",A18+MAX(B$2:B17))</f>
        <v>0</v>
      </c>
      <c r="C18" t="s">
        <v>115</v>
      </c>
      <c r="D18" t="s">
        <v>58</v>
      </c>
      <c r="E18" s="48">
        <v>47141</v>
      </c>
      <c r="F18" s="38">
        <v>2.3162217659137578</v>
      </c>
      <c r="G18" t="s">
        <v>59</v>
      </c>
      <c r="H18" s="56">
        <v>3.5558812020332987E-2</v>
      </c>
      <c r="I18" s="49">
        <v>2.15</v>
      </c>
      <c r="J18" s="49">
        <v>7.6451445843715923E-2</v>
      </c>
      <c r="K18" s="49">
        <v>4.431</v>
      </c>
      <c r="L18" s="49">
        <v>5.73</v>
      </c>
      <c r="M18" s="49">
        <v>97.438253000000003</v>
      </c>
      <c r="N18" t="s">
        <v>10</v>
      </c>
      <c r="O18" s="58">
        <v>100000</v>
      </c>
      <c r="P18" s="58">
        <v>97438.253000000012</v>
      </c>
      <c r="Q18" s="66">
        <v>0</v>
      </c>
      <c r="R18" s="62">
        <f t="shared" si="0"/>
        <v>0</v>
      </c>
    </row>
    <row r="19" spans="1:18" x14ac:dyDescent="0.4">
      <c r="A19" s="72" t="b">
        <v>0</v>
      </c>
      <c r="B19">
        <f>IF(A19="","",A19+MAX(B$2:B18))</f>
        <v>0</v>
      </c>
      <c r="C19" t="s">
        <v>89</v>
      </c>
      <c r="D19" t="s">
        <v>58</v>
      </c>
      <c r="E19" s="48">
        <v>46661</v>
      </c>
      <c r="F19" s="38">
        <v>1.0020533880903491</v>
      </c>
      <c r="G19" t="s">
        <v>59</v>
      </c>
      <c r="H19" s="56">
        <v>3.6306328653331207E-2</v>
      </c>
      <c r="I19" s="49">
        <v>0.97</v>
      </c>
      <c r="J19" s="49">
        <v>3.521713879373127E-2</v>
      </c>
      <c r="K19" s="49">
        <v>4.25</v>
      </c>
      <c r="L19" s="49">
        <v>4.78</v>
      </c>
      <c r="M19" s="49">
        <v>99.486598000000001</v>
      </c>
      <c r="N19" t="s">
        <v>10</v>
      </c>
      <c r="O19" s="58">
        <v>100000</v>
      </c>
      <c r="P19" s="58">
        <v>99486.597999999998</v>
      </c>
      <c r="Q19" s="66">
        <v>0</v>
      </c>
      <c r="R19" s="62">
        <f t="shared" si="0"/>
        <v>0</v>
      </c>
    </row>
    <row r="20" spans="1:18" x14ac:dyDescent="0.4">
      <c r="A20" s="72" t="b">
        <v>0</v>
      </c>
      <c r="B20">
        <f>IF(A20="","",A20+MAX(B$2:B19))</f>
        <v>0</v>
      </c>
      <c r="C20" t="s">
        <v>116</v>
      </c>
      <c r="D20" t="s">
        <v>58</v>
      </c>
      <c r="E20" s="48">
        <v>46775</v>
      </c>
      <c r="F20" s="38">
        <v>1.3141683778234086</v>
      </c>
      <c r="G20" t="s">
        <v>40</v>
      </c>
      <c r="H20" s="56">
        <v>3.5688336512512589E-2</v>
      </c>
      <c r="I20" s="49">
        <v>1.25</v>
      </c>
      <c r="J20" s="49">
        <v>4.4610420640640733E-2</v>
      </c>
      <c r="K20" s="49">
        <v>3.5089999999999999</v>
      </c>
      <c r="L20" s="49">
        <v>5.42</v>
      </c>
      <c r="M20" s="49">
        <v>97.793176000000003</v>
      </c>
      <c r="N20" t="s">
        <v>10</v>
      </c>
      <c r="O20" s="58">
        <v>100000</v>
      </c>
      <c r="P20" s="58">
        <v>97793.176000000007</v>
      </c>
      <c r="Q20" s="66">
        <v>0</v>
      </c>
      <c r="R20" s="62">
        <f t="shared" si="0"/>
        <v>0</v>
      </c>
    </row>
    <row r="21" spans="1:18" x14ac:dyDescent="0.4">
      <c r="A21" s="72" t="b">
        <v>0</v>
      </c>
      <c r="B21">
        <f>IF(A21="","",A21+MAX(B$2:B20))</f>
        <v>0</v>
      </c>
      <c r="C21" t="s">
        <v>117</v>
      </c>
      <c r="D21" t="s">
        <v>58</v>
      </c>
      <c r="E21" s="48">
        <v>46957</v>
      </c>
      <c r="F21" s="38">
        <v>1.8124572210814511</v>
      </c>
      <c r="G21" t="s">
        <v>40</v>
      </c>
      <c r="H21" s="56">
        <v>3.5778712035977683E-2</v>
      </c>
      <c r="I21" s="49">
        <v>1.7</v>
      </c>
      <c r="J21" s="49">
        <v>6.0823810461162059E-2</v>
      </c>
      <c r="K21" s="49">
        <v>4.2709999999999999</v>
      </c>
      <c r="L21" s="49">
        <v>5.55</v>
      </c>
      <c r="M21" s="49">
        <v>98.040823000000003</v>
      </c>
      <c r="N21" t="s">
        <v>10</v>
      </c>
      <c r="O21" s="58">
        <v>100000</v>
      </c>
      <c r="P21" s="58">
        <v>98040.823000000004</v>
      </c>
      <c r="Q21" s="66">
        <v>0</v>
      </c>
      <c r="R21" s="62">
        <f t="shared" si="0"/>
        <v>0</v>
      </c>
    </row>
    <row r="22" spans="1:18" x14ac:dyDescent="0.4">
      <c r="A22" s="72" t="b">
        <v>0</v>
      </c>
      <c r="B22">
        <f>IF(A22="","",A22+MAX(B$2:B21))</f>
        <v>0</v>
      </c>
      <c r="C22" t="s">
        <v>97</v>
      </c>
      <c r="D22" t="s">
        <v>58</v>
      </c>
      <c r="E22" s="48">
        <v>47156</v>
      </c>
      <c r="F22" s="38">
        <v>2.3572895277207393</v>
      </c>
      <c r="G22" t="s">
        <v>40</v>
      </c>
      <c r="H22" s="56">
        <v>3.5225108993289303E-2</v>
      </c>
      <c r="I22" s="49">
        <v>2.2000000000000002</v>
      </c>
      <c r="J22" s="49">
        <v>7.7495239785236467E-2</v>
      </c>
      <c r="K22" s="49">
        <v>3.9740000000000002</v>
      </c>
      <c r="L22" s="49">
        <v>5.65</v>
      </c>
      <c r="M22" s="49">
        <v>96.523840000000007</v>
      </c>
      <c r="N22" t="s">
        <v>10</v>
      </c>
      <c r="O22" s="58">
        <v>100000</v>
      </c>
      <c r="P22" s="58">
        <v>96523.840000000011</v>
      </c>
      <c r="Q22" s="66">
        <v>0</v>
      </c>
      <c r="R22" s="62">
        <f t="shared" si="0"/>
        <v>0</v>
      </c>
    </row>
    <row r="23" spans="1:18" x14ac:dyDescent="0.4">
      <c r="A23" s="72" t="b">
        <v>0</v>
      </c>
      <c r="B23">
        <f>IF(A23="","",A23+MAX(B$2:B22))</f>
        <v>0</v>
      </c>
      <c r="C23" t="s">
        <v>98</v>
      </c>
      <c r="D23" t="s">
        <v>90</v>
      </c>
      <c r="E23" s="48">
        <v>47042</v>
      </c>
      <c r="F23" s="38">
        <v>2.0451745379876796</v>
      </c>
      <c r="G23" t="s">
        <v>91</v>
      </c>
      <c r="H23" s="56">
        <v>3.6204519657422829E-2</v>
      </c>
      <c r="I23" s="49">
        <v>1.89</v>
      </c>
      <c r="J23" s="49">
        <v>6.8426542152529149E-2</v>
      </c>
      <c r="K23" s="49">
        <v>4.5</v>
      </c>
      <c r="L23" s="49">
        <v>4.91</v>
      </c>
      <c r="M23" s="49">
        <v>99.207621000000003</v>
      </c>
      <c r="N23" t="s">
        <v>92</v>
      </c>
      <c r="O23" s="58">
        <v>100000</v>
      </c>
      <c r="P23" s="58">
        <v>99207.620999999999</v>
      </c>
      <c r="Q23" s="66">
        <v>0</v>
      </c>
      <c r="R23" s="62">
        <f t="shared" si="0"/>
        <v>0</v>
      </c>
    </row>
    <row r="24" spans="1:18" x14ac:dyDescent="0.4">
      <c r="A24" s="72" t="b">
        <v>0</v>
      </c>
      <c r="B24">
        <f>IF(A24="","",A24+MAX(B$2:B23))</f>
        <v>0</v>
      </c>
      <c r="C24" t="s">
        <v>99</v>
      </c>
      <c r="D24" t="s">
        <v>90</v>
      </c>
      <c r="E24" s="48">
        <v>46919</v>
      </c>
      <c r="F24" s="38">
        <v>1.7084188911704312</v>
      </c>
      <c r="G24" t="s">
        <v>91</v>
      </c>
      <c r="H24" s="56">
        <v>3.589744935892808E-2</v>
      </c>
      <c r="I24" s="49">
        <v>1.61</v>
      </c>
      <c r="J24" s="49">
        <v>5.7794893467874212E-2</v>
      </c>
      <c r="K24" s="49">
        <v>3.875</v>
      </c>
      <c r="L24" s="49">
        <v>4.88</v>
      </c>
      <c r="M24" s="49">
        <v>98.366186999999996</v>
      </c>
      <c r="N24" t="s">
        <v>92</v>
      </c>
      <c r="O24" s="58">
        <v>100000</v>
      </c>
      <c r="P24" s="58">
        <v>98366.186999999991</v>
      </c>
      <c r="Q24" s="66">
        <v>0</v>
      </c>
      <c r="R24" s="62">
        <f t="shared" si="0"/>
        <v>0</v>
      </c>
    </row>
    <row r="25" spans="1:18" x14ac:dyDescent="0.4">
      <c r="A25" s="72" t="b">
        <v>0</v>
      </c>
      <c r="B25">
        <f>IF(A25="","",A25+MAX(B$2:B24))</f>
        <v>0</v>
      </c>
      <c r="C25" t="s">
        <v>100</v>
      </c>
      <c r="D25" t="s">
        <v>90</v>
      </c>
      <c r="E25" s="48">
        <v>46966</v>
      </c>
      <c r="F25" s="38">
        <v>1.83709787816564</v>
      </c>
      <c r="G25" t="s">
        <v>91</v>
      </c>
      <c r="H25" s="56">
        <v>3.6317667972059507E-2</v>
      </c>
      <c r="I25" s="49">
        <v>1.73</v>
      </c>
      <c r="J25" s="49">
        <v>6.2829565591662945E-2</v>
      </c>
      <c r="K25" s="49">
        <v>4.625</v>
      </c>
      <c r="L25" s="49">
        <v>4.9000000000000004</v>
      </c>
      <c r="M25" s="49">
        <v>99.517669999999995</v>
      </c>
      <c r="N25" t="s">
        <v>92</v>
      </c>
      <c r="O25" s="58">
        <v>100000</v>
      </c>
      <c r="P25" s="58">
        <v>99517.67</v>
      </c>
      <c r="Q25" s="66">
        <v>0</v>
      </c>
      <c r="R25" s="62">
        <f t="shared" si="0"/>
        <v>0</v>
      </c>
    </row>
    <row r="26" spans="1:18" x14ac:dyDescent="0.4">
      <c r="A26" s="72" t="b">
        <v>0</v>
      </c>
      <c r="B26">
        <f>IF(A26="","",A26+MAX(B$2:B25))</f>
        <v>0</v>
      </c>
      <c r="C26" t="s">
        <v>118</v>
      </c>
      <c r="D26" t="s">
        <v>58</v>
      </c>
      <c r="E26" s="48">
        <v>46907</v>
      </c>
      <c r="F26" s="38">
        <v>1.675564681724846</v>
      </c>
      <c r="G26" t="s">
        <v>59</v>
      </c>
      <c r="H26" s="56">
        <v>3.6183852187110656E-2</v>
      </c>
      <c r="I26" s="49">
        <v>1.57</v>
      </c>
      <c r="J26" s="49">
        <v>5.680864793376373E-2</v>
      </c>
      <c r="K26" s="49">
        <v>4.6500000000000004</v>
      </c>
      <c r="L26" s="49">
        <v>5.18</v>
      </c>
      <c r="M26" s="49">
        <v>99.150987999999998</v>
      </c>
      <c r="N26" t="s">
        <v>10</v>
      </c>
      <c r="O26" s="58">
        <v>100000</v>
      </c>
      <c r="P26" s="58">
        <v>99150.987999999998</v>
      </c>
      <c r="Q26" s="66">
        <v>0</v>
      </c>
      <c r="R26" s="62">
        <f t="shared" si="0"/>
        <v>0</v>
      </c>
    </row>
    <row r="27" spans="1:18" x14ac:dyDescent="0.4">
      <c r="A27" s="72" t="b">
        <v>0</v>
      </c>
      <c r="B27">
        <f>IF(A27="","",A27+MAX(B$2:B26))</f>
        <v>0</v>
      </c>
      <c r="C27" t="s">
        <v>119</v>
      </c>
      <c r="D27" t="s">
        <v>58</v>
      </c>
      <c r="E27" s="48">
        <v>47190</v>
      </c>
      <c r="F27" s="38">
        <v>2.4503764544832305</v>
      </c>
      <c r="G27" t="s">
        <v>93</v>
      </c>
      <c r="H27" s="56">
        <v>3.5443787565197393E-2</v>
      </c>
      <c r="I27" s="49">
        <v>2.29</v>
      </c>
      <c r="J27" s="49">
        <v>8.1166273524302029E-2</v>
      </c>
      <c r="K27" s="49">
        <v>4</v>
      </c>
      <c r="L27" s="49">
        <v>5.26</v>
      </c>
      <c r="M27" s="49">
        <v>97.123063000000002</v>
      </c>
      <c r="N27" t="s">
        <v>10</v>
      </c>
      <c r="O27" s="58">
        <v>100000</v>
      </c>
      <c r="P27" s="58">
        <v>97123.062999999995</v>
      </c>
      <c r="Q27" s="66">
        <v>0</v>
      </c>
      <c r="R27" s="62">
        <f t="shared" si="0"/>
        <v>0</v>
      </c>
    </row>
    <row r="28" spans="1:18" x14ac:dyDescent="0.4">
      <c r="A28" s="72" t="b">
        <v>0</v>
      </c>
      <c r="B28">
        <f>IF(A28="","",A28+MAX(B$2:B27))</f>
        <v>0</v>
      </c>
      <c r="C28" t="s">
        <v>120</v>
      </c>
      <c r="D28" t="s">
        <v>58</v>
      </c>
      <c r="E28" s="48">
        <v>47157</v>
      </c>
      <c r="F28" s="38">
        <v>2.3600273785078714</v>
      </c>
      <c r="G28" t="s">
        <v>59</v>
      </c>
      <c r="H28" s="56">
        <v>3.6353415729054532E-2</v>
      </c>
      <c r="I28" s="49">
        <v>2.17</v>
      </c>
      <c r="J28" s="49">
        <v>7.8886912132048334E-2</v>
      </c>
      <c r="K28" s="49">
        <v>5.4279999999999999</v>
      </c>
      <c r="L28" s="49">
        <v>5.51</v>
      </c>
      <c r="M28" s="49">
        <v>99.615626000000006</v>
      </c>
      <c r="N28" t="s">
        <v>61</v>
      </c>
      <c r="O28" s="58">
        <v>100000</v>
      </c>
      <c r="P28" s="58">
        <v>99615.626000000004</v>
      </c>
      <c r="Q28" s="66">
        <v>0</v>
      </c>
      <c r="R28" s="62">
        <f t="shared" si="0"/>
        <v>0</v>
      </c>
    </row>
    <row r="29" spans="1:18" x14ac:dyDescent="0.4">
      <c r="A29" s="72" t="b">
        <v>0</v>
      </c>
      <c r="B29">
        <f>IF(A29="","",A29+MAX(B$2:B28))</f>
        <v>0</v>
      </c>
      <c r="C29" t="s">
        <v>121</v>
      </c>
      <c r="D29" t="s">
        <v>58</v>
      </c>
      <c r="E29" s="48">
        <v>47190</v>
      </c>
      <c r="F29" s="38">
        <v>2.4503764544832305</v>
      </c>
      <c r="G29" t="s">
        <v>40</v>
      </c>
      <c r="H29" s="56">
        <v>3.5485647285054857E-2</v>
      </c>
      <c r="I29" s="49">
        <v>2.29</v>
      </c>
      <c r="J29" s="49">
        <v>8.1262132282775623E-2</v>
      </c>
      <c r="K29" s="49">
        <v>4.05</v>
      </c>
      <c r="L29" s="49">
        <v>5.27</v>
      </c>
      <c r="M29" s="49">
        <v>97.237767000000005</v>
      </c>
      <c r="N29" t="s">
        <v>10</v>
      </c>
      <c r="O29" s="58">
        <v>100000</v>
      </c>
      <c r="P29" s="58">
        <v>97237.767000000007</v>
      </c>
      <c r="Q29" s="66">
        <v>0</v>
      </c>
      <c r="R29" s="62">
        <f t="shared" si="0"/>
        <v>0</v>
      </c>
    </row>
    <row r="30" spans="1:18" x14ac:dyDescent="0.4">
      <c r="A30" s="72" t="b">
        <v>0</v>
      </c>
      <c r="B30">
        <f>IF(A30="","",A30+MAX(B$2:B29))</f>
        <v>0</v>
      </c>
      <c r="C30" t="s">
        <v>94</v>
      </c>
      <c r="D30" t="s">
        <v>58</v>
      </c>
      <c r="E30" s="48">
        <v>47063</v>
      </c>
      <c r="F30" s="38">
        <v>2.1026694045174539</v>
      </c>
      <c r="G30" t="s">
        <v>40</v>
      </c>
      <c r="H30" s="56">
        <v>3.5633953618688839E-2</v>
      </c>
      <c r="I30" s="49">
        <v>1.95</v>
      </c>
      <c r="J30" s="49">
        <v>6.9486209556443232E-2</v>
      </c>
      <c r="K30" s="49">
        <v>4.1740000000000004</v>
      </c>
      <c r="L30" s="49">
        <v>5.37</v>
      </c>
      <c r="M30" s="49">
        <v>97.644155999999995</v>
      </c>
      <c r="N30" t="s">
        <v>42</v>
      </c>
      <c r="O30" s="58">
        <v>100000</v>
      </c>
      <c r="P30" s="58">
        <v>97644.155999999988</v>
      </c>
      <c r="Q30" s="66">
        <v>0</v>
      </c>
      <c r="R30" s="62">
        <f t="shared" si="0"/>
        <v>0</v>
      </c>
    </row>
    <row r="31" spans="1:18" x14ac:dyDescent="0.4">
      <c r="A31" s="71"/>
      <c r="B31" t="str">
        <f>IF(A31="","",A31+MAX(B$2:B30))</f>
        <v/>
      </c>
      <c r="E31" s="48"/>
      <c r="F31" s="38"/>
      <c r="H31" s="56"/>
      <c r="J31" s="49"/>
      <c r="Q31" s="66"/>
    </row>
    <row r="32" spans="1:18" x14ac:dyDescent="0.4">
      <c r="A32" s="71"/>
      <c r="B32" t="str">
        <f>IF(A32="","",A32+MAX(B$2:B31))</f>
        <v/>
      </c>
      <c r="C32" s="55" t="s">
        <v>101</v>
      </c>
      <c r="E32" s="48"/>
      <c r="F32" s="38"/>
      <c r="H32" s="56"/>
      <c r="J32" s="49"/>
      <c r="Q32" s="66"/>
    </row>
    <row r="33" spans="1:18" x14ac:dyDescent="0.4">
      <c r="A33" s="72" t="b">
        <v>0</v>
      </c>
      <c r="B33">
        <f>IF(A33="","",A33+MAX(B$2:B32))</f>
        <v>0</v>
      </c>
      <c r="C33" t="s">
        <v>72</v>
      </c>
      <c r="E33" s="48"/>
      <c r="F33" s="38"/>
      <c r="G33" t="s">
        <v>75</v>
      </c>
      <c r="H33" s="56">
        <v>0</v>
      </c>
      <c r="I33" s="49">
        <v>2.7109999999999999</v>
      </c>
      <c r="J33" s="49">
        <v>0</v>
      </c>
      <c r="K33" s="49">
        <v>5.2359999999999998</v>
      </c>
      <c r="L33" s="49">
        <v>6.6289999999999996</v>
      </c>
      <c r="M33" s="49">
        <v>96.292271999999997</v>
      </c>
      <c r="N33" t="s">
        <v>74</v>
      </c>
      <c r="O33" s="58">
        <v>0</v>
      </c>
      <c r="P33" s="58">
        <v>0</v>
      </c>
      <c r="Q33" s="66">
        <v>0</v>
      </c>
      <c r="R33" s="62"/>
    </row>
    <row r="34" spans="1:18" x14ac:dyDescent="0.4">
      <c r="A34" s="72" t="b">
        <v>0</v>
      </c>
      <c r="B34">
        <f>IF(A34="","",A34+MAX(B$2:B33))</f>
        <v>0</v>
      </c>
      <c r="C34" t="s">
        <v>73</v>
      </c>
      <c r="E34" s="48"/>
      <c r="F34" s="38"/>
      <c r="G34" t="s">
        <v>41</v>
      </c>
      <c r="H34" s="56">
        <v>0</v>
      </c>
      <c r="I34" s="49">
        <v>2.5049999999999999</v>
      </c>
      <c r="J34" s="49">
        <v>0</v>
      </c>
      <c r="K34" s="49">
        <v>3.2610000000000001</v>
      </c>
      <c r="L34" s="49">
        <v>4.9180000000000001</v>
      </c>
      <c r="M34" s="49">
        <v>95.723067999999998</v>
      </c>
      <c r="N34" t="s">
        <v>10</v>
      </c>
      <c r="O34" s="58">
        <v>0</v>
      </c>
      <c r="P34" s="58">
        <v>0</v>
      </c>
      <c r="Q34" s="66">
        <v>0</v>
      </c>
    </row>
    <row r="35" spans="1:18" x14ac:dyDescent="0.4">
      <c r="B35" t="str">
        <f>IF(A35="","",A35+MAX(B$2:B34))</f>
        <v/>
      </c>
      <c r="D35" s="54"/>
      <c r="E35" s="54"/>
      <c r="F35" s="54"/>
      <c r="G35" t="s">
        <v>76</v>
      </c>
      <c r="H35" s="54"/>
      <c r="I35" s="54"/>
      <c r="J35" s="54"/>
      <c r="K35" s="54"/>
      <c r="L35" s="54"/>
      <c r="M35" s="54"/>
      <c r="N35" s="54"/>
      <c r="O35" s="54"/>
      <c r="P35" s="54"/>
      <c r="Q35" s="63"/>
      <c r="R35" s="63"/>
    </row>
    <row r="36" spans="1:18" x14ac:dyDescent="0.4">
      <c r="B36" t="str">
        <f>IF(A36="","",A36+MAX(B$2:B35))</f>
        <v/>
      </c>
      <c r="E36" s="48"/>
      <c r="F36" s="38"/>
      <c r="H36" s="56"/>
      <c r="I36" s="49"/>
      <c r="J36" s="49"/>
      <c r="K36" s="49"/>
      <c r="L36" s="49"/>
      <c r="M36" s="49"/>
      <c r="O36" s="58"/>
      <c r="P36" s="58"/>
      <c r="R36" s="62"/>
    </row>
    <row r="37" spans="1:18" x14ac:dyDescent="0.4">
      <c r="B37" t="str">
        <f>IF(A37="","",A37+MAX(B$2:B36))</f>
        <v/>
      </c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63"/>
      <c r="R37" s="63"/>
    </row>
    <row r="38" spans="1:18" x14ac:dyDescent="0.4">
      <c r="B38" t="str">
        <f>IF(A38="","",A38+MAX(B$2:B37))</f>
        <v/>
      </c>
      <c r="E38" s="48"/>
      <c r="F38" s="38"/>
      <c r="H38" s="56"/>
      <c r="J38" s="49"/>
    </row>
    <row r="39" spans="1:18" x14ac:dyDescent="0.4">
      <c r="B39" t="str">
        <f>IF(A39="","",A39+MAX(B$2:B38))</f>
        <v/>
      </c>
      <c r="E39" s="48"/>
      <c r="F39" s="38"/>
      <c r="H39" s="56"/>
      <c r="J39" s="49"/>
    </row>
    <row r="40" spans="1:18" x14ac:dyDescent="0.4">
      <c r="B40" t="str">
        <f>IF(A40="","",A40+MAX(B$2:B39))</f>
        <v/>
      </c>
      <c r="E40" s="48"/>
      <c r="F40" s="38"/>
      <c r="H40" s="56"/>
      <c r="J40" s="49"/>
    </row>
    <row r="41" spans="1:18" x14ac:dyDescent="0.4">
      <c r="B41" t="str">
        <f>IF(A41="","",A41+MAX(B$2:B40))</f>
        <v/>
      </c>
      <c r="E41" s="48"/>
      <c r="F41" s="38"/>
      <c r="H41" s="56"/>
      <c r="J41" s="49"/>
    </row>
    <row r="42" spans="1:18" x14ac:dyDescent="0.4">
      <c r="B42" t="str">
        <f>IF(A42="","",A42+MAX(B$2:B41))</f>
        <v/>
      </c>
      <c r="E42" s="48"/>
      <c r="F42" s="38"/>
      <c r="H42" s="56"/>
      <c r="J42" s="49"/>
    </row>
    <row r="43" spans="1:18" x14ac:dyDescent="0.4">
      <c r="B43" t="str">
        <f>IF(A43="","",A43+MAX(B$2:B42))</f>
        <v/>
      </c>
      <c r="E43" s="48"/>
      <c r="F43" s="38"/>
      <c r="H43" s="56"/>
      <c r="J43" s="49"/>
    </row>
    <row r="44" spans="1:18" x14ac:dyDescent="0.4">
      <c r="B44" t="str">
        <f>IF(A44="","",A44+MAX(B$2:B43))</f>
        <v/>
      </c>
      <c r="E44" s="48"/>
      <c r="F44" s="38"/>
      <c r="H44" s="56"/>
      <c r="J44" s="49"/>
    </row>
    <row r="45" spans="1:18" x14ac:dyDescent="0.4">
      <c r="B45" t="str">
        <f>IF(A45="","",A45+MAX(B$2:B44))</f>
        <v/>
      </c>
      <c r="E45" s="48"/>
      <c r="F45" s="38"/>
      <c r="H45" s="56"/>
      <c r="J45" s="49"/>
    </row>
    <row r="46" spans="1:18" x14ac:dyDescent="0.4">
      <c r="B46" t="str">
        <f>IF(A46="","",A46+MAX(B$2:B45))</f>
        <v/>
      </c>
      <c r="E46" s="48"/>
      <c r="F46" s="38"/>
      <c r="H46" s="56"/>
      <c r="J46" s="49"/>
    </row>
    <row r="47" spans="1:18" x14ac:dyDescent="0.4">
      <c r="B47" t="str">
        <f>IF(A47="","",A47+MAX(B$2:B46))</f>
        <v/>
      </c>
      <c r="E47" s="48"/>
      <c r="F47" s="38"/>
      <c r="H47" s="56"/>
      <c r="J47" s="49"/>
    </row>
    <row r="48" spans="1:18" x14ac:dyDescent="0.4">
      <c r="B48" t="str">
        <f>IF(A48="","",A48+MAX(B$2:B47))</f>
        <v/>
      </c>
      <c r="E48" s="48"/>
      <c r="F48" s="38"/>
      <c r="H48" s="56"/>
      <c r="J48" s="49"/>
    </row>
    <row r="49" spans="2:10" x14ac:dyDescent="0.4">
      <c r="B49" t="str">
        <f>IF(A49="","",A49+MAX(B$2:B48))</f>
        <v/>
      </c>
      <c r="E49" s="48"/>
      <c r="F49" s="38"/>
      <c r="H49" s="56"/>
      <c r="J49" s="49"/>
    </row>
    <row r="50" spans="2:10" x14ac:dyDescent="0.4">
      <c r="B50" t="str">
        <f>IF(A50="","",A50+MAX(B$2:B49))</f>
        <v/>
      </c>
      <c r="E50" s="48"/>
      <c r="F50" s="38"/>
      <c r="H50" s="56"/>
      <c r="J50" s="49"/>
    </row>
    <row r="51" spans="2:10" x14ac:dyDescent="0.4">
      <c r="B51" t="str">
        <f>IF(A51="","",A51+MAX(B$2:B50))</f>
        <v/>
      </c>
      <c r="E51" s="48"/>
      <c r="F51" s="38"/>
      <c r="H51" s="56"/>
      <c r="J51" s="49"/>
    </row>
    <row r="52" spans="2:10" x14ac:dyDescent="0.4">
      <c r="B52" t="str">
        <f>IF(A52="","",A52+MAX(B$2:B51))</f>
        <v/>
      </c>
      <c r="E52" s="48"/>
      <c r="F52" s="38"/>
      <c r="H52" s="56"/>
      <c r="J52" s="49"/>
    </row>
    <row r="53" spans="2:10" x14ac:dyDescent="0.4">
      <c r="B53" t="str">
        <f>IF(A53="","",A53+MAX(B$2:B52))</f>
        <v/>
      </c>
      <c r="E53" s="48"/>
      <c r="F53" s="38"/>
      <c r="H53" s="56"/>
      <c r="J53" s="49"/>
    </row>
    <row r="54" spans="2:10" x14ac:dyDescent="0.4">
      <c r="B54" t="str">
        <f>IF(A54="","",A54+MAX(B$2:B53))</f>
        <v/>
      </c>
      <c r="E54" s="48"/>
      <c r="F54" s="38"/>
      <c r="H54" s="56"/>
      <c r="J54" s="49"/>
    </row>
    <row r="55" spans="2:10" x14ac:dyDescent="0.4">
      <c r="B55" t="str">
        <f>IF(A55="","",A55+MAX(B$2:B54))</f>
        <v/>
      </c>
      <c r="E55" s="48"/>
      <c r="F55" s="38"/>
      <c r="H55" s="56"/>
      <c r="J55" s="49"/>
    </row>
    <row r="56" spans="2:10" x14ac:dyDescent="0.4">
      <c r="B56" t="str">
        <f>IF(A56="","",A56+MAX(B$2:B55))</f>
        <v/>
      </c>
      <c r="E56" s="48"/>
      <c r="F56" s="38"/>
      <c r="H56" s="56"/>
      <c r="J56" s="49"/>
    </row>
    <row r="57" spans="2:10" x14ac:dyDescent="0.4">
      <c r="B57" t="str">
        <f>IF(A57="","",A57+MAX(B$2:B56))</f>
        <v/>
      </c>
      <c r="E57" s="48"/>
      <c r="F57" s="38"/>
      <c r="H57" s="56"/>
      <c r="J57" s="49"/>
    </row>
    <row r="58" spans="2:10" x14ac:dyDescent="0.4">
      <c r="B58" t="str">
        <f>IF(A58="","",A58+MAX(B$2:B57))</f>
        <v/>
      </c>
      <c r="E58" s="48"/>
      <c r="F58" s="38"/>
      <c r="H58" s="56"/>
      <c r="J58" s="49"/>
    </row>
    <row r="59" spans="2:10" x14ac:dyDescent="0.4">
      <c r="B59" t="str">
        <f>IF(A59="","",A59+MAX(B$2:B58))</f>
        <v/>
      </c>
      <c r="E59" s="48"/>
      <c r="F59" s="38"/>
      <c r="H59" s="56"/>
      <c r="J59" s="49"/>
    </row>
    <row r="60" spans="2:10" x14ac:dyDescent="0.4">
      <c r="B60" t="str">
        <f>IF(A60="","",A60+MAX(B$2:B59))</f>
        <v/>
      </c>
      <c r="E60" s="48"/>
      <c r="F60" s="38"/>
      <c r="H60" s="56"/>
      <c r="J60" s="49"/>
    </row>
    <row r="61" spans="2:10" x14ac:dyDescent="0.4">
      <c r="B61" t="str">
        <f>IF(A61="","",A61+MAX(B$2:B60))</f>
        <v/>
      </c>
      <c r="E61" s="48"/>
      <c r="F61" s="38"/>
      <c r="H61" s="56"/>
      <c r="J61" s="49"/>
    </row>
    <row r="62" spans="2:10" x14ac:dyDescent="0.4">
      <c r="B62" t="str">
        <f>IF(A62="","",A62+MAX(B$2:B61))</f>
        <v/>
      </c>
      <c r="E62" s="48"/>
      <c r="F62" s="38"/>
      <c r="H62" s="56"/>
      <c r="J62" s="49"/>
    </row>
    <row r="63" spans="2:10" x14ac:dyDescent="0.4">
      <c r="B63" t="str">
        <f>IF(A63="","",A63+MAX(B$2:B62))</f>
        <v/>
      </c>
      <c r="E63" s="48"/>
      <c r="F63" s="38"/>
      <c r="H63" s="56"/>
      <c r="J63" s="49"/>
    </row>
    <row r="64" spans="2:10" x14ac:dyDescent="0.4">
      <c r="B64" t="str">
        <f>IF(A64="","",A64+MAX(B$2:B63))</f>
        <v/>
      </c>
      <c r="E64" s="48"/>
      <c r="F64" s="38"/>
      <c r="H64" s="56"/>
      <c r="J64" s="49"/>
    </row>
    <row r="65" spans="2:10" x14ac:dyDescent="0.4">
      <c r="B65" t="str">
        <f>IF(A65="","",A65+MAX(B$2:B64))</f>
        <v/>
      </c>
      <c r="E65" s="48"/>
      <c r="F65" s="38"/>
      <c r="H65" s="56"/>
      <c r="J65" s="49"/>
    </row>
    <row r="66" spans="2:10" x14ac:dyDescent="0.4">
      <c r="B66" t="str">
        <f>IF(A66="","",A66+MAX(B$2:B65))</f>
        <v/>
      </c>
      <c r="E66" s="48"/>
      <c r="F66" s="38"/>
      <c r="H66" s="56"/>
      <c r="J66" s="49"/>
    </row>
    <row r="67" spans="2:10" x14ac:dyDescent="0.4">
      <c r="B67" t="str">
        <f>IF(A67="","",A67+MAX(B$2:B66))</f>
        <v/>
      </c>
      <c r="E67" s="48"/>
      <c r="F67" s="38"/>
      <c r="H67" s="56"/>
      <c r="J67" s="49"/>
    </row>
    <row r="68" spans="2:10" x14ac:dyDescent="0.4">
      <c r="B68" t="str">
        <f>IF(A68="","",A68+MAX(B$2:B67))</f>
        <v/>
      </c>
      <c r="E68" s="48"/>
      <c r="F68" s="38"/>
      <c r="H68" s="56"/>
      <c r="J68" s="49"/>
    </row>
    <row r="69" spans="2:10" x14ac:dyDescent="0.4">
      <c r="B69" t="str">
        <f>IF(A69="","",A69+MAX(B$2:B68))</f>
        <v/>
      </c>
      <c r="E69" s="48"/>
      <c r="F69" s="38"/>
      <c r="H69" s="56"/>
      <c r="J69" s="49"/>
    </row>
    <row r="70" spans="2:10" x14ac:dyDescent="0.4">
      <c r="B70" t="str">
        <f>IF(A70="","",A70+MAX(B$2:B69))</f>
        <v/>
      </c>
      <c r="E70" s="48"/>
      <c r="F70" s="38"/>
      <c r="H70" s="56"/>
      <c r="J70" s="49"/>
    </row>
    <row r="71" spans="2:10" x14ac:dyDescent="0.4">
      <c r="B71" t="str">
        <f>IF(A71="","",A71+MAX(B$2:B70))</f>
        <v/>
      </c>
      <c r="E71" s="48"/>
      <c r="F71" s="38"/>
      <c r="H71" s="56"/>
      <c r="J71" s="49"/>
    </row>
    <row r="72" spans="2:10" x14ac:dyDescent="0.4">
      <c r="B72" t="str">
        <f>IF(A72="","",A72+MAX(B$2:B71))</f>
        <v/>
      </c>
      <c r="E72" s="48"/>
      <c r="F72" s="38"/>
      <c r="H72" s="56"/>
      <c r="J72" s="49"/>
    </row>
    <row r="73" spans="2:10" x14ac:dyDescent="0.4">
      <c r="B73" t="str">
        <f>IF(A73="","",A73+MAX(B$2:B72))</f>
        <v/>
      </c>
      <c r="E73" s="48"/>
      <c r="F73" s="38"/>
      <c r="H73" s="56"/>
      <c r="J73" s="49"/>
    </row>
    <row r="74" spans="2:10" x14ac:dyDescent="0.4">
      <c r="B74" t="str">
        <f>IF(A74="","",A74+MAX(B$2:B73))</f>
        <v/>
      </c>
      <c r="E74" s="48"/>
      <c r="F74" s="38"/>
      <c r="H74" s="56"/>
      <c r="J74" s="49"/>
    </row>
    <row r="75" spans="2:10" x14ac:dyDescent="0.4">
      <c r="B75" t="str">
        <f>IF(A75="","",A75+MAX(B$2:B74))</f>
        <v/>
      </c>
      <c r="E75" s="48"/>
      <c r="F75" s="38"/>
      <c r="H75" s="56"/>
      <c r="J75" s="49"/>
    </row>
    <row r="76" spans="2:10" x14ac:dyDescent="0.4">
      <c r="B76" t="str">
        <f>IF(A76="","",A76+MAX(B$2:B75))</f>
        <v/>
      </c>
      <c r="E76" s="48"/>
      <c r="F76" s="38"/>
      <c r="H76" s="56"/>
      <c r="J76" s="49"/>
    </row>
    <row r="77" spans="2:10" x14ac:dyDescent="0.4">
      <c r="B77" t="str">
        <f>IF(A77="","",A77+MAX(B$2:B76))</f>
        <v/>
      </c>
      <c r="E77" s="48"/>
      <c r="F77" s="38"/>
      <c r="H77" s="56"/>
      <c r="J77" s="49"/>
    </row>
    <row r="78" spans="2:10" x14ac:dyDescent="0.4">
      <c r="B78" t="str">
        <f>IF(A78="","",A78+MAX(B$2:B77))</f>
        <v/>
      </c>
      <c r="E78" s="48"/>
      <c r="F78" s="38"/>
      <c r="H78" s="56"/>
      <c r="J78" s="49"/>
    </row>
    <row r="79" spans="2:10" x14ac:dyDescent="0.4">
      <c r="B79" t="str">
        <f>IF(A79="","",A79+MAX(B$2:B78))</f>
        <v/>
      </c>
      <c r="E79" s="48"/>
      <c r="F79" s="38"/>
      <c r="H79" s="56"/>
      <c r="J79" s="49"/>
    </row>
    <row r="80" spans="2:10" x14ac:dyDescent="0.4">
      <c r="B80" t="str">
        <f>IF(A80="","",A80+MAX(B$2:B79))</f>
        <v/>
      </c>
      <c r="E80" s="48"/>
      <c r="F80" s="38"/>
      <c r="H80" s="56"/>
      <c r="J80" s="49"/>
    </row>
    <row r="81" spans="2:10" x14ac:dyDescent="0.4">
      <c r="B81" t="str">
        <f>IF(A81="","",A81+MAX(B$2:B80))</f>
        <v/>
      </c>
      <c r="E81" s="48"/>
      <c r="F81" s="38"/>
      <c r="H81" s="56"/>
      <c r="J81" s="49"/>
    </row>
    <row r="82" spans="2:10" x14ac:dyDescent="0.4">
      <c r="B82" t="str">
        <f>IF(A82="","",A82+MAX(B$2:B81))</f>
        <v/>
      </c>
      <c r="E82" s="48"/>
      <c r="F82" s="38"/>
      <c r="H82" s="56"/>
      <c r="J82" s="49"/>
    </row>
    <row r="83" spans="2:10" x14ac:dyDescent="0.4">
      <c r="B83" t="str">
        <f>IF(A83="","",A83+MAX(B$2:B82))</f>
        <v/>
      </c>
      <c r="E83" s="48"/>
      <c r="F83" s="38"/>
      <c r="H83" s="56"/>
      <c r="J83" s="49"/>
    </row>
    <row r="84" spans="2:10" x14ac:dyDescent="0.4">
      <c r="B84" t="str">
        <f>IF(A84="","",A84+MAX(B$2:B83))</f>
        <v/>
      </c>
      <c r="E84" s="48"/>
      <c r="F84" s="38"/>
      <c r="H84" s="56"/>
      <c r="J84" s="49"/>
    </row>
    <row r="85" spans="2:10" x14ac:dyDescent="0.4">
      <c r="B85" t="str">
        <f>IF(A85="","",A85+MAX(B$2:B84))</f>
        <v/>
      </c>
      <c r="E85" s="48"/>
      <c r="F85" s="38"/>
      <c r="H85" s="56"/>
      <c r="J85" s="49"/>
    </row>
    <row r="86" spans="2:10" x14ac:dyDescent="0.4">
      <c r="B86" t="str">
        <f>IF(A86="","",A86+MAX(B$2:B85))</f>
        <v/>
      </c>
      <c r="E86" s="48"/>
      <c r="F86" s="38"/>
      <c r="H86" s="56"/>
      <c r="J86" s="49"/>
    </row>
    <row r="87" spans="2:10" x14ac:dyDescent="0.4">
      <c r="B87" t="str">
        <f>IF(A87="","",A87+MAX(B$2:B86))</f>
        <v/>
      </c>
      <c r="E87" s="48"/>
      <c r="F87" s="38"/>
      <c r="H87" s="56"/>
      <c r="J87" s="49"/>
    </row>
    <row r="88" spans="2:10" x14ac:dyDescent="0.4">
      <c r="B88" t="str">
        <f>IF(A88="","",A88+MAX(B$2:B87))</f>
        <v/>
      </c>
      <c r="E88" s="48"/>
      <c r="F88" s="38"/>
      <c r="H88" s="56"/>
      <c r="J88" s="49"/>
    </row>
    <row r="89" spans="2:10" x14ac:dyDescent="0.4">
      <c r="B89" t="str">
        <f>IF(A89="","",A89+MAX(B$2:B88))</f>
        <v/>
      </c>
      <c r="E89" s="48"/>
      <c r="F89" s="38"/>
      <c r="H89" s="56"/>
      <c r="J89" s="49"/>
    </row>
    <row r="90" spans="2:10" x14ac:dyDescent="0.4">
      <c r="B90" t="str">
        <f>IF(A90="","",A90+MAX(B$2:B89))</f>
        <v/>
      </c>
      <c r="E90" s="48"/>
      <c r="F90" s="38"/>
      <c r="H90" s="56"/>
      <c r="J90" s="49"/>
    </row>
    <row r="91" spans="2:10" x14ac:dyDescent="0.4">
      <c r="B91" t="str">
        <f>IF(A91="","",A91+MAX(B$2:B90))</f>
        <v/>
      </c>
      <c r="E91" s="48"/>
      <c r="F91" s="38"/>
      <c r="H91" s="56"/>
      <c r="J91" s="49"/>
    </row>
    <row r="92" spans="2:10" x14ac:dyDescent="0.4">
      <c r="B92" t="str">
        <f>IF(A92="","",A92+MAX(B$2:B91))</f>
        <v/>
      </c>
      <c r="E92" s="48"/>
      <c r="F92" s="38"/>
      <c r="H92" s="56"/>
      <c r="J92" s="49"/>
    </row>
    <row r="93" spans="2:10" x14ac:dyDescent="0.4">
      <c r="B93" t="str">
        <f>IF(A93="","",A93+MAX(B$2:B92))</f>
        <v/>
      </c>
      <c r="E93" s="48"/>
      <c r="F93" s="38"/>
      <c r="H93" s="56"/>
      <c r="J93" s="49"/>
    </row>
    <row r="94" spans="2:10" x14ac:dyDescent="0.4">
      <c r="B94" t="str">
        <f>IF(A94="","",A94+MAX(B$2:B93))</f>
        <v/>
      </c>
      <c r="E94" s="48"/>
      <c r="F94" s="38"/>
      <c r="H94" s="56"/>
      <c r="J94" s="49"/>
    </row>
    <row r="95" spans="2:10" x14ac:dyDescent="0.4">
      <c r="B95" t="str">
        <f>IF(A95="","",A95+MAX(B$2:B94))</f>
        <v/>
      </c>
      <c r="E95" s="48"/>
      <c r="F95" s="38"/>
      <c r="H95" s="56"/>
      <c r="J95" s="49"/>
    </row>
    <row r="96" spans="2:10" x14ac:dyDescent="0.4">
      <c r="B96" t="str">
        <f>IF(A96="","",A96+MAX(B$2:B95))</f>
        <v/>
      </c>
      <c r="E96" s="48"/>
      <c r="F96" s="38"/>
      <c r="H96" s="56"/>
      <c r="J96" s="49"/>
    </row>
    <row r="97" spans="2:10" x14ac:dyDescent="0.4">
      <c r="B97" t="str">
        <f>IF(A97="","",A97+MAX(B$2:B96))</f>
        <v/>
      </c>
      <c r="E97" s="48"/>
      <c r="F97" s="38"/>
      <c r="H97" s="56"/>
      <c r="J97" s="49"/>
    </row>
    <row r="98" spans="2:10" x14ac:dyDescent="0.4">
      <c r="B98" t="str">
        <f>IF(A98="","",A98+MAX(B$2:B97))</f>
        <v/>
      </c>
      <c r="E98" s="48"/>
      <c r="F98" s="38"/>
      <c r="H98" s="56"/>
      <c r="J98" s="49"/>
    </row>
    <row r="99" spans="2:10" x14ac:dyDescent="0.4">
      <c r="B99" t="str">
        <f>IF(A99="","",A99+MAX(B$2:B98))</f>
        <v/>
      </c>
      <c r="E99" s="48"/>
      <c r="F99" s="38"/>
      <c r="H99" s="56"/>
      <c r="J99" s="49"/>
    </row>
    <row r="100" spans="2:10" x14ac:dyDescent="0.4">
      <c r="B100" t="str">
        <f>IF(A100="","",A100+MAX(B$2:B99))</f>
        <v/>
      </c>
      <c r="E100" s="48"/>
      <c r="F100" s="38"/>
      <c r="H100" s="56"/>
      <c r="J100" s="49"/>
    </row>
    <row r="101" spans="2:10" x14ac:dyDescent="0.4">
      <c r="B101" t="str">
        <f>IF(A101="","",A101+MAX(B$2:B100))</f>
        <v/>
      </c>
      <c r="E101" s="48"/>
      <c r="F101" s="38"/>
      <c r="H101" s="56"/>
      <c r="J101" s="49"/>
    </row>
    <row r="102" spans="2:10" x14ac:dyDescent="0.4">
      <c r="B102" t="str">
        <f>IF(A102="","",A102+MAX(B$2:B101))</f>
        <v/>
      </c>
      <c r="E102" s="48"/>
      <c r="F102" s="38"/>
      <c r="H102" s="56"/>
      <c r="J102" s="49"/>
    </row>
    <row r="103" spans="2:10" x14ac:dyDescent="0.4">
      <c r="B103" t="str">
        <f>IF(A103="","",A103+MAX(B$2:B102))</f>
        <v/>
      </c>
      <c r="E103" s="48"/>
      <c r="F103" s="38"/>
      <c r="H103" s="56"/>
      <c r="J103" s="49"/>
    </row>
    <row r="104" spans="2:10" x14ac:dyDescent="0.4">
      <c r="B104" t="str">
        <f>IF(A104="","",A104+MAX(B$2:B103))</f>
        <v/>
      </c>
      <c r="E104" s="48"/>
      <c r="F104" s="38"/>
      <c r="H104" s="56"/>
      <c r="J104" s="49"/>
    </row>
    <row r="105" spans="2:10" x14ac:dyDescent="0.4">
      <c r="B105" t="str">
        <f>IF(A105="","",A105+MAX(B$2:B104))</f>
        <v/>
      </c>
      <c r="E105" s="48"/>
      <c r="F105" s="38"/>
      <c r="H105" s="56"/>
      <c r="J105" s="49"/>
    </row>
    <row r="106" spans="2:10" x14ac:dyDescent="0.4">
      <c r="B106" t="str">
        <f>IF(A106="","",A106+MAX(B$2:B105))</f>
        <v/>
      </c>
      <c r="E106" s="48"/>
      <c r="F106" s="38"/>
      <c r="H106" s="56"/>
      <c r="J106" s="49"/>
    </row>
    <row r="107" spans="2:10" x14ac:dyDescent="0.4">
      <c r="B107" t="str">
        <f>IF(A107="","",A107+MAX(B$2:B106))</f>
        <v/>
      </c>
      <c r="E107" s="48"/>
      <c r="F107" s="38"/>
      <c r="H107" s="56"/>
      <c r="J107" s="49"/>
    </row>
    <row r="108" spans="2:10" x14ac:dyDescent="0.4">
      <c r="B108" t="str">
        <f>IF(A108="","",A108+MAX(B$2:B107))</f>
        <v/>
      </c>
      <c r="E108" s="48"/>
      <c r="F108" s="38"/>
      <c r="H108" s="56"/>
      <c r="J108" s="49"/>
    </row>
    <row r="109" spans="2:10" x14ac:dyDescent="0.4">
      <c r="B109" t="str">
        <f>IF(A109="","",A109+MAX(B$2:B108))</f>
        <v/>
      </c>
      <c r="E109" s="48"/>
      <c r="F109" s="38"/>
      <c r="H109" s="56"/>
      <c r="J109" s="49"/>
    </row>
    <row r="110" spans="2:10" x14ac:dyDescent="0.4">
      <c r="B110" t="str">
        <f>IF(A110="","",A110+MAX(B$2:B109))</f>
        <v/>
      </c>
      <c r="E110" s="48"/>
      <c r="F110" s="38"/>
      <c r="H110" s="56"/>
      <c r="J110" s="49"/>
    </row>
    <row r="111" spans="2:10" x14ac:dyDescent="0.4">
      <c r="B111" t="str">
        <f>IF(A111="","",A111+MAX(B$2:B110))</f>
        <v/>
      </c>
      <c r="E111" s="48"/>
      <c r="F111" s="38"/>
      <c r="H111" s="56"/>
      <c r="J111" s="49"/>
    </row>
    <row r="112" spans="2:10" x14ac:dyDescent="0.4">
      <c r="B112" t="str">
        <f>IF(A112="","",A112+MAX(B$2:B111))</f>
        <v/>
      </c>
      <c r="E112" s="48"/>
      <c r="F112" s="38"/>
      <c r="H112" s="56"/>
      <c r="J112" s="49"/>
    </row>
    <row r="113" spans="2:10" x14ac:dyDescent="0.4">
      <c r="B113" t="str">
        <f>IF(A113="","",A113+MAX(B$2:B112))</f>
        <v/>
      </c>
      <c r="E113" s="48"/>
      <c r="F113" s="38"/>
      <c r="H113" s="56"/>
      <c r="J113" s="49"/>
    </row>
    <row r="114" spans="2:10" x14ac:dyDescent="0.4">
      <c r="B114" t="str">
        <f>IF(A114="","",A114+MAX(B$2:B113))</f>
        <v/>
      </c>
      <c r="E114" s="48"/>
      <c r="F114" s="38"/>
      <c r="H114" s="56"/>
      <c r="J114" s="49"/>
    </row>
    <row r="115" spans="2:10" x14ac:dyDescent="0.4">
      <c r="B115" t="str">
        <f>IF(A115="","",A115+MAX(B$2:B114))</f>
        <v/>
      </c>
      <c r="E115" s="48"/>
      <c r="F115" s="38"/>
      <c r="H115" s="56"/>
      <c r="J115" s="49"/>
    </row>
    <row r="116" spans="2:10" x14ac:dyDescent="0.4">
      <c r="B116" t="str">
        <f>IF(A116="","",A116+MAX(B$2:B115))</f>
        <v/>
      </c>
      <c r="E116" s="48"/>
      <c r="F116" s="38"/>
      <c r="H116" s="56"/>
      <c r="J116" s="49"/>
    </row>
    <row r="117" spans="2:10" x14ac:dyDescent="0.4">
      <c r="B117" t="str">
        <f>IF(A117="","",A117+MAX(B$2:B116))</f>
        <v/>
      </c>
      <c r="E117" s="48"/>
      <c r="F117" s="38"/>
      <c r="H117" s="56"/>
      <c r="J117" s="49"/>
    </row>
    <row r="118" spans="2:10" x14ac:dyDescent="0.4">
      <c r="B118" t="str">
        <f>IF(A118="","",A118+MAX(B$2:B117))</f>
        <v/>
      </c>
      <c r="E118" s="48"/>
      <c r="F118" s="38"/>
      <c r="H118" s="56"/>
      <c r="J118" s="49"/>
    </row>
    <row r="119" spans="2:10" x14ac:dyDescent="0.4">
      <c r="B119" t="str">
        <f>IF(A119="","",A119+MAX(B$2:B118))</f>
        <v/>
      </c>
      <c r="E119" s="48"/>
      <c r="F119" s="38"/>
      <c r="H119" s="56"/>
      <c r="J119" s="49"/>
    </row>
    <row r="120" spans="2:10" x14ac:dyDescent="0.4">
      <c r="B120" t="str">
        <f>IF(A120="","",A120+MAX(B$2:B119))</f>
        <v/>
      </c>
      <c r="E120" s="48"/>
      <c r="F120" s="38"/>
      <c r="H120" s="56"/>
      <c r="J120" s="49"/>
    </row>
    <row r="121" spans="2:10" x14ac:dyDescent="0.4">
      <c r="B121" t="str">
        <f>IF(A121="","",A121+MAX(B$2:B120))</f>
        <v/>
      </c>
      <c r="E121" s="48"/>
      <c r="F121" s="38"/>
      <c r="H121" s="56"/>
      <c r="J121" s="49"/>
    </row>
    <row r="122" spans="2:10" x14ac:dyDescent="0.4">
      <c r="B122" t="str">
        <f>IF(A122="","",A122+MAX(B$2:B121))</f>
        <v/>
      </c>
      <c r="E122" s="48"/>
      <c r="F122" s="38"/>
      <c r="H122" s="56"/>
      <c r="J122" s="49"/>
    </row>
    <row r="123" spans="2:10" x14ac:dyDescent="0.4">
      <c r="B123" t="str">
        <f>IF(A123="","",A123+MAX(B$2:B122))</f>
        <v/>
      </c>
      <c r="E123" s="48"/>
      <c r="F123" s="38"/>
      <c r="H123" s="56"/>
      <c r="J123" s="49"/>
    </row>
    <row r="124" spans="2:10" x14ac:dyDescent="0.4">
      <c r="B124" t="str">
        <f>IF(A124="","",A124+MAX(B$2:B123))</f>
        <v/>
      </c>
      <c r="E124" s="48"/>
      <c r="F124" s="38"/>
      <c r="H124" s="56"/>
      <c r="J124" s="49"/>
    </row>
    <row r="125" spans="2:10" x14ac:dyDescent="0.4">
      <c r="B125" t="str">
        <f>IF(A125="","",A125+MAX(B$2:B124))</f>
        <v/>
      </c>
      <c r="E125" s="48"/>
      <c r="F125" s="38"/>
      <c r="H125" s="56"/>
      <c r="J125" s="49"/>
    </row>
    <row r="126" spans="2:10" x14ac:dyDescent="0.4">
      <c r="B126" t="str">
        <f>IF(A126="","",A126+MAX(B$2:B125))</f>
        <v/>
      </c>
      <c r="E126" s="48"/>
      <c r="F126" s="38"/>
      <c r="H126" s="56"/>
      <c r="J126" s="49"/>
    </row>
    <row r="127" spans="2:10" x14ac:dyDescent="0.4">
      <c r="B127" t="str">
        <f>IF(A127="","",A127+MAX(B$2:B126))</f>
        <v/>
      </c>
      <c r="E127" s="48"/>
      <c r="F127" s="38"/>
      <c r="H127" s="56"/>
      <c r="J127" s="49"/>
    </row>
    <row r="128" spans="2:10" x14ac:dyDescent="0.4">
      <c r="B128" t="str">
        <f>IF(A128="","",A128+MAX(B$2:B127))</f>
        <v/>
      </c>
      <c r="E128" s="48"/>
      <c r="F128" s="38"/>
      <c r="H128" s="56"/>
      <c r="J128" s="49"/>
    </row>
    <row r="129" spans="2:10" x14ac:dyDescent="0.4">
      <c r="B129" t="str">
        <f>IF(A129="","",A129+MAX(B$2:B128))</f>
        <v/>
      </c>
      <c r="E129" s="48"/>
      <c r="F129" s="38"/>
      <c r="H129" s="56"/>
      <c r="J129" s="49"/>
    </row>
    <row r="130" spans="2:10" x14ac:dyDescent="0.4">
      <c r="B130" t="str">
        <f>IF(A130="","",A130+MAX(B$2:B129))</f>
        <v/>
      </c>
      <c r="E130" s="48"/>
      <c r="F130" s="38"/>
      <c r="H130" s="56"/>
      <c r="J130" s="49"/>
    </row>
    <row r="131" spans="2:10" x14ac:dyDescent="0.4">
      <c r="B131" t="str">
        <f>IF(A131="","",A131+MAX(B$2:B130))</f>
        <v/>
      </c>
      <c r="E131" s="48"/>
      <c r="F131" s="38"/>
      <c r="H131" s="56"/>
      <c r="J131" s="49"/>
    </row>
    <row r="132" spans="2:10" x14ac:dyDescent="0.4">
      <c r="B132" t="str">
        <f>IF(A132="","",A132+MAX(B$2:B131))</f>
        <v/>
      </c>
      <c r="E132" s="48"/>
      <c r="F132" s="38"/>
      <c r="H132" s="56"/>
      <c r="J132" s="49"/>
    </row>
    <row r="133" spans="2:10" x14ac:dyDescent="0.4">
      <c r="B133" t="str">
        <f>IF(A133="","",A133+MAX(B$2:B132))</f>
        <v/>
      </c>
      <c r="E133" s="48"/>
      <c r="F133" s="38"/>
      <c r="H133" s="56"/>
      <c r="J133" s="49"/>
    </row>
    <row r="134" spans="2:10" x14ac:dyDescent="0.4">
      <c r="B134" t="str">
        <f>IF(A134="","",A134+MAX(B$2:B133))</f>
        <v/>
      </c>
      <c r="E134" s="48"/>
      <c r="F134" s="38"/>
      <c r="H134" s="56"/>
      <c r="J134" s="49"/>
    </row>
    <row r="135" spans="2:10" x14ac:dyDescent="0.4">
      <c r="B135" t="str">
        <f>IF(A135="","",A135+MAX(B$2:B134))</f>
        <v/>
      </c>
      <c r="E135" s="48"/>
      <c r="F135" s="38"/>
      <c r="H135" s="56"/>
      <c r="J135" s="49"/>
    </row>
    <row r="136" spans="2:10" x14ac:dyDescent="0.4">
      <c r="B136" t="str">
        <f>IF(A136="","",A136+MAX(B$2:B135))</f>
        <v/>
      </c>
      <c r="E136" s="48"/>
      <c r="F136" s="38"/>
      <c r="H136" s="56"/>
      <c r="J136" s="49"/>
    </row>
    <row r="137" spans="2:10" x14ac:dyDescent="0.4">
      <c r="B137" t="str">
        <f>IF(A137="","",A137+MAX(B$2:B136))</f>
        <v/>
      </c>
      <c r="E137" s="48"/>
      <c r="F137" s="38"/>
      <c r="H137" s="56"/>
      <c r="J137" s="49"/>
    </row>
    <row r="138" spans="2:10" x14ac:dyDescent="0.4">
      <c r="B138" t="str">
        <f>IF(A138="","",A138+MAX(B$2:B137))</f>
        <v/>
      </c>
      <c r="E138" s="48"/>
      <c r="F138" s="38"/>
      <c r="H138" s="56"/>
      <c r="J138" s="49"/>
    </row>
    <row r="139" spans="2:10" x14ac:dyDescent="0.4">
      <c r="B139" t="str">
        <f>IF(A139="","",A139+MAX(B$2:B138))</f>
        <v/>
      </c>
      <c r="E139" s="48"/>
      <c r="F139" s="38"/>
      <c r="H139" s="56"/>
      <c r="J139" s="49"/>
    </row>
    <row r="140" spans="2:10" x14ac:dyDescent="0.4">
      <c r="B140" t="str">
        <f>IF(A140="","",A140+MAX(B$2:B139))</f>
        <v/>
      </c>
      <c r="E140" s="48"/>
      <c r="F140" s="38"/>
      <c r="H140" s="56"/>
      <c r="J140" s="49"/>
    </row>
    <row r="141" spans="2:10" x14ac:dyDescent="0.4">
      <c r="B141" t="str">
        <f>IF(A141="","",A141+MAX(B$2:B140))</f>
        <v/>
      </c>
      <c r="E141" s="48"/>
      <c r="F141" s="38"/>
      <c r="H141" s="56"/>
      <c r="J141" s="49"/>
    </row>
    <row r="142" spans="2:10" x14ac:dyDescent="0.4">
      <c r="B142" t="str">
        <f>IF(A142="","",A142+MAX(B$2:B141))</f>
        <v/>
      </c>
      <c r="E142" s="48"/>
      <c r="F142" s="38"/>
      <c r="H142" s="56"/>
      <c r="J142" s="49"/>
    </row>
    <row r="143" spans="2:10" x14ac:dyDescent="0.4">
      <c r="B143" t="str">
        <f>IF(A143="","",A143+MAX(B$2:B142))</f>
        <v/>
      </c>
      <c r="E143" s="48"/>
      <c r="F143" s="38"/>
      <c r="H143" s="56"/>
      <c r="J143" s="49"/>
    </row>
    <row r="144" spans="2:10" x14ac:dyDescent="0.4">
      <c r="B144" t="str">
        <f>IF(A144="","",A144+MAX(B$2:B143))</f>
        <v/>
      </c>
      <c r="E144" s="48"/>
      <c r="F144" s="38"/>
      <c r="H144" s="56"/>
      <c r="J144" s="49"/>
    </row>
    <row r="145" spans="2:10" x14ac:dyDescent="0.4">
      <c r="B145" t="str">
        <f>IF(A145="","",A145+MAX(B$2:B144))</f>
        <v/>
      </c>
      <c r="E145" s="48"/>
      <c r="F145" s="38"/>
      <c r="H145" s="56"/>
      <c r="J145" s="49"/>
    </row>
    <row r="146" spans="2:10" x14ac:dyDescent="0.4">
      <c r="B146" t="str">
        <f>IF(A146="","",A146+MAX(B$2:B145))</f>
        <v/>
      </c>
      <c r="E146" s="48"/>
      <c r="F146" s="38"/>
      <c r="H146" s="56"/>
      <c r="J146" s="49"/>
    </row>
    <row r="147" spans="2:10" x14ac:dyDescent="0.4">
      <c r="B147" t="str">
        <f>IF(A147="","",A147+MAX(B$2:B146))</f>
        <v/>
      </c>
      <c r="E147" s="48"/>
      <c r="F147" s="38"/>
      <c r="H147" s="56"/>
      <c r="J147" s="49"/>
    </row>
    <row r="148" spans="2:10" x14ac:dyDescent="0.4">
      <c r="B148" t="str">
        <f>IF(A148="","",A148+MAX(B$2:B147))</f>
        <v/>
      </c>
      <c r="E148" s="48"/>
      <c r="F148" s="38"/>
      <c r="H148" s="56"/>
      <c r="J148" s="49"/>
    </row>
    <row r="149" spans="2:10" x14ac:dyDescent="0.4">
      <c r="B149" t="str">
        <f>IF(A149="","",A149+MAX(B$2:B148))</f>
        <v/>
      </c>
      <c r="E149" s="48"/>
      <c r="F149" s="38"/>
      <c r="H149" s="56"/>
      <c r="J149" s="49"/>
    </row>
    <row r="150" spans="2:10" x14ac:dyDescent="0.4">
      <c r="B150" t="str">
        <f>IF(A150="","",A150+MAX(B$2:B149))</f>
        <v/>
      </c>
      <c r="E150" s="48"/>
      <c r="F150" s="38"/>
      <c r="H150" s="56"/>
      <c r="J150" s="49"/>
    </row>
    <row r="151" spans="2:10" x14ac:dyDescent="0.4">
      <c r="B151" t="str">
        <f>IF(A151="","",A151+MAX(B$2:B150))</f>
        <v/>
      </c>
      <c r="E151" s="48"/>
      <c r="F151" s="38"/>
      <c r="H151" s="56"/>
      <c r="J151" s="49"/>
    </row>
    <row r="152" spans="2:10" x14ac:dyDescent="0.4">
      <c r="B152" t="str">
        <f>IF(A152="","",A152+MAX(B$2:B151))</f>
        <v/>
      </c>
      <c r="E152" s="48"/>
      <c r="F152" s="38"/>
      <c r="H152" s="56"/>
      <c r="J152" s="49"/>
    </row>
    <row r="153" spans="2:10" x14ac:dyDescent="0.4">
      <c r="B153" t="str">
        <f>IF(A153="","",A153+MAX(B$2:B152))</f>
        <v/>
      </c>
      <c r="E153" s="48"/>
      <c r="F153" s="38"/>
      <c r="H153" s="56"/>
      <c r="J153" s="49"/>
    </row>
    <row r="154" spans="2:10" x14ac:dyDescent="0.4">
      <c r="B154" t="str">
        <f>IF(A154="","",A154+MAX(B$2:B153))</f>
        <v/>
      </c>
      <c r="E154" s="48"/>
      <c r="F154" s="38"/>
      <c r="H154" s="56"/>
      <c r="J154" s="49"/>
    </row>
    <row r="155" spans="2:10" x14ac:dyDescent="0.4">
      <c r="B155" t="str">
        <f>IF(A155="","",A155+MAX(B$2:B154))</f>
        <v/>
      </c>
      <c r="E155" s="48"/>
      <c r="F155" s="38"/>
      <c r="H155" s="56"/>
      <c r="J155" s="49"/>
    </row>
    <row r="156" spans="2:10" x14ac:dyDescent="0.4">
      <c r="B156" t="str">
        <f>IF(A156="","",A156+MAX(B$2:B155))</f>
        <v/>
      </c>
      <c r="E156" s="48"/>
      <c r="F156" s="38"/>
      <c r="H156" s="56"/>
      <c r="J156" s="49"/>
    </row>
    <row r="157" spans="2:10" x14ac:dyDescent="0.4">
      <c r="B157" t="str">
        <f>IF(A157="","",A157+MAX(B$2:B156))</f>
        <v/>
      </c>
      <c r="E157" s="48"/>
      <c r="F157" s="38"/>
      <c r="H157" s="56"/>
      <c r="J157" s="49"/>
    </row>
    <row r="158" spans="2:10" x14ac:dyDescent="0.4">
      <c r="B158" t="str">
        <f>IF(A158="","",A158+MAX(B$2:B157))</f>
        <v/>
      </c>
      <c r="E158" s="48"/>
      <c r="F158" s="38"/>
      <c r="H158" s="56"/>
      <c r="J158" s="49"/>
    </row>
    <row r="159" spans="2:10" x14ac:dyDescent="0.4">
      <c r="B159" t="str">
        <f>IF(A159="","",A159+MAX(B$2:B158))</f>
        <v/>
      </c>
      <c r="E159" s="48"/>
      <c r="F159" s="38"/>
      <c r="H159" s="56"/>
      <c r="J159" s="49"/>
    </row>
    <row r="160" spans="2:10" x14ac:dyDescent="0.4">
      <c r="B160" t="str">
        <f>IF(A160="","",A160+MAX(B$2:B159))</f>
        <v/>
      </c>
      <c r="E160" s="48"/>
      <c r="F160" s="38"/>
      <c r="H160" s="56"/>
      <c r="J160" s="49"/>
    </row>
    <row r="161" spans="2:10" x14ac:dyDescent="0.4">
      <c r="B161" t="str">
        <f>IF(A161="","",A161+MAX(B$2:B160))</f>
        <v/>
      </c>
      <c r="E161" s="48"/>
      <c r="F161" s="38"/>
      <c r="H161" s="56"/>
      <c r="J161" s="49"/>
    </row>
    <row r="162" spans="2:10" x14ac:dyDescent="0.4">
      <c r="B162" t="str">
        <f>IF(A162="","",A162+MAX(B$2:B161))</f>
        <v/>
      </c>
      <c r="E162" s="48"/>
      <c r="F162" s="38"/>
      <c r="H162" s="56"/>
      <c r="J162" s="49"/>
    </row>
    <row r="163" spans="2:10" x14ac:dyDescent="0.4">
      <c r="B163" t="str">
        <f>IF(A163="","",A163+MAX(B$2:B162))</f>
        <v/>
      </c>
      <c r="E163" s="48"/>
      <c r="F163" s="38"/>
      <c r="H163" s="56"/>
      <c r="J163" s="49"/>
    </row>
    <row r="164" spans="2:10" x14ac:dyDescent="0.4">
      <c r="B164" t="str">
        <f>IF(A164="","",A164+MAX(B$2:B163))</f>
        <v/>
      </c>
      <c r="E164" s="48"/>
      <c r="F164" s="38"/>
      <c r="H164" s="56"/>
      <c r="J164" s="49"/>
    </row>
    <row r="165" spans="2:10" x14ac:dyDescent="0.4">
      <c r="B165" t="str">
        <f>IF(A165="","",A165+MAX(B$2:B164))</f>
        <v/>
      </c>
      <c r="E165" s="48"/>
      <c r="F165" s="38"/>
      <c r="H165" s="56"/>
      <c r="J165" s="49"/>
    </row>
    <row r="166" spans="2:10" x14ac:dyDescent="0.4">
      <c r="B166" t="str">
        <f>IF(A166="","",A166+MAX(B$2:B165))</f>
        <v/>
      </c>
      <c r="E166" s="48"/>
      <c r="F166" s="38"/>
      <c r="H166" s="56"/>
      <c r="J166" s="49"/>
    </row>
    <row r="167" spans="2:10" x14ac:dyDescent="0.4">
      <c r="B167" t="str">
        <f>IF(A167="","",A167+MAX(B$2:B166))</f>
        <v/>
      </c>
      <c r="E167" s="48"/>
      <c r="F167" s="38"/>
      <c r="H167" s="56"/>
      <c r="J167" s="49"/>
    </row>
    <row r="168" spans="2:10" x14ac:dyDescent="0.4">
      <c r="B168" t="str">
        <f>IF(A168="","",A168+MAX(B$2:B167))</f>
        <v/>
      </c>
      <c r="E168" s="48"/>
      <c r="F168" s="38"/>
      <c r="H168" s="56"/>
      <c r="J168" s="49"/>
    </row>
    <row r="169" spans="2:10" x14ac:dyDescent="0.4">
      <c r="B169" t="str">
        <f>IF(A169="","",A169+MAX(B$2:B168))</f>
        <v/>
      </c>
      <c r="E169" s="48"/>
      <c r="F169" s="38"/>
      <c r="H169" s="56"/>
      <c r="J169" s="49"/>
    </row>
    <row r="170" spans="2:10" x14ac:dyDescent="0.4">
      <c r="B170" t="str">
        <f>IF(A170="","",A170+MAX(B$2:B169))</f>
        <v/>
      </c>
      <c r="E170" s="48"/>
      <c r="F170" s="38"/>
      <c r="H170" s="56"/>
      <c r="J170" s="49"/>
    </row>
    <row r="171" spans="2:10" x14ac:dyDescent="0.4">
      <c r="B171" t="str">
        <f>IF(A171="","",A171+MAX(B$2:B170))</f>
        <v/>
      </c>
      <c r="E171" s="48"/>
      <c r="F171" s="38"/>
      <c r="H171" s="56"/>
      <c r="J171" s="49"/>
    </row>
    <row r="172" spans="2:10" x14ac:dyDescent="0.4">
      <c r="B172" t="str">
        <f>IF(A172="","",A172+MAX(B$2:B171))</f>
        <v/>
      </c>
      <c r="E172" s="48"/>
      <c r="F172" s="38"/>
      <c r="H172" s="56"/>
      <c r="J172" s="49"/>
    </row>
    <row r="173" spans="2:10" x14ac:dyDescent="0.4">
      <c r="B173" t="str">
        <f>IF(A173="","",A173+MAX(B$2:B172))</f>
        <v/>
      </c>
      <c r="E173" s="48"/>
      <c r="F173" s="38"/>
      <c r="H173" s="56"/>
      <c r="J173" s="49"/>
    </row>
    <row r="174" spans="2:10" x14ac:dyDescent="0.4">
      <c r="B174" t="str">
        <f>IF(A174="","",A174+MAX(B$2:B173))</f>
        <v/>
      </c>
      <c r="E174" s="48"/>
      <c r="F174" s="38"/>
      <c r="H174" s="56"/>
      <c r="J174" s="49"/>
    </row>
    <row r="175" spans="2:10" x14ac:dyDescent="0.4">
      <c r="B175" t="str">
        <f>IF(A175="","",A175+MAX(B$2:B174))</f>
        <v/>
      </c>
      <c r="E175" s="48"/>
      <c r="F175" s="38"/>
      <c r="H175" s="56"/>
      <c r="J175" s="49"/>
    </row>
    <row r="176" spans="2:10" x14ac:dyDescent="0.4">
      <c r="B176" t="str">
        <f>IF(A176="","",A176+MAX(B$2:B175))</f>
        <v/>
      </c>
      <c r="E176" s="48"/>
      <c r="F176" s="38"/>
      <c r="H176" s="56"/>
      <c r="J176" s="49"/>
    </row>
    <row r="177" spans="2:10" x14ac:dyDescent="0.4">
      <c r="B177" t="str">
        <f>IF(A177="","",A177+MAX(B$2:B176))</f>
        <v/>
      </c>
      <c r="E177" s="48"/>
      <c r="F177" s="38"/>
      <c r="H177" s="56"/>
      <c r="J177" s="49"/>
    </row>
    <row r="178" spans="2:10" x14ac:dyDescent="0.4">
      <c r="B178" t="str">
        <f>IF(A178="","",A178+MAX(B$2:B177))</f>
        <v/>
      </c>
      <c r="E178" s="48"/>
      <c r="F178" s="38"/>
      <c r="H178" s="56"/>
      <c r="J178" s="49"/>
    </row>
    <row r="179" spans="2:10" x14ac:dyDescent="0.4">
      <c r="B179" t="str">
        <f>IF(A179="","",A179+MAX(B$2:B178))</f>
        <v/>
      </c>
      <c r="E179" s="48"/>
      <c r="F179" s="38"/>
      <c r="H179" s="56"/>
      <c r="J179" s="49"/>
    </row>
    <row r="180" spans="2:10" x14ac:dyDescent="0.4">
      <c r="B180" t="str">
        <f>IF(A180="","",A180+MAX(B$2:B179))</f>
        <v/>
      </c>
      <c r="E180" s="48"/>
      <c r="F180" s="38"/>
      <c r="H180" s="56"/>
      <c r="J180" s="49"/>
    </row>
    <row r="181" spans="2:10" x14ac:dyDescent="0.4">
      <c r="B181" t="str">
        <f>IF(A181="","",A181+MAX(B$2:B180))</f>
        <v/>
      </c>
      <c r="E181" s="48"/>
      <c r="F181" s="38"/>
      <c r="H181" s="56"/>
      <c r="J181" s="49"/>
    </row>
    <row r="182" spans="2:10" x14ac:dyDescent="0.4">
      <c r="B182" t="str">
        <f>IF(A182="","",A182+MAX(B$2:B181))</f>
        <v/>
      </c>
      <c r="E182" s="48"/>
      <c r="F182" s="38"/>
      <c r="H182" s="56"/>
      <c r="J182" s="49"/>
    </row>
    <row r="183" spans="2:10" x14ac:dyDescent="0.4">
      <c r="B183" t="str">
        <f>IF(A183="","",A183+MAX(B$2:B182))</f>
        <v/>
      </c>
      <c r="E183" s="48"/>
      <c r="F183" s="38"/>
      <c r="H183" s="56"/>
      <c r="J183" s="49"/>
    </row>
    <row r="184" spans="2:10" x14ac:dyDescent="0.4">
      <c r="B184" t="str">
        <f>IF(A184="","",A184+MAX(B$2:B183))</f>
        <v/>
      </c>
      <c r="E184" s="48"/>
      <c r="F184" s="38"/>
      <c r="H184" s="56"/>
      <c r="J184" s="49"/>
    </row>
    <row r="185" spans="2:10" x14ac:dyDescent="0.4">
      <c r="B185" t="str">
        <f>IF(A185="","",A185+MAX(B$2:B184))</f>
        <v/>
      </c>
      <c r="E185" s="48"/>
      <c r="F185" s="38"/>
      <c r="H185" s="56"/>
      <c r="J185" s="49"/>
    </row>
    <row r="186" spans="2:10" x14ac:dyDescent="0.4">
      <c r="B186" t="str">
        <f>IF(A186="","",A186+MAX(B$2:B185))</f>
        <v/>
      </c>
      <c r="E186" s="48"/>
      <c r="F186" s="38"/>
      <c r="H186" s="56"/>
      <c r="J186" s="49"/>
    </row>
    <row r="187" spans="2:10" x14ac:dyDescent="0.4">
      <c r="B187" t="str">
        <f>IF(A187="","",A187+MAX(B$2:B186))</f>
        <v/>
      </c>
      <c r="E187" s="48"/>
      <c r="F187" s="38"/>
      <c r="H187" s="56"/>
      <c r="J187" s="49"/>
    </row>
    <row r="188" spans="2:10" x14ac:dyDescent="0.4">
      <c r="B188" t="str">
        <f>IF(A188="","",A188+MAX(B$2:B187))</f>
        <v/>
      </c>
      <c r="E188" s="48"/>
      <c r="F188" s="38"/>
      <c r="H188" s="56"/>
      <c r="J188" s="49"/>
    </row>
    <row r="189" spans="2:10" x14ac:dyDescent="0.4">
      <c r="B189" t="str">
        <f>IF(A189="","",A189+MAX(B$2:B188))</f>
        <v/>
      </c>
      <c r="E189" s="48"/>
      <c r="F189" s="38"/>
      <c r="H189" s="56"/>
      <c r="J189" s="49"/>
    </row>
    <row r="190" spans="2:10" x14ac:dyDescent="0.4">
      <c r="B190" t="str">
        <f>IF(A190="","",A190+MAX(B$2:B189))</f>
        <v/>
      </c>
      <c r="E190" s="48"/>
      <c r="F190" s="38"/>
      <c r="H190" s="56"/>
      <c r="J190" s="49"/>
    </row>
    <row r="191" spans="2:10" x14ac:dyDescent="0.4">
      <c r="B191" t="str">
        <f>IF(A191="","",A191+MAX(B$2:B190))</f>
        <v/>
      </c>
      <c r="E191" s="48"/>
      <c r="F191" s="38"/>
      <c r="H191" s="56"/>
      <c r="J191" s="49"/>
    </row>
    <row r="192" spans="2:10" x14ac:dyDescent="0.4">
      <c r="B192" t="str">
        <f>IF(A192="","",A192+MAX(B$2:B191))</f>
        <v/>
      </c>
      <c r="E192" s="48"/>
      <c r="F192" s="38"/>
      <c r="H192" s="56"/>
      <c r="J192" s="49"/>
    </row>
    <row r="193" spans="2:10" x14ac:dyDescent="0.4">
      <c r="B193" t="str">
        <f>IF(A193="","",A193+MAX(B$2:B192))</f>
        <v/>
      </c>
      <c r="E193" s="48"/>
      <c r="F193" s="38"/>
      <c r="H193" s="56"/>
      <c r="J193" s="49"/>
    </row>
    <row r="194" spans="2:10" x14ac:dyDescent="0.4">
      <c r="B194" t="str">
        <f>IF(A194="","",A194+MAX(B$2:B193))</f>
        <v/>
      </c>
      <c r="E194" s="48"/>
      <c r="F194" s="38"/>
      <c r="H194" s="56"/>
      <c r="J194" s="49"/>
    </row>
    <row r="195" spans="2:10" x14ac:dyDescent="0.4">
      <c r="B195" t="str">
        <f>IF(A195="","",A195+MAX(B$2:B194))</f>
        <v/>
      </c>
      <c r="E195" s="48"/>
      <c r="F195" s="38"/>
      <c r="H195" s="56"/>
      <c r="J195" s="49"/>
    </row>
    <row r="196" spans="2:10" x14ac:dyDescent="0.4">
      <c r="B196" t="str">
        <f>IF(A196="","",A196+MAX(B$2:B195))</f>
        <v/>
      </c>
      <c r="E196" s="48"/>
      <c r="F196" s="38"/>
      <c r="H196" s="56"/>
      <c r="J196" s="49"/>
    </row>
    <row r="197" spans="2:10" x14ac:dyDescent="0.4">
      <c r="B197" t="str">
        <f>IF(A197="","",A197+MAX(B$2:B196))</f>
        <v/>
      </c>
      <c r="E197" s="48"/>
      <c r="F197" s="38"/>
      <c r="H197" s="56"/>
      <c r="J197" s="49"/>
    </row>
    <row r="198" spans="2:10" x14ac:dyDescent="0.4">
      <c r="B198" t="str">
        <f>IF(A198="","",A198+MAX(B$2:B197))</f>
        <v/>
      </c>
      <c r="E198" s="48"/>
      <c r="F198" s="38"/>
      <c r="H198" s="56"/>
      <c r="J198" s="49"/>
    </row>
    <row r="199" spans="2:10" x14ac:dyDescent="0.4">
      <c r="B199" t="str">
        <f>IF(A199="","",A199+MAX(B$2:B198))</f>
        <v/>
      </c>
      <c r="E199" s="48"/>
      <c r="F199" s="38"/>
      <c r="H199" s="56"/>
      <c r="J199" s="49"/>
    </row>
    <row r="200" spans="2:10" x14ac:dyDescent="0.4">
      <c r="B200" t="str">
        <f>IF(A200="","",A200+MAX(B$2:B199))</f>
        <v/>
      </c>
      <c r="E200" s="48"/>
      <c r="F200" s="38"/>
      <c r="H200" s="56"/>
      <c r="J200" s="49"/>
    </row>
    <row r="201" spans="2:10" x14ac:dyDescent="0.4">
      <c r="B201" t="str">
        <f>IF(A201="","",A201+MAX(B$2:B200))</f>
        <v/>
      </c>
      <c r="E201" s="48"/>
      <c r="F201" s="38"/>
      <c r="H201" s="56"/>
      <c r="J201" s="49"/>
    </row>
    <row r="202" spans="2:10" x14ac:dyDescent="0.4">
      <c r="B202" t="str">
        <f>IF(A202="","",A202+MAX(B$2:B201))</f>
        <v/>
      </c>
      <c r="E202" s="48"/>
      <c r="F202" s="38"/>
      <c r="H202" s="56"/>
      <c r="J202" s="49"/>
    </row>
    <row r="203" spans="2:10" x14ac:dyDescent="0.4">
      <c r="B203" t="str">
        <f>IF(A203="","",A203+MAX(B$2:B202))</f>
        <v/>
      </c>
      <c r="E203" s="48"/>
      <c r="F203" s="38"/>
      <c r="H203" s="56"/>
      <c r="J203" s="49"/>
    </row>
    <row r="204" spans="2:10" x14ac:dyDescent="0.4">
      <c r="B204" t="str">
        <f>IF(A204="","",A204+MAX(B$2:B203))</f>
        <v/>
      </c>
      <c r="E204" s="48"/>
      <c r="F204" s="38"/>
      <c r="H204" s="56"/>
      <c r="J204" s="49"/>
    </row>
    <row r="205" spans="2:10" x14ac:dyDescent="0.4">
      <c r="B205" t="str">
        <f>IF(A205="","",A205+MAX(B$2:B204))</f>
        <v/>
      </c>
      <c r="E205" s="48"/>
      <c r="F205" s="38"/>
      <c r="H205" s="56"/>
      <c r="J205" s="49"/>
    </row>
    <row r="206" spans="2:10" x14ac:dyDescent="0.4">
      <c r="B206" t="str">
        <f>IF(A206="","",A206+MAX(B$2:B205))</f>
        <v/>
      </c>
      <c r="E206" s="48"/>
      <c r="F206" s="38"/>
      <c r="H206" s="56"/>
      <c r="J206" s="49"/>
    </row>
    <row r="207" spans="2:10" x14ac:dyDescent="0.4">
      <c r="B207" t="str">
        <f>IF(A207="","",A207+MAX(B$2:B206))</f>
        <v/>
      </c>
      <c r="E207" s="48"/>
      <c r="F207" s="38"/>
      <c r="H207" s="56"/>
      <c r="J207" s="49"/>
    </row>
    <row r="208" spans="2:10" x14ac:dyDescent="0.4">
      <c r="B208" t="str">
        <f>IF(A208="","",A208+MAX(B$2:B207))</f>
        <v/>
      </c>
      <c r="E208" s="48"/>
      <c r="F208" s="38"/>
      <c r="H208" s="56"/>
      <c r="J208" s="49"/>
    </row>
    <row r="209" spans="2:10" x14ac:dyDescent="0.4">
      <c r="B209" t="str">
        <f>IF(A209="","",A209+MAX(B$2:B208))</f>
        <v/>
      </c>
      <c r="E209" s="48"/>
      <c r="F209" s="38"/>
      <c r="H209" s="56"/>
      <c r="J209" s="49"/>
    </row>
    <row r="210" spans="2:10" x14ac:dyDescent="0.4">
      <c r="B210" t="str">
        <f>IF(A210="","",A210+MAX(B$2:B209))</f>
        <v/>
      </c>
      <c r="E210" s="48"/>
      <c r="F210" s="38"/>
      <c r="H210" s="56"/>
      <c r="J210" s="49"/>
    </row>
    <row r="211" spans="2:10" x14ac:dyDescent="0.4">
      <c r="B211" t="str">
        <f>IF(A211="","",A211+MAX(B$2:B210))</f>
        <v/>
      </c>
      <c r="E211" s="48"/>
      <c r="F211" s="38"/>
      <c r="H211" s="56"/>
      <c r="J211" s="49"/>
    </row>
    <row r="212" spans="2:10" x14ac:dyDescent="0.4">
      <c r="B212" t="str">
        <f>IF(A212="","",A212+MAX(B$2:B211))</f>
        <v/>
      </c>
      <c r="E212" s="48"/>
      <c r="F212" s="38"/>
      <c r="H212" s="56"/>
      <c r="J212" s="49"/>
    </row>
    <row r="213" spans="2:10" x14ac:dyDescent="0.4">
      <c r="B213" t="str">
        <f>IF(A213="","",A213+MAX(B$2:B212))</f>
        <v/>
      </c>
      <c r="E213" s="48"/>
      <c r="F213" s="38"/>
      <c r="H213" s="56"/>
      <c r="J213" s="49"/>
    </row>
    <row r="214" spans="2:10" x14ac:dyDescent="0.4">
      <c r="B214" t="str">
        <f>IF(A214="","",A214+MAX(B$2:B213))</f>
        <v/>
      </c>
      <c r="E214" s="48"/>
      <c r="F214" s="38"/>
      <c r="H214" s="56"/>
      <c r="J214" s="49"/>
    </row>
    <row r="215" spans="2:10" x14ac:dyDescent="0.4">
      <c r="B215" t="str">
        <f>IF(A215="","",A215+MAX(B$2:B214))</f>
        <v/>
      </c>
      <c r="E215" s="48"/>
      <c r="F215" s="38"/>
      <c r="H215" s="56"/>
      <c r="J215" s="49"/>
    </row>
    <row r="216" spans="2:10" x14ac:dyDescent="0.4">
      <c r="B216" t="str">
        <f>IF(A216="","",A216+MAX(B$2:B215))</f>
        <v/>
      </c>
      <c r="E216" s="48"/>
      <c r="F216" s="38"/>
      <c r="H216" s="56"/>
      <c r="J216" s="49"/>
    </row>
    <row r="217" spans="2:10" x14ac:dyDescent="0.4">
      <c r="B217" t="str">
        <f>IF(A217="","",A217+MAX(B$2:B216))</f>
        <v/>
      </c>
      <c r="E217" s="48"/>
      <c r="F217" s="38"/>
      <c r="H217" s="56"/>
      <c r="J217" s="49"/>
    </row>
    <row r="218" spans="2:10" x14ac:dyDescent="0.4">
      <c r="B218" t="str">
        <f>IF(A218="","",A218+MAX(B$2:B217))</f>
        <v/>
      </c>
      <c r="E218" s="48"/>
      <c r="F218" s="38"/>
      <c r="H218" s="56"/>
      <c r="J218" s="49"/>
    </row>
    <row r="219" spans="2:10" x14ac:dyDescent="0.4">
      <c r="B219" t="str">
        <f>IF(A219="","",A219+MAX(B$2:B218))</f>
        <v/>
      </c>
      <c r="E219" s="48"/>
      <c r="F219" s="38"/>
      <c r="H219" s="56"/>
      <c r="J219" s="49"/>
    </row>
    <row r="220" spans="2:10" x14ac:dyDescent="0.4">
      <c r="B220" t="str">
        <f>IF(A220="","",A220+MAX(B$2:B219))</f>
        <v/>
      </c>
      <c r="E220" s="48"/>
      <c r="F220" s="38"/>
      <c r="H220" s="56"/>
      <c r="J220" s="49"/>
    </row>
    <row r="221" spans="2:10" x14ac:dyDescent="0.4">
      <c r="B221" t="str">
        <f>IF(A221="","",A221+MAX(B$2:B220))</f>
        <v/>
      </c>
      <c r="E221" s="48"/>
      <c r="F221" s="38"/>
      <c r="H221" s="56"/>
      <c r="J221" s="49"/>
    </row>
    <row r="222" spans="2:10" x14ac:dyDescent="0.4">
      <c r="B222" t="str">
        <f>IF(A222="","",A222+MAX(B$2:B221))</f>
        <v/>
      </c>
      <c r="E222" s="48"/>
      <c r="F222" s="38"/>
      <c r="H222" s="56"/>
      <c r="J222" s="49"/>
    </row>
    <row r="223" spans="2:10" x14ac:dyDescent="0.4">
      <c r="B223" t="str">
        <f>IF(A223="","",A223+MAX(B$2:B222))</f>
        <v/>
      </c>
      <c r="E223" s="48"/>
      <c r="F223" s="38"/>
      <c r="H223" s="56"/>
      <c r="J223" s="49"/>
    </row>
    <row r="224" spans="2:10" x14ac:dyDescent="0.4">
      <c r="B224" t="str">
        <f>IF(A224="","",A224+MAX(B$2:B223))</f>
        <v/>
      </c>
      <c r="E224" s="48"/>
      <c r="F224" s="38"/>
      <c r="H224" s="56"/>
      <c r="J224" s="49"/>
    </row>
    <row r="225" spans="2:10" x14ac:dyDescent="0.4">
      <c r="B225" t="str">
        <f>IF(A225="","",A225+MAX(B$2:B224))</f>
        <v/>
      </c>
      <c r="E225" s="48"/>
      <c r="F225" s="38"/>
      <c r="H225" s="56"/>
      <c r="J225" s="49"/>
    </row>
    <row r="226" spans="2:10" x14ac:dyDescent="0.4">
      <c r="B226" t="str">
        <f>IF(A226="","",A226+MAX(B$2:B225))</f>
        <v/>
      </c>
      <c r="E226" s="48"/>
      <c r="F226" s="38"/>
      <c r="H226" s="56"/>
      <c r="J226" s="49"/>
    </row>
    <row r="227" spans="2:10" x14ac:dyDescent="0.4">
      <c r="B227" t="str">
        <f>IF(A227="","",A227+MAX(B$2:B226))</f>
        <v/>
      </c>
      <c r="E227" s="48"/>
      <c r="F227" s="38"/>
      <c r="H227" s="56"/>
      <c r="J227" s="49"/>
    </row>
    <row r="228" spans="2:10" x14ac:dyDescent="0.4">
      <c r="B228" t="str">
        <f>IF(A228="","",A228+MAX(B$2:B227))</f>
        <v/>
      </c>
      <c r="E228" s="48"/>
      <c r="F228" s="38"/>
      <c r="H228" s="56"/>
      <c r="J228" s="49"/>
    </row>
    <row r="229" spans="2:10" x14ac:dyDescent="0.4">
      <c r="B229" t="str">
        <f>IF(A229="","",A229+MAX(B$2:B228))</f>
        <v/>
      </c>
      <c r="E229" s="48"/>
      <c r="F229" s="38"/>
      <c r="H229" s="56"/>
      <c r="J229" s="49"/>
    </row>
    <row r="230" spans="2:10" x14ac:dyDescent="0.4">
      <c r="B230" t="str">
        <f>IF(A230="","",A230+MAX(B$2:B229))</f>
        <v/>
      </c>
      <c r="E230" s="48"/>
      <c r="F230" s="38"/>
      <c r="H230" s="56"/>
      <c r="J230" s="49"/>
    </row>
    <row r="231" spans="2:10" x14ac:dyDescent="0.4">
      <c r="B231" t="str">
        <f>IF(A231="","",A231+MAX(B$2:B230))</f>
        <v/>
      </c>
      <c r="E231" s="48"/>
      <c r="F231" s="38"/>
      <c r="H231" s="56"/>
      <c r="J231" s="49"/>
    </row>
    <row r="232" spans="2:10" x14ac:dyDescent="0.4">
      <c r="B232" t="str">
        <f>IF(A232="","",A232+MAX(B$2:B231))</f>
        <v/>
      </c>
      <c r="E232" s="48"/>
      <c r="F232" s="38"/>
      <c r="H232" s="56"/>
      <c r="J232" s="49"/>
    </row>
    <row r="233" spans="2:10" x14ac:dyDescent="0.4">
      <c r="B233" t="str">
        <f>IF(A233="","",A233+MAX(B$2:B232))</f>
        <v/>
      </c>
      <c r="E233" s="48"/>
      <c r="F233" s="38"/>
      <c r="H233" s="56"/>
      <c r="J233" s="49"/>
    </row>
    <row r="234" spans="2:10" x14ac:dyDescent="0.4">
      <c r="B234" t="str">
        <f>IF(A234="","",A234+MAX(B$2:B233))</f>
        <v/>
      </c>
      <c r="E234" s="48"/>
      <c r="F234" s="38"/>
      <c r="H234" s="56"/>
      <c r="J234" s="49"/>
    </row>
    <row r="235" spans="2:10" x14ac:dyDescent="0.4">
      <c r="B235" t="str">
        <f>IF(A235="","",A235+MAX(B$2:B234))</f>
        <v/>
      </c>
      <c r="E235" s="48"/>
      <c r="F235" s="38"/>
      <c r="H235" s="56"/>
      <c r="J235" s="49"/>
    </row>
    <row r="236" spans="2:10" x14ac:dyDescent="0.4">
      <c r="B236" t="str">
        <f>IF(A236="","",A236+MAX(B$2:B235))</f>
        <v/>
      </c>
      <c r="E236" s="48"/>
      <c r="F236" s="38"/>
      <c r="H236" s="56"/>
      <c r="J236" s="49"/>
    </row>
    <row r="237" spans="2:10" x14ac:dyDescent="0.4">
      <c r="B237" t="str">
        <f>IF(A237="","",A237+MAX(B$2:B236))</f>
        <v/>
      </c>
      <c r="E237" s="48"/>
      <c r="F237" s="38"/>
      <c r="H237" s="56"/>
      <c r="J237" s="49"/>
    </row>
    <row r="238" spans="2:10" x14ac:dyDescent="0.4">
      <c r="B238" t="str">
        <f>IF(A238="","",A238+MAX(B$2:B237))</f>
        <v/>
      </c>
      <c r="E238" s="48"/>
      <c r="F238" s="38"/>
      <c r="H238" s="56"/>
      <c r="J238" s="49"/>
    </row>
    <row r="239" spans="2:10" x14ac:dyDescent="0.4">
      <c r="B239" t="str">
        <f>IF(A239="","",A239+MAX(B$2:B238))</f>
        <v/>
      </c>
      <c r="E239" s="48"/>
      <c r="F239" s="38"/>
      <c r="H239" s="56"/>
      <c r="J239" s="49"/>
    </row>
    <row r="240" spans="2:10" x14ac:dyDescent="0.4">
      <c r="B240" t="str">
        <f>IF(A240="","",A240+MAX(B$2:B239))</f>
        <v/>
      </c>
      <c r="E240" s="48"/>
      <c r="F240" s="38"/>
      <c r="H240" s="56"/>
      <c r="J240" s="49"/>
    </row>
    <row r="241" spans="2:10" x14ac:dyDescent="0.4">
      <c r="B241" t="str">
        <f>IF(A241="","",A241+MAX(B$2:B240))</f>
        <v/>
      </c>
      <c r="E241" s="48"/>
      <c r="F241" s="38"/>
      <c r="H241" s="56"/>
      <c r="J241" s="49"/>
    </row>
    <row r="242" spans="2:10" x14ac:dyDescent="0.4">
      <c r="B242" t="str">
        <f>IF(A242="","",A242+MAX(B$2:B241))</f>
        <v/>
      </c>
      <c r="E242" s="48"/>
      <c r="F242" s="38"/>
      <c r="H242" s="56"/>
      <c r="J242" s="49"/>
    </row>
    <row r="243" spans="2:10" x14ac:dyDescent="0.4">
      <c r="B243" t="str">
        <f>IF(A243="","",A243+MAX(B$2:B242))</f>
        <v/>
      </c>
      <c r="E243" s="48"/>
      <c r="F243" s="38"/>
      <c r="H243" s="56"/>
      <c r="J243" s="49"/>
    </row>
    <row r="244" spans="2:10" x14ac:dyDescent="0.4">
      <c r="B244" t="str">
        <f>IF(A244="","",A244+MAX(B$2:B243))</f>
        <v/>
      </c>
      <c r="E244" s="48"/>
      <c r="F244" s="38"/>
      <c r="H244" s="56"/>
      <c r="J244" s="49"/>
    </row>
    <row r="245" spans="2:10" x14ac:dyDescent="0.4">
      <c r="B245" t="str">
        <f>IF(A245="","",A245+MAX(B$2:B244))</f>
        <v/>
      </c>
      <c r="E245" s="48"/>
      <c r="F245" s="38"/>
      <c r="H245" s="56"/>
      <c r="J245" s="49"/>
    </row>
    <row r="246" spans="2:10" x14ac:dyDescent="0.4">
      <c r="B246" t="str">
        <f>IF(A246="","",A246+MAX(B$2:B245))</f>
        <v/>
      </c>
      <c r="E246" s="48"/>
      <c r="F246" s="38"/>
      <c r="H246" s="56"/>
      <c r="J246" s="49"/>
    </row>
    <row r="247" spans="2:10" x14ac:dyDescent="0.4">
      <c r="B247" t="str">
        <f>IF(A247="","",A247+MAX(B$2:B246))</f>
        <v/>
      </c>
      <c r="E247" s="48"/>
      <c r="F247" s="38"/>
      <c r="H247" s="56"/>
      <c r="J247" s="49"/>
    </row>
    <row r="248" spans="2:10" x14ac:dyDescent="0.4">
      <c r="B248" t="str">
        <f>IF(A248="","",A248+MAX(B$2:B247))</f>
        <v/>
      </c>
      <c r="E248" s="48"/>
      <c r="F248" s="38"/>
      <c r="H248" s="56"/>
      <c r="J248" s="49"/>
    </row>
    <row r="249" spans="2:10" x14ac:dyDescent="0.4">
      <c r="B249" t="str">
        <f>IF(A249="","",A249+MAX(B$2:B248))</f>
        <v/>
      </c>
      <c r="E249" s="48"/>
      <c r="F249" s="38"/>
      <c r="H249" s="56"/>
      <c r="J249" s="49"/>
    </row>
    <row r="250" spans="2:10" x14ac:dyDescent="0.4">
      <c r="B250" t="str">
        <f>IF(A250="","",A250+MAX(B$2:B249))</f>
        <v/>
      </c>
      <c r="E250" s="48"/>
      <c r="F250" s="38"/>
      <c r="H250" s="56"/>
      <c r="J250" s="49"/>
    </row>
    <row r="251" spans="2:10" x14ac:dyDescent="0.4">
      <c r="B251" t="str">
        <f>IF(A251="","",A251+MAX(B$2:B250))</f>
        <v/>
      </c>
      <c r="E251" s="48"/>
      <c r="F251" s="38"/>
      <c r="H251" s="56"/>
      <c r="J251" s="49"/>
    </row>
    <row r="252" spans="2:10" x14ac:dyDescent="0.4">
      <c r="B252" t="str">
        <f>IF(A252="","",A252+MAX(B$2:B251))</f>
        <v/>
      </c>
      <c r="E252" s="48"/>
      <c r="F252" s="38"/>
      <c r="H252" s="56"/>
      <c r="J252" s="49"/>
    </row>
    <row r="253" spans="2:10" x14ac:dyDescent="0.4">
      <c r="B253" t="str">
        <f>IF(A253="","",A253+MAX(B$2:B252))</f>
        <v/>
      </c>
      <c r="E253" s="48"/>
      <c r="F253" s="38"/>
      <c r="H253" s="56"/>
      <c r="J253" s="49"/>
    </row>
    <row r="254" spans="2:10" x14ac:dyDescent="0.4">
      <c r="B254" t="str">
        <f>IF(A254="","",A254+MAX(B$2:B253))</f>
        <v/>
      </c>
      <c r="E254" s="48"/>
      <c r="F254" s="38"/>
      <c r="H254" s="56"/>
      <c r="J254" s="49"/>
    </row>
    <row r="255" spans="2:10" x14ac:dyDescent="0.4">
      <c r="B255" t="str">
        <f>IF(A255="","",A255+MAX(B$2:B254))</f>
        <v/>
      </c>
      <c r="E255" s="48"/>
      <c r="F255" s="38"/>
      <c r="H255" s="56"/>
      <c r="J255" s="49"/>
    </row>
    <row r="256" spans="2:10" x14ac:dyDescent="0.4">
      <c r="B256" t="str">
        <f>IF(A256="","",A256+MAX(B$2:B255))</f>
        <v/>
      </c>
      <c r="E256" s="48"/>
      <c r="F256" s="38"/>
      <c r="H256" s="56"/>
      <c r="J256" s="49"/>
    </row>
    <row r="257" spans="2:10" x14ac:dyDescent="0.4">
      <c r="B257" t="str">
        <f>IF(A257="","",A257+MAX(B$2:B256))</f>
        <v/>
      </c>
      <c r="E257" s="48"/>
      <c r="F257" s="38"/>
      <c r="H257" s="56"/>
      <c r="J257" s="49"/>
    </row>
    <row r="258" spans="2:10" x14ac:dyDescent="0.4">
      <c r="B258" t="str">
        <f>IF(A258="","",A258+MAX(B$2:B257))</f>
        <v/>
      </c>
      <c r="E258" s="48"/>
      <c r="F258" s="38"/>
      <c r="H258" s="56"/>
      <c r="J258" s="49"/>
    </row>
    <row r="259" spans="2:10" x14ac:dyDescent="0.4">
      <c r="B259" t="str">
        <f>IF(A259="","",A259+MAX(B$2:B258))</f>
        <v/>
      </c>
      <c r="E259" s="48"/>
      <c r="F259" s="38"/>
      <c r="H259" s="56"/>
      <c r="J259" s="49"/>
    </row>
    <row r="260" spans="2:10" x14ac:dyDescent="0.4">
      <c r="B260" t="str">
        <f>IF(A260="","",A260+MAX(B$2:B259))</f>
        <v/>
      </c>
      <c r="E260" s="48"/>
      <c r="F260" s="38"/>
      <c r="H260" s="56"/>
      <c r="J260" s="49"/>
    </row>
    <row r="261" spans="2:10" x14ac:dyDescent="0.4">
      <c r="B261" t="str">
        <f>IF(A261="","",A261+MAX(B$2:B260))</f>
        <v/>
      </c>
      <c r="E261" s="48"/>
      <c r="F261" s="38"/>
      <c r="H261" s="56"/>
      <c r="J261" s="49"/>
    </row>
    <row r="262" spans="2:10" x14ac:dyDescent="0.4">
      <c r="B262" t="str">
        <f>IF(A262="","",A262+MAX(B$2:B261))</f>
        <v/>
      </c>
      <c r="E262" s="48"/>
      <c r="F262" s="38"/>
      <c r="H262" s="56"/>
      <c r="J262" s="49"/>
    </row>
    <row r="263" spans="2:10" x14ac:dyDescent="0.4">
      <c r="B263" t="str">
        <f>IF(A263="","",A263+MAX(B$2:B262))</f>
        <v/>
      </c>
      <c r="E263" s="48"/>
      <c r="F263" s="38"/>
      <c r="H263" s="56"/>
      <c r="J263" s="49"/>
    </row>
    <row r="264" spans="2:10" x14ac:dyDescent="0.4">
      <c r="B264" t="str">
        <f>IF(A264="","",A264+MAX(B$2:B263))</f>
        <v/>
      </c>
      <c r="E264" s="48"/>
      <c r="F264" s="38"/>
      <c r="H264" s="56"/>
      <c r="J264" s="49"/>
    </row>
    <row r="265" spans="2:10" x14ac:dyDescent="0.4">
      <c r="B265" t="str">
        <f>IF(A265="","",A265+MAX(B$2:B264))</f>
        <v/>
      </c>
      <c r="E265" s="48"/>
      <c r="F265" s="38"/>
      <c r="H265" s="56"/>
      <c r="J265" s="49"/>
    </row>
    <row r="266" spans="2:10" x14ac:dyDescent="0.4">
      <c r="B266" t="str">
        <f>IF(A266="","",A266+MAX(B$2:B265))</f>
        <v/>
      </c>
      <c r="E266" s="48"/>
      <c r="F266" s="38"/>
      <c r="H266" s="56"/>
      <c r="J266" s="49"/>
    </row>
    <row r="267" spans="2:10" x14ac:dyDescent="0.4">
      <c r="B267" t="str">
        <f>IF(A267="","",A267+MAX(B$2:B266))</f>
        <v/>
      </c>
      <c r="E267" s="48"/>
      <c r="F267" s="38"/>
      <c r="H267" s="56"/>
      <c r="J267" s="49"/>
    </row>
    <row r="268" spans="2:10" x14ac:dyDescent="0.4">
      <c r="B268" t="str">
        <f>IF(A268="","",A268+MAX(B$2:B267))</f>
        <v/>
      </c>
      <c r="E268" s="48"/>
      <c r="F268" s="38"/>
      <c r="H268" s="56"/>
      <c r="J268" s="49"/>
    </row>
    <row r="269" spans="2:10" x14ac:dyDescent="0.4">
      <c r="B269" t="str">
        <f>IF(A269="","",A269+MAX(B$2:B268))</f>
        <v/>
      </c>
      <c r="E269" s="48"/>
      <c r="F269" s="38"/>
      <c r="H269" s="56"/>
      <c r="J269" s="49"/>
    </row>
    <row r="270" spans="2:10" x14ac:dyDescent="0.4">
      <c r="B270" t="str">
        <f>IF(A270="","",A270+MAX(B$2:B269))</f>
        <v/>
      </c>
      <c r="E270" s="48"/>
      <c r="F270" s="38"/>
      <c r="H270" s="56"/>
      <c r="J270" s="49"/>
    </row>
    <row r="271" spans="2:10" x14ac:dyDescent="0.4">
      <c r="B271" t="str">
        <f>IF(A271="","",A271+MAX(B$2:B270))</f>
        <v/>
      </c>
      <c r="E271" s="48"/>
      <c r="F271" s="38"/>
      <c r="H271" s="56"/>
      <c r="J271" s="49"/>
    </row>
    <row r="272" spans="2:10" x14ac:dyDescent="0.4">
      <c r="B272" t="str">
        <f>IF(A272="","",A272+MAX(B$2:B271))</f>
        <v/>
      </c>
      <c r="E272" s="48"/>
      <c r="F272" s="38"/>
      <c r="H272" s="56"/>
      <c r="J272" s="49"/>
    </row>
    <row r="273" spans="2:10" x14ac:dyDescent="0.4">
      <c r="B273" t="str">
        <f>IF(A273="","",A273+MAX(B$2:B272))</f>
        <v/>
      </c>
      <c r="E273" s="48"/>
      <c r="F273" s="38"/>
      <c r="H273" s="56"/>
      <c r="J273" s="49"/>
    </row>
    <row r="274" spans="2:10" x14ac:dyDescent="0.4">
      <c r="B274" t="str">
        <f>IF(A274="","",A274+MAX(B$2:B273))</f>
        <v/>
      </c>
      <c r="E274" s="48"/>
      <c r="F274" s="38"/>
      <c r="H274" s="56"/>
      <c r="J274" s="49"/>
    </row>
    <row r="275" spans="2:10" x14ac:dyDescent="0.4">
      <c r="B275" t="str">
        <f>IF(A275="","",A275+MAX(B$2:B274))</f>
        <v/>
      </c>
      <c r="E275" s="48"/>
      <c r="F275" s="38"/>
      <c r="H275" s="56"/>
      <c r="J275" s="49"/>
    </row>
    <row r="276" spans="2:10" x14ac:dyDescent="0.4">
      <c r="B276" t="str">
        <f>IF(A276="","",A276+MAX(B$2:B275))</f>
        <v/>
      </c>
      <c r="E276" s="48"/>
      <c r="F276" s="38"/>
      <c r="H276" s="56"/>
      <c r="J276" s="49"/>
    </row>
    <row r="277" spans="2:10" x14ac:dyDescent="0.4">
      <c r="B277" t="str">
        <f>IF(A277="","",A277+MAX(B$2:B276))</f>
        <v/>
      </c>
      <c r="E277" s="48"/>
      <c r="F277" s="38"/>
      <c r="H277" s="56"/>
      <c r="J277" s="49"/>
    </row>
    <row r="278" spans="2:10" x14ac:dyDescent="0.4">
      <c r="B278" t="str">
        <f>IF(A278="","",A278+MAX(B$2:B277))</f>
        <v/>
      </c>
      <c r="E278" s="48"/>
      <c r="F278" s="38"/>
      <c r="H278" s="56"/>
      <c r="J278" s="49"/>
    </row>
    <row r="279" spans="2:10" x14ac:dyDescent="0.4">
      <c r="B279" t="str">
        <f>IF(A279="","",A279+MAX(B$2:B278))</f>
        <v/>
      </c>
      <c r="E279" s="48"/>
      <c r="F279" s="38"/>
      <c r="H279" s="56"/>
      <c r="J279" s="49"/>
    </row>
    <row r="280" spans="2:10" x14ac:dyDescent="0.4">
      <c r="B280" t="str">
        <f>IF(A280="","",A280+MAX(B$2:B279))</f>
        <v/>
      </c>
      <c r="E280" s="48"/>
      <c r="F280" s="38"/>
      <c r="H280" s="56"/>
      <c r="J280" s="49"/>
    </row>
    <row r="281" spans="2:10" x14ac:dyDescent="0.4">
      <c r="B281" t="str">
        <f>IF(A281="","",A281+MAX(B$2:B280))</f>
        <v/>
      </c>
      <c r="E281" s="48"/>
      <c r="F281" s="38"/>
      <c r="H281" s="56"/>
      <c r="J281" s="49"/>
    </row>
    <row r="282" spans="2:10" x14ac:dyDescent="0.4">
      <c r="B282" t="str">
        <f>IF(A282="","",A282+MAX(B$2:B281))</f>
        <v/>
      </c>
      <c r="E282" s="48"/>
      <c r="F282" s="38"/>
      <c r="H282" s="56"/>
      <c r="J282" s="49"/>
    </row>
    <row r="283" spans="2:10" x14ac:dyDescent="0.4">
      <c r="B283" t="str">
        <f>IF(A283="","",A283+MAX(B$2:B282))</f>
        <v/>
      </c>
      <c r="E283" s="48"/>
      <c r="F283" s="38"/>
      <c r="H283" s="56"/>
      <c r="J283" s="49"/>
    </row>
    <row r="284" spans="2:10" x14ac:dyDescent="0.4">
      <c r="B284" t="str">
        <f>IF(A284="","",A284+MAX(B$2:B283))</f>
        <v/>
      </c>
      <c r="E284" s="48"/>
      <c r="F284" s="38"/>
      <c r="H284" s="56"/>
      <c r="J284" s="49"/>
    </row>
    <row r="285" spans="2:10" x14ac:dyDescent="0.4">
      <c r="B285" t="str">
        <f>IF(A285="","",A285+MAX(B$2:B284))</f>
        <v/>
      </c>
      <c r="E285" s="48"/>
      <c r="F285" s="38"/>
      <c r="H285" s="56"/>
      <c r="J285" s="49"/>
    </row>
    <row r="286" spans="2:10" x14ac:dyDescent="0.4">
      <c r="B286" t="str">
        <f>IF(A286="","",A286+MAX(B$2:B285))</f>
        <v/>
      </c>
      <c r="E286" s="48"/>
      <c r="F286" s="38"/>
      <c r="H286" s="56"/>
      <c r="J286" s="49"/>
    </row>
    <row r="287" spans="2:10" x14ac:dyDescent="0.4">
      <c r="B287" t="str">
        <f>IF(A287="","",A287+MAX(B$2:B286))</f>
        <v/>
      </c>
      <c r="E287" s="48"/>
      <c r="F287" s="38"/>
      <c r="H287" s="56"/>
      <c r="J287" s="49"/>
    </row>
    <row r="288" spans="2:10" x14ac:dyDescent="0.4">
      <c r="B288" t="str">
        <f>IF(A288="","",A288+MAX(B$2:B287))</f>
        <v/>
      </c>
      <c r="E288" s="48"/>
      <c r="F288" s="38"/>
      <c r="H288" s="56"/>
      <c r="J288" s="49"/>
    </row>
    <row r="289" spans="2:10" x14ac:dyDescent="0.4">
      <c r="B289" t="str">
        <f>IF(A289="","",A289+MAX(B$2:B288))</f>
        <v/>
      </c>
      <c r="E289" s="48"/>
      <c r="F289" s="38"/>
      <c r="H289" s="56"/>
      <c r="J289" s="49"/>
    </row>
    <row r="290" spans="2:10" x14ac:dyDescent="0.4">
      <c r="B290" t="str">
        <f>IF(A290="","",A290+MAX(B$2:B289))</f>
        <v/>
      </c>
      <c r="E290" s="48"/>
      <c r="F290" s="38"/>
      <c r="H290" s="56"/>
      <c r="J290" s="49"/>
    </row>
    <row r="291" spans="2:10" x14ac:dyDescent="0.4">
      <c r="B291" t="str">
        <f>IF(A291="","",A291+MAX(B$2:B290))</f>
        <v/>
      </c>
      <c r="E291" s="48"/>
      <c r="F291" s="38"/>
      <c r="H291" s="56"/>
      <c r="J291" s="49"/>
    </row>
    <row r="292" spans="2:10" x14ac:dyDescent="0.4">
      <c r="B292" t="str">
        <f>IF(A292="","",A292+MAX(B$2:B291))</f>
        <v/>
      </c>
      <c r="E292" s="48"/>
      <c r="F292" s="38"/>
      <c r="H292" s="56"/>
      <c r="J292" s="49"/>
    </row>
    <row r="293" spans="2:10" x14ac:dyDescent="0.4">
      <c r="B293" t="str">
        <f>IF(A293="","",A293+MAX(B$2:B292))</f>
        <v/>
      </c>
      <c r="E293" s="48"/>
      <c r="F293" s="38"/>
      <c r="H293" s="56"/>
      <c r="J293" s="49"/>
    </row>
    <row r="294" spans="2:10" x14ac:dyDescent="0.4">
      <c r="B294" t="str">
        <f>IF(A294="","",A294+MAX(B$2:B293))</f>
        <v/>
      </c>
      <c r="E294" s="48"/>
      <c r="F294" s="38"/>
      <c r="H294" s="56"/>
      <c r="J294" s="49"/>
    </row>
    <row r="295" spans="2:10" x14ac:dyDescent="0.4">
      <c r="B295" t="str">
        <f>IF(A295="","",A295+MAX(B$2:B294))</f>
        <v/>
      </c>
      <c r="E295" s="48"/>
      <c r="F295" s="38"/>
      <c r="H295" s="56"/>
      <c r="J295" s="49"/>
    </row>
    <row r="296" spans="2:10" x14ac:dyDescent="0.4">
      <c r="B296" t="str">
        <f>IF(A296="","",A296+MAX(B$2:B295))</f>
        <v/>
      </c>
      <c r="E296" s="48"/>
      <c r="F296" s="38"/>
      <c r="H296" s="56"/>
      <c r="J296" s="49"/>
    </row>
    <row r="297" spans="2:10" x14ac:dyDescent="0.4">
      <c r="B297" t="str">
        <f>IF(A297="","",A297+MAX(B$2:B296))</f>
        <v/>
      </c>
      <c r="E297" s="48"/>
      <c r="F297" s="38"/>
      <c r="H297" s="56"/>
      <c r="J297" s="49"/>
    </row>
    <row r="298" spans="2:10" x14ac:dyDescent="0.4">
      <c r="B298" t="str">
        <f>IF(A298="","",A298+MAX(B$2:B297))</f>
        <v/>
      </c>
      <c r="E298" s="48"/>
      <c r="F298" s="38"/>
      <c r="H298" s="56"/>
      <c r="J298" s="49"/>
    </row>
    <row r="299" spans="2:10" x14ac:dyDescent="0.4">
      <c r="B299" t="str">
        <f>IF(A299="","",A299+MAX(B$2:B298))</f>
        <v/>
      </c>
      <c r="E299" s="48"/>
      <c r="F299" s="38"/>
      <c r="H299" s="56"/>
      <c r="J299" s="49"/>
    </row>
    <row r="300" spans="2:10" x14ac:dyDescent="0.4">
      <c r="B300" t="str">
        <f>IF(A300="","",A300+MAX(B$2:B299))</f>
        <v/>
      </c>
      <c r="E300" s="48"/>
      <c r="F300" s="38"/>
      <c r="H300" s="56"/>
      <c r="J300" s="49"/>
    </row>
    <row r="301" spans="2:10" x14ac:dyDescent="0.4">
      <c r="B301" t="str">
        <f>IF(A301="","",A301+MAX(B$2:B300))</f>
        <v/>
      </c>
      <c r="E301" s="48"/>
      <c r="F301" s="38"/>
      <c r="H301" s="56"/>
      <c r="J301" s="49"/>
    </row>
    <row r="302" spans="2:10" x14ac:dyDescent="0.4">
      <c r="B302" t="str">
        <f>IF(A302="","",A302+MAX(B$2:B301))</f>
        <v/>
      </c>
      <c r="E302" s="48"/>
      <c r="F302" s="38"/>
      <c r="H302" s="56"/>
      <c r="J302" s="49"/>
    </row>
    <row r="303" spans="2:10" x14ac:dyDescent="0.4">
      <c r="B303" t="str">
        <f>IF(A303="","",A303+MAX(B$2:B302))</f>
        <v/>
      </c>
      <c r="E303" s="48"/>
      <c r="F303" s="38"/>
      <c r="H303" s="56"/>
      <c r="J303" s="49"/>
    </row>
    <row r="304" spans="2:10" x14ac:dyDescent="0.4">
      <c r="B304" t="str">
        <f>IF(A304="","",A304+MAX(B$2:B303))</f>
        <v/>
      </c>
      <c r="E304" s="48"/>
      <c r="F304" s="38"/>
      <c r="H304" s="56"/>
      <c r="J304" s="49"/>
    </row>
    <row r="305" spans="2:10" x14ac:dyDescent="0.4">
      <c r="B305" t="str">
        <f>IF(A305="","",A305+MAX(B$2:B304))</f>
        <v/>
      </c>
      <c r="E305" s="48"/>
      <c r="F305" s="38"/>
      <c r="H305" s="56"/>
      <c r="J305" s="49"/>
    </row>
    <row r="306" spans="2:10" x14ac:dyDescent="0.4">
      <c r="B306" t="str">
        <f>IF(A306="","",A306+MAX(B$2:B305))</f>
        <v/>
      </c>
      <c r="E306" s="48"/>
      <c r="F306" s="38"/>
      <c r="H306" s="56"/>
      <c r="J306" s="49"/>
    </row>
    <row r="307" spans="2:10" x14ac:dyDescent="0.4">
      <c r="B307" t="str">
        <f>IF(A307="","",A307+MAX(B$2:B306))</f>
        <v/>
      </c>
      <c r="E307" s="48"/>
      <c r="F307" s="38"/>
      <c r="H307" s="56"/>
      <c r="J307" s="49"/>
    </row>
    <row r="308" spans="2:10" x14ac:dyDescent="0.4">
      <c r="B308" t="str">
        <f>IF(A308="","",A308+MAX(B$2:B307))</f>
        <v/>
      </c>
      <c r="E308" s="48"/>
      <c r="F308" s="38"/>
      <c r="H308" s="56"/>
      <c r="J308" s="49"/>
    </row>
    <row r="309" spans="2:10" x14ac:dyDescent="0.4">
      <c r="B309" t="str">
        <f>IF(A309="","",A309+MAX(B$2:B308))</f>
        <v/>
      </c>
      <c r="E309" s="48"/>
      <c r="F309" s="38"/>
      <c r="H309" s="56"/>
      <c r="J309" s="49"/>
    </row>
    <row r="310" spans="2:10" x14ac:dyDescent="0.4">
      <c r="B310" t="str">
        <f>IF(A310="","",A310+MAX(B$2:B309))</f>
        <v/>
      </c>
      <c r="E310" s="48"/>
      <c r="F310" s="38"/>
      <c r="H310" s="56"/>
      <c r="J310" s="49"/>
    </row>
    <row r="311" spans="2:10" x14ac:dyDescent="0.4">
      <c r="B311" t="str">
        <f>IF(A311="","",A311+MAX(B$2:B310))</f>
        <v/>
      </c>
      <c r="E311" s="48"/>
      <c r="F311" s="38"/>
      <c r="H311" s="56"/>
      <c r="J311" s="49"/>
    </row>
    <row r="312" spans="2:10" x14ac:dyDescent="0.4">
      <c r="B312" t="str">
        <f>IF(A312="","",A312+MAX(B$2:B311))</f>
        <v/>
      </c>
      <c r="E312" s="48"/>
      <c r="F312" s="38"/>
      <c r="H312" s="56"/>
      <c r="J312" s="49"/>
    </row>
    <row r="313" spans="2:10" x14ac:dyDescent="0.4">
      <c r="B313" t="str">
        <f>IF(A313="","",A313+MAX(B$2:B312))</f>
        <v/>
      </c>
      <c r="E313" s="48"/>
      <c r="F313" s="38"/>
      <c r="H313" s="56"/>
      <c r="J313" s="49"/>
    </row>
    <row r="314" spans="2:10" x14ac:dyDescent="0.4">
      <c r="B314" t="str">
        <f>IF(A314="","",A314+MAX(B$2:B313))</f>
        <v/>
      </c>
      <c r="E314" s="48"/>
      <c r="F314" s="38"/>
      <c r="H314" s="56"/>
      <c r="J314" s="49"/>
    </row>
    <row r="315" spans="2:10" x14ac:dyDescent="0.4">
      <c r="B315" t="str">
        <f>IF(A315="","",A315+MAX(B$2:B314))</f>
        <v/>
      </c>
      <c r="E315" s="48"/>
      <c r="F315" s="38"/>
      <c r="H315" s="56"/>
      <c r="J315" s="49"/>
    </row>
    <row r="316" spans="2:10" x14ac:dyDescent="0.4">
      <c r="B316" t="str">
        <f>IF(A316="","",A316+MAX(B$2:B315))</f>
        <v/>
      </c>
      <c r="E316" s="48"/>
      <c r="F316" s="38"/>
      <c r="H316" s="56"/>
      <c r="J316" s="49"/>
    </row>
    <row r="317" spans="2:10" x14ac:dyDescent="0.4">
      <c r="B317" t="str">
        <f>IF(A317="","",A317+MAX(B$2:B316))</f>
        <v/>
      </c>
      <c r="E317" s="48"/>
      <c r="F317" s="38"/>
      <c r="H317" s="56"/>
      <c r="J317" s="49"/>
    </row>
    <row r="318" spans="2:10" x14ac:dyDescent="0.4">
      <c r="B318" t="str">
        <f>IF(A318="","",A318+MAX(B$2:B317))</f>
        <v/>
      </c>
      <c r="E318" s="48"/>
      <c r="F318" s="38"/>
      <c r="H318" s="56"/>
      <c r="J318" s="49"/>
    </row>
    <row r="319" spans="2:10" x14ac:dyDescent="0.4">
      <c r="B319" t="str">
        <f>IF(A319="","",A319+MAX(B$2:B318))</f>
        <v/>
      </c>
      <c r="E319" s="48"/>
      <c r="F319" s="38"/>
      <c r="H319" s="56"/>
      <c r="J319" s="49"/>
    </row>
    <row r="320" spans="2:10" x14ac:dyDescent="0.4">
      <c r="B320" t="str">
        <f>IF(A320="","",A320+MAX(B$2:B319))</f>
        <v/>
      </c>
      <c r="E320" s="48"/>
      <c r="F320" s="38"/>
      <c r="H320" s="56"/>
      <c r="J320" s="49"/>
    </row>
    <row r="321" spans="2:10" x14ac:dyDescent="0.4">
      <c r="B321" t="str">
        <f>IF(A321="","",A321+MAX(B$2:B320))</f>
        <v/>
      </c>
      <c r="E321" s="48"/>
      <c r="F321" s="38"/>
      <c r="H321" s="56"/>
      <c r="J321" s="49"/>
    </row>
    <row r="322" spans="2:10" x14ac:dyDescent="0.4">
      <c r="B322" t="str">
        <f>IF(A322="","",A322+MAX(B$2:B321))</f>
        <v/>
      </c>
      <c r="E322" s="48"/>
      <c r="F322" s="38"/>
      <c r="H322" s="56"/>
      <c r="J322" s="49"/>
    </row>
    <row r="323" spans="2:10" x14ac:dyDescent="0.4">
      <c r="B323" t="str">
        <f>IF(A323="","",A323+MAX(B$2:B322))</f>
        <v/>
      </c>
      <c r="E323" s="48"/>
      <c r="F323" s="38"/>
      <c r="H323" s="56"/>
      <c r="J323" s="49"/>
    </row>
    <row r="324" spans="2:10" x14ac:dyDescent="0.4">
      <c r="B324" t="str">
        <f>IF(A324="","",A324+MAX(B$2:B323))</f>
        <v/>
      </c>
      <c r="E324" s="48"/>
      <c r="F324" s="38"/>
      <c r="H324" s="56"/>
      <c r="J324" s="49"/>
    </row>
    <row r="325" spans="2:10" x14ac:dyDescent="0.4">
      <c r="B325" t="str">
        <f>IF(A325="","",A325+MAX(B$2:B324))</f>
        <v/>
      </c>
      <c r="E325" s="48"/>
      <c r="F325" s="38"/>
      <c r="H325" s="56"/>
      <c r="J325" s="49"/>
    </row>
    <row r="326" spans="2:10" x14ac:dyDescent="0.4">
      <c r="B326" t="str">
        <f>IF(A326="","",A326+MAX(B$2:B325))</f>
        <v/>
      </c>
      <c r="E326" s="48"/>
      <c r="F326" s="38"/>
      <c r="H326" s="56"/>
      <c r="J326" s="49"/>
    </row>
    <row r="327" spans="2:10" x14ac:dyDescent="0.4">
      <c r="B327" t="str">
        <f>IF(A327="","",A327+MAX(B$2:B326))</f>
        <v/>
      </c>
      <c r="E327" s="48"/>
      <c r="F327" s="38"/>
      <c r="H327" s="56"/>
      <c r="J327" s="49"/>
    </row>
    <row r="328" spans="2:10" x14ac:dyDescent="0.4">
      <c r="B328" t="str">
        <f>IF(A328="","",A328+MAX(B$2:B327))</f>
        <v/>
      </c>
      <c r="E328" s="48"/>
      <c r="F328" s="38"/>
      <c r="H328" s="56"/>
      <c r="J328" s="49"/>
    </row>
    <row r="329" spans="2:10" x14ac:dyDescent="0.4">
      <c r="B329" t="str">
        <f>IF(A329="","",A329+MAX(B$2:B328))</f>
        <v/>
      </c>
      <c r="E329" s="48"/>
      <c r="F329" s="38"/>
      <c r="H329" s="56"/>
      <c r="J329" s="49"/>
    </row>
    <row r="330" spans="2:10" x14ac:dyDescent="0.4">
      <c r="B330" t="str">
        <f>IF(A330="","",A330+MAX(B$2:B329))</f>
        <v/>
      </c>
      <c r="E330" s="48"/>
      <c r="F330" s="38"/>
      <c r="H330" s="56"/>
      <c r="J330" s="49"/>
    </row>
    <row r="331" spans="2:10" x14ac:dyDescent="0.4">
      <c r="B331" t="str">
        <f>IF(A331="","",A331+MAX(B$2:B330))</f>
        <v/>
      </c>
      <c r="E331" s="48"/>
      <c r="F331" s="38"/>
      <c r="H331" s="56"/>
      <c r="J331" s="49"/>
    </row>
    <row r="332" spans="2:10" x14ac:dyDescent="0.4">
      <c r="B332" t="str">
        <f>IF(A332="","",A332+MAX(B$2:B331))</f>
        <v/>
      </c>
      <c r="E332" s="48"/>
      <c r="F332" s="38"/>
      <c r="H332" s="56"/>
      <c r="J332" s="49"/>
    </row>
    <row r="333" spans="2:10" x14ac:dyDescent="0.4">
      <c r="B333" t="str">
        <f>IF(A333="","",A333+MAX(B$2:B332))</f>
        <v/>
      </c>
      <c r="E333" s="48"/>
      <c r="F333" s="38"/>
      <c r="H333" s="56"/>
      <c r="J333" s="49"/>
    </row>
    <row r="334" spans="2:10" x14ac:dyDescent="0.4">
      <c r="B334" t="str">
        <f>IF(A334="","",A334+MAX(B$2:B333))</f>
        <v/>
      </c>
      <c r="E334" s="48"/>
      <c r="F334" s="38"/>
      <c r="H334" s="56"/>
      <c r="J334" s="49"/>
    </row>
    <row r="335" spans="2:10" x14ac:dyDescent="0.4">
      <c r="B335" t="str">
        <f>IF(A335="","",A335+MAX(B$2:B334))</f>
        <v/>
      </c>
      <c r="E335" s="48"/>
      <c r="F335" s="38"/>
      <c r="H335" s="56"/>
      <c r="J335" s="49"/>
    </row>
    <row r="336" spans="2:10" x14ac:dyDescent="0.4">
      <c r="B336" t="str">
        <f>IF(A336="","",A336+MAX(B$2:B335))</f>
        <v/>
      </c>
      <c r="E336" s="48"/>
      <c r="F336" s="38"/>
      <c r="H336" s="56"/>
      <c r="J336" s="49"/>
    </row>
    <row r="337" spans="2:10" x14ac:dyDescent="0.4">
      <c r="B337" t="str">
        <f>IF(A337="","",A337+MAX(B$2:B336))</f>
        <v/>
      </c>
      <c r="E337" s="48"/>
      <c r="F337" s="38"/>
      <c r="H337" s="56"/>
      <c r="J337" s="49"/>
    </row>
    <row r="338" spans="2:10" x14ac:dyDescent="0.4">
      <c r="B338" t="str">
        <f>IF(A338="","",A338+MAX(B$2:B337))</f>
        <v/>
      </c>
      <c r="E338" s="48"/>
      <c r="F338" s="38"/>
      <c r="H338" s="56"/>
      <c r="J338" s="49"/>
    </row>
    <row r="339" spans="2:10" x14ac:dyDescent="0.4">
      <c r="B339" t="str">
        <f>IF(A339="","",A339+MAX(B$2:B338))</f>
        <v/>
      </c>
      <c r="E339" s="48"/>
      <c r="F339" s="38"/>
      <c r="H339" s="56"/>
      <c r="J339" s="49"/>
    </row>
    <row r="340" spans="2:10" x14ac:dyDescent="0.4">
      <c r="B340" t="str">
        <f>IF(A340="","",A340+MAX(B$2:B339))</f>
        <v/>
      </c>
      <c r="E340" s="48"/>
      <c r="F340" s="38"/>
      <c r="H340" s="56"/>
      <c r="J340" s="49"/>
    </row>
    <row r="341" spans="2:10" x14ac:dyDescent="0.4">
      <c r="B341" t="str">
        <f>IF(A341="","",A341+MAX(B$2:B340))</f>
        <v/>
      </c>
      <c r="E341" s="48"/>
      <c r="F341" s="38"/>
      <c r="H341" s="56"/>
      <c r="J341" s="49"/>
    </row>
    <row r="342" spans="2:10" x14ac:dyDescent="0.4">
      <c r="B342" t="str">
        <f>IF(A342="","",A342+MAX(B$2:B341))</f>
        <v/>
      </c>
      <c r="E342" s="48"/>
      <c r="F342" s="38"/>
      <c r="H342" s="56"/>
      <c r="J342" s="49"/>
    </row>
    <row r="343" spans="2:10" x14ac:dyDescent="0.4">
      <c r="B343" t="str">
        <f>IF(A343="","",A343+MAX(B$2:B342))</f>
        <v/>
      </c>
      <c r="E343" s="48"/>
      <c r="F343" s="38"/>
      <c r="H343" s="56"/>
      <c r="J343" s="49"/>
    </row>
    <row r="344" spans="2:10" x14ac:dyDescent="0.4">
      <c r="B344" t="str">
        <f>IF(A344="","",A344+MAX(B$2:B343))</f>
        <v/>
      </c>
      <c r="E344" s="48"/>
      <c r="F344" s="38"/>
      <c r="H344" s="56"/>
      <c r="J344" s="49"/>
    </row>
    <row r="345" spans="2:10" x14ac:dyDescent="0.4">
      <c r="B345" t="str">
        <f>IF(A345="","",A345+MAX(B$2:B344))</f>
        <v/>
      </c>
      <c r="E345" s="48"/>
      <c r="F345" s="38"/>
      <c r="H345" s="56"/>
      <c r="J345" s="49"/>
    </row>
    <row r="346" spans="2:10" x14ac:dyDescent="0.4">
      <c r="B346" t="str">
        <f>IF(A346="","",A346+MAX(B$2:B345))</f>
        <v/>
      </c>
      <c r="E346" s="48"/>
      <c r="F346" s="38"/>
      <c r="H346" s="56"/>
      <c r="J346" s="49"/>
    </row>
    <row r="347" spans="2:10" x14ac:dyDescent="0.4">
      <c r="B347" t="str">
        <f>IF(A347="","",A347+MAX(B$2:B346))</f>
        <v/>
      </c>
      <c r="E347" s="48"/>
      <c r="F347" s="38"/>
      <c r="H347" s="56"/>
      <c r="J347" s="49"/>
    </row>
    <row r="348" spans="2:10" x14ac:dyDescent="0.4">
      <c r="B348" t="str">
        <f>IF(A348="","",A348+MAX(B$2:B347))</f>
        <v/>
      </c>
      <c r="E348" s="48"/>
      <c r="F348" s="38"/>
      <c r="H348" s="56"/>
      <c r="J348" s="49"/>
    </row>
    <row r="349" spans="2:10" x14ac:dyDescent="0.4">
      <c r="B349" t="str">
        <f>IF(A349="","",A349+MAX(B$2:B348))</f>
        <v/>
      </c>
      <c r="E349" s="48"/>
      <c r="F349" s="38"/>
      <c r="H349" s="56"/>
      <c r="J349" s="49"/>
    </row>
    <row r="350" spans="2:10" x14ac:dyDescent="0.4">
      <c r="B350" t="str">
        <f>IF(A350="","",A350+MAX(B$2:B349))</f>
        <v/>
      </c>
      <c r="E350" s="48"/>
      <c r="F350" s="38"/>
      <c r="H350" s="56"/>
      <c r="J350" s="49"/>
    </row>
    <row r="351" spans="2:10" x14ac:dyDescent="0.4">
      <c r="B351" t="str">
        <f>IF(A351="","",A351+MAX(B$2:B350))</f>
        <v/>
      </c>
      <c r="E351" s="48"/>
      <c r="F351" s="38"/>
      <c r="H351" s="56"/>
      <c r="J351" s="49"/>
    </row>
    <row r="352" spans="2:10" x14ac:dyDescent="0.4">
      <c r="B352" t="str">
        <f>IF(A352="","",A352+MAX(B$2:B351))</f>
        <v/>
      </c>
      <c r="E352" s="48"/>
      <c r="F352" s="38"/>
      <c r="H352" s="56"/>
      <c r="J352" s="49"/>
    </row>
    <row r="353" spans="2:10" x14ac:dyDescent="0.4">
      <c r="B353" t="str">
        <f>IF(A353="","",A353+MAX(B$2:B352))</f>
        <v/>
      </c>
      <c r="E353" s="48"/>
      <c r="F353" s="38"/>
      <c r="H353" s="56"/>
      <c r="J353" s="49"/>
    </row>
    <row r="354" spans="2:10" x14ac:dyDescent="0.4">
      <c r="B354" t="str">
        <f>IF(A354="","",A354+MAX(B$2:B353))</f>
        <v/>
      </c>
      <c r="E354" s="48"/>
      <c r="F354" s="38"/>
      <c r="H354" s="56"/>
      <c r="J354" s="49"/>
    </row>
    <row r="355" spans="2:10" x14ac:dyDescent="0.4">
      <c r="B355" t="str">
        <f>IF(A355="","",A355+MAX(B$2:B354))</f>
        <v/>
      </c>
      <c r="E355" s="48"/>
      <c r="F355" s="38"/>
      <c r="H355" s="56"/>
      <c r="J355" s="49"/>
    </row>
    <row r="356" spans="2:10" x14ac:dyDescent="0.4">
      <c r="B356" t="str">
        <f>IF(A356="","",A356+MAX(B$2:B355))</f>
        <v/>
      </c>
      <c r="E356" s="48"/>
      <c r="F356" s="38"/>
      <c r="H356" s="56"/>
      <c r="J356" s="49"/>
    </row>
    <row r="357" spans="2:10" x14ac:dyDescent="0.4">
      <c r="B357" t="str">
        <f>IF(A357="","",A357+MAX(B$2:B356))</f>
        <v/>
      </c>
      <c r="E357" s="48"/>
      <c r="F357" s="38"/>
      <c r="H357" s="56"/>
      <c r="J357" s="49"/>
    </row>
    <row r="358" spans="2:10" x14ac:dyDescent="0.4">
      <c r="B358" t="str">
        <f>IF(A358="","",A358+MAX(B$2:B357))</f>
        <v/>
      </c>
      <c r="E358" s="48"/>
      <c r="F358" s="38"/>
      <c r="H358" s="56"/>
      <c r="J358" s="49"/>
    </row>
    <row r="359" spans="2:10" x14ac:dyDescent="0.4">
      <c r="B359" t="str">
        <f>IF(A359="","",A359+MAX(B$2:B358))</f>
        <v/>
      </c>
      <c r="E359" s="48"/>
      <c r="F359" s="38"/>
      <c r="H359" s="56"/>
      <c r="J359" s="49"/>
    </row>
    <row r="360" spans="2:10" x14ac:dyDescent="0.4">
      <c r="B360" t="str">
        <f>IF(A360="","",A360+MAX(B$2:B359))</f>
        <v/>
      </c>
      <c r="E360" s="48"/>
      <c r="F360" s="38"/>
      <c r="H360" s="56"/>
      <c r="J360" s="49"/>
    </row>
    <row r="361" spans="2:10" x14ac:dyDescent="0.4">
      <c r="B361" t="str">
        <f>IF(A361="","",A361+MAX(B$2:B360))</f>
        <v/>
      </c>
      <c r="E361" s="48"/>
      <c r="F361" s="38"/>
      <c r="H361" s="56"/>
      <c r="J361" s="49"/>
    </row>
    <row r="362" spans="2:10" x14ac:dyDescent="0.4">
      <c r="B362" t="str">
        <f>IF(A362="","",A362+MAX(B$2:B361))</f>
        <v/>
      </c>
      <c r="E362" s="48"/>
      <c r="F362" s="38"/>
      <c r="H362" s="56"/>
      <c r="J362" s="49"/>
    </row>
    <row r="363" spans="2:10" x14ac:dyDescent="0.4">
      <c r="B363" t="str">
        <f>IF(A363="","",A363+MAX(B$2:B362))</f>
        <v/>
      </c>
      <c r="E363" s="48"/>
      <c r="F363" s="38"/>
      <c r="H363" s="56"/>
      <c r="J363" s="49"/>
    </row>
    <row r="364" spans="2:10" x14ac:dyDescent="0.4">
      <c r="B364" t="str">
        <f>IF(A364="","",A364+MAX(B$2:B363))</f>
        <v/>
      </c>
      <c r="E364" s="48"/>
      <c r="F364" s="38"/>
      <c r="H364" s="56"/>
      <c r="J364" s="49"/>
    </row>
    <row r="365" spans="2:10" x14ac:dyDescent="0.4">
      <c r="B365" t="str">
        <f>IF(A365="","",A365+MAX(B$2:B364))</f>
        <v/>
      </c>
      <c r="E365" s="48"/>
      <c r="F365" s="38"/>
      <c r="H365" s="56"/>
      <c r="J365" s="49"/>
    </row>
    <row r="366" spans="2:10" x14ac:dyDescent="0.4">
      <c r="B366" t="str">
        <f>IF(A366="","",A366+MAX(B$2:B365))</f>
        <v/>
      </c>
      <c r="E366" s="48"/>
      <c r="F366" s="38"/>
      <c r="H366" s="56"/>
      <c r="J366" s="49"/>
    </row>
    <row r="367" spans="2:10" x14ac:dyDescent="0.4">
      <c r="B367" t="str">
        <f>IF(A367="","",A367+MAX(B$2:B366))</f>
        <v/>
      </c>
      <c r="E367" s="48"/>
      <c r="F367" s="38"/>
      <c r="H367" s="56"/>
      <c r="J367" s="49"/>
    </row>
    <row r="368" spans="2:10" x14ac:dyDescent="0.4">
      <c r="B368" t="str">
        <f>IF(A368="","",A368+MAX(B$2:B367))</f>
        <v/>
      </c>
      <c r="E368" s="48"/>
      <c r="F368" s="38"/>
      <c r="H368" s="56"/>
      <c r="J368" s="49"/>
    </row>
    <row r="369" spans="2:10" x14ac:dyDescent="0.4">
      <c r="B369" t="str">
        <f>IF(A369="","",A369+MAX(B$2:B368))</f>
        <v/>
      </c>
      <c r="E369" s="48"/>
      <c r="F369" s="38"/>
      <c r="H369" s="56"/>
      <c r="J369" s="49"/>
    </row>
    <row r="370" spans="2:10" x14ac:dyDescent="0.4">
      <c r="B370" t="str">
        <f>IF(A370="","",A370+MAX(B$2:B369))</f>
        <v/>
      </c>
      <c r="E370" s="48"/>
      <c r="F370" s="38"/>
      <c r="H370" s="56"/>
      <c r="J370" s="49"/>
    </row>
    <row r="371" spans="2:10" x14ac:dyDescent="0.4">
      <c r="B371" t="str">
        <f>IF(A371="","",A371+MAX(B$2:B370))</f>
        <v/>
      </c>
      <c r="E371" s="48"/>
      <c r="F371" s="38"/>
      <c r="H371" s="56"/>
      <c r="J371" s="49"/>
    </row>
    <row r="372" spans="2:10" x14ac:dyDescent="0.4">
      <c r="B372" t="str">
        <f>IF(A372="","",A372+MAX(B$2:B371))</f>
        <v/>
      </c>
      <c r="E372" s="48"/>
      <c r="F372" s="38"/>
      <c r="H372" s="56"/>
      <c r="J372" s="49"/>
    </row>
    <row r="373" spans="2:10" x14ac:dyDescent="0.4">
      <c r="B373" t="str">
        <f>IF(A373="","",A373+MAX(B$2:B372))</f>
        <v/>
      </c>
      <c r="E373" s="48"/>
      <c r="F373" s="38"/>
      <c r="H373" s="56"/>
      <c r="J373" s="49"/>
    </row>
    <row r="374" spans="2:10" x14ac:dyDescent="0.4">
      <c r="B374" t="str">
        <f>IF(A374="","",A374+MAX(B$2:B373))</f>
        <v/>
      </c>
      <c r="E374" s="48"/>
      <c r="F374" s="38"/>
      <c r="H374" s="56"/>
      <c r="J374" s="49"/>
    </row>
    <row r="375" spans="2:10" x14ac:dyDescent="0.4">
      <c r="B375" t="str">
        <f>IF(A375="","",A375+MAX(B$2:B374))</f>
        <v/>
      </c>
      <c r="E375" s="48"/>
      <c r="F375" s="38"/>
      <c r="H375" s="56"/>
      <c r="J375" s="49"/>
    </row>
    <row r="376" spans="2:10" x14ac:dyDescent="0.4">
      <c r="B376" t="str">
        <f>IF(A376="","",A376+MAX(B$2:B375))</f>
        <v/>
      </c>
      <c r="E376" s="48"/>
      <c r="F376" s="38"/>
      <c r="H376" s="56"/>
      <c r="J376" s="49"/>
    </row>
    <row r="377" spans="2:10" x14ac:dyDescent="0.4">
      <c r="B377" t="str">
        <f>IF(A377="","",A377+MAX(B$2:B376))</f>
        <v/>
      </c>
      <c r="E377" s="48"/>
      <c r="F377" s="38"/>
      <c r="H377" s="56"/>
      <c r="J377" s="49"/>
    </row>
    <row r="378" spans="2:10" x14ac:dyDescent="0.4">
      <c r="B378" t="str">
        <f>IF(A378="","",A378+MAX(B$2:B377))</f>
        <v/>
      </c>
      <c r="E378" s="48"/>
      <c r="F378" s="38"/>
      <c r="H378" s="56"/>
      <c r="J378" s="49"/>
    </row>
    <row r="379" spans="2:10" x14ac:dyDescent="0.4">
      <c r="B379" t="str">
        <f>IF(A379="","",A379+MAX(B$2:B378))</f>
        <v/>
      </c>
      <c r="E379" s="48"/>
      <c r="F379" s="38"/>
      <c r="H379" s="56"/>
      <c r="J379" s="49"/>
    </row>
    <row r="380" spans="2:10" x14ac:dyDescent="0.4">
      <c r="B380" t="str">
        <f>IF(A380="","",A380+MAX(B$2:B379))</f>
        <v/>
      </c>
      <c r="E380" s="48"/>
      <c r="F380" s="38"/>
      <c r="H380" s="56"/>
      <c r="J380" s="49"/>
    </row>
    <row r="381" spans="2:10" x14ac:dyDescent="0.4">
      <c r="B381" t="str">
        <f>IF(A381="","",A381+MAX(B$2:B380))</f>
        <v/>
      </c>
      <c r="E381" s="48"/>
      <c r="F381" s="38"/>
      <c r="H381" s="56"/>
      <c r="J381" s="49"/>
    </row>
    <row r="382" spans="2:10" x14ac:dyDescent="0.4">
      <c r="B382" t="str">
        <f>IF(A382="","",A382+MAX(B$2:B381))</f>
        <v/>
      </c>
      <c r="E382" s="48"/>
      <c r="F382" s="38"/>
      <c r="H382" s="56"/>
      <c r="J382" s="49"/>
    </row>
    <row r="383" spans="2:10" x14ac:dyDescent="0.4">
      <c r="B383" t="str">
        <f>IF(A383="","",A383+MAX(B$2:B382))</f>
        <v/>
      </c>
      <c r="E383" s="48"/>
      <c r="F383" s="38"/>
      <c r="H383" s="56"/>
      <c r="J383" s="49"/>
    </row>
    <row r="384" spans="2:10" x14ac:dyDescent="0.4">
      <c r="B384" t="str">
        <f>IF(A384="","",A384+MAX(B$2:B383))</f>
        <v/>
      </c>
      <c r="E384" s="48"/>
      <c r="F384" s="38"/>
      <c r="H384" s="56"/>
      <c r="J384" s="49"/>
    </row>
    <row r="385" spans="2:10" x14ac:dyDescent="0.4">
      <c r="B385" t="str">
        <f>IF(A385="","",A385+MAX(B$2:B384))</f>
        <v/>
      </c>
      <c r="E385" s="48"/>
      <c r="F385" s="38"/>
      <c r="H385" s="56"/>
      <c r="J385" s="49"/>
    </row>
    <row r="386" spans="2:10" x14ac:dyDescent="0.4">
      <c r="B386" t="str">
        <f>IF(A386="","",A386+MAX(B$2:B385))</f>
        <v/>
      </c>
      <c r="E386" s="48"/>
      <c r="F386" s="38"/>
      <c r="H386" s="56"/>
      <c r="J386" s="49"/>
    </row>
    <row r="387" spans="2:10" x14ac:dyDescent="0.4">
      <c r="B387" t="str">
        <f>IF(A387="","",A387+MAX(B$2:B386))</f>
        <v/>
      </c>
      <c r="E387" s="48"/>
      <c r="F387" s="38"/>
      <c r="H387" s="56"/>
      <c r="J387" s="49"/>
    </row>
    <row r="388" spans="2:10" x14ac:dyDescent="0.4">
      <c r="B388" t="str">
        <f>IF(A388="","",A388+MAX(B$2:B387))</f>
        <v/>
      </c>
      <c r="E388" s="48"/>
      <c r="F388" s="38"/>
      <c r="H388" s="56"/>
      <c r="J388" s="49"/>
    </row>
    <row r="389" spans="2:10" x14ac:dyDescent="0.4">
      <c r="B389" t="str">
        <f>IF(A389="","",A389+MAX(B$2:B388))</f>
        <v/>
      </c>
      <c r="E389" s="48"/>
      <c r="F389" s="38"/>
      <c r="H389" s="56"/>
      <c r="J389" s="49"/>
    </row>
    <row r="390" spans="2:10" x14ac:dyDescent="0.4">
      <c r="B390" t="str">
        <f>IF(A390="","",A390+MAX(B$2:B389))</f>
        <v/>
      </c>
      <c r="E390" s="48"/>
      <c r="F390" s="38"/>
      <c r="H390" s="56"/>
      <c r="J390" s="49"/>
    </row>
    <row r="391" spans="2:10" x14ac:dyDescent="0.4">
      <c r="B391" t="str">
        <f>IF(A391="","",A391+MAX(B$2:B390))</f>
        <v/>
      </c>
      <c r="E391" s="48"/>
      <c r="F391" s="38"/>
      <c r="H391" s="56"/>
      <c r="J391" s="49"/>
    </row>
    <row r="392" spans="2:10" x14ac:dyDescent="0.4">
      <c r="B392" t="str">
        <f>IF(A392="","",A392+MAX(B$2:B391))</f>
        <v/>
      </c>
      <c r="E392" s="48"/>
      <c r="F392" s="38"/>
      <c r="H392" s="56"/>
      <c r="J392" s="49"/>
    </row>
    <row r="393" spans="2:10" x14ac:dyDescent="0.4">
      <c r="B393" t="str">
        <f>IF(A393="","",A393+MAX(B$2:B392))</f>
        <v/>
      </c>
      <c r="E393" s="48"/>
      <c r="F393" s="38"/>
      <c r="H393" s="56"/>
      <c r="J393" s="49"/>
    </row>
    <row r="394" spans="2:10" x14ac:dyDescent="0.4">
      <c r="B394" t="str">
        <f>IF(A394="","",A394+MAX(B$2:B393))</f>
        <v/>
      </c>
      <c r="E394" s="48"/>
      <c r="F394" s="38"/>
      <c r="H394" s="56"/>
      <c r="J394" s="49"/>
    </row>
    <row r="395" spans="2:10" x14ac:dyDescent="0.4">
      <c r="B395" t="str">
        <f>IF(A395="","",A395+MAX(B$2:B394))</f>
        <v/>
      </c>
      <c r="E395" s="48"/>
      <c r="F395" s="38"/>
      <c r="H395" s="56"/>
      <c r="J395" s="49"/>
    </row>
    <row r="396" spans="2:10" x14ac:dyDescent="0.4">
      <c r="B396" t="str">
        <f>IF(A396="","",A396+MAX(B$2:B395))</f>
        <v/>
      </c>
      <c r="E396" s="48"/>
      <c r="F396" s="38"/>
      <c r="H396" s="56"/>
      <c r="J396" s="49"/>
    </row>
    <row r="397" spans="2:10" x14ac:dyDescent="0.4">
      <c r="B397" t="str">
        <f>IF(A397="","",A397+MAX(B$2:B396))</f>
        <v/>
      </c>
      <c r="E397" s="48"/>
      <c r="F397" s="38"/>
      <c r="H397" s="56"/>
      <c r="J397" s="49"/>
    </row>
    <row r="398" spans="2:10" x14ac:dyDescent="0.4">
      <c r="B398" t="str">
        <f>IF(A398="","",A398+MAX(B$2:B397))</f>
        <v/>
      </c>
      <c r="E398" s="48"/>
      <c r="F398" s="38"/>
      <c r="H398" s="56"/>
      <c r="J398" s="49"/>
    </row>
    <row r="399" spans="2:10" x14ac:dyDescent="0.4">
      <c r="B399" t="str">
        <f>IF(A399="","",A399+MAX(B$2:B398))</f>
        <v/>
      </c>
      <c r="E399" s="48"/>
      <c r="F399" s="38"/>
      <c r="H399" s="56"/>
      <c r="J399" s="49"/>
    </row>
    <row r="400" spans="2:10" x14ac:dyDescent="0.4">
      <c r="B400" t="str">
        <f>IF(A400="","",A400+MAX(B$2:B399))</f>
        <v/>
      </c>
      <c r="E400" s="48"/>
      <c r="F400" s="38"/>
      <c r="H400" s="56"/>
      <c r="J400" s="49"/>
    </row>
    <row r="401" spans="2:10" x14ac:dyDescent="0.4">
      <c r="B401" t="str">
        <f>IF(A401="","",A401+MAX(B$2:B400))</f>
        <v/>
      </c>
      <c r="E401" s="48"/>
      <c r="F401" s="38"/>
      <c r="H401" s="56"/>
      <c r="J401" s="49"/>
    </row>
    <row r="402" spans="2:10" x14ac:dyDescent="0.4">
      <c r="B402" t="str">
        <f>IF(A402="","",A402+MAX(B$2:B401))</f>
        <v/>
      </c>
      <c r="E402" s="48"/>
      <c r="F402" s="38"/>
      <c r="H402" s="56"/>
      <c r="J402" s="49"/>
    </row>
    <row r="403" spans="2:10" x14ac:dyDescent="0.4">
      <c r="B403" t="str">
        <f>IF(A403="","",A403+MAX(B$2:B402))</f>
        <v/>
      </c>
      <c r="E403" s="48"/>
      <c r="F403" s="38"/>
      <c r="H403" s="56"/>
      <c r="J403" s="49"/>
    </row>
    <row r="404" spans="2:10" x14ac:dyDescent="0.4">
      <c r="B404" t="str">
        <f>IF(A404="","",A404+MAX(B$2:B403))</f>
        <v/>
      </c>
      <c r="E404" s="48"/>
      <c r="F404" s="38"/>
      <c r="H404" s="56"/>
      <c r="J404" s="49"/>
    </row>
    <row r="405" spans="2:10" x14ac:dyDescent="0.4">
      <c r="B405" t="str">
        <f>IF(A405="","",A405+MAX(B$2:B404))</f>
        <v/>
      </c>
      <c r="E405" s="48"/>
      <c r="F405" s="38"/>
      <c r="H405" s="56"/>
      <c r="J405" s="49"/>
    </row>
    <row r="406" spans="2:10" x14ac:dyDescent="0.4">
      <c r="B406" t="str">
        <f>IF(A406="","",A406+MAX(B$2:B405))</f>
        <v/>
      </c>
      <c r="E406" s="48"/>
      <c r="F406" s="38"/>
      <c r="H406" s="56"/>
      <c r="J406" s="49"/>
    </row>
    <row r="407" spans="2:10" x14ac:dyDescent="0.4">
      <c r="B407" t="str">
        <f>IF(A407="","",A407+MAX(B$2:B406))</f>
        <v/>
      </c>
      <c r="E407" s="48"/>
      <c r="F407" s="38"/>
      <c r="H407" s="56"/>
      <c r="J407" s="49"/>
    </row>
    <row r="408" spans="2:10" x14ac:dyDescent="0.4">
      <c r="B408" t="str">
        <f>IF(A408="","",A408+MAX(B$2:B407))</f>
        <v/>
      </c>
      <c r="E408" s="48"/>
      <c r="F408" s="38"/>
      <c r="H408" s="56"/>
      <c r="J408" s="49"/>
    </row>
    <row r="409" spans="2:10" x14ac:dyDescent="0.4">
      <c r="B409" t="str">
        <f>IF(A409="","",A409+MAX(B$2:B408))</f>
        <v/>
      </c>
      <c r="E409" s="48"/>
      <c r="F409" s="38"/>
      <c r="H409" s="56"/>
      <c r="J409" s="49"/>
    </row>
    <row r="410" spans="2:10" x14ac:dyDescent="0.4">
      <c r="B410" t="str">
        <f>IF(A410="","",A410+MAX(B$2:B409))</f>
        <v/>
      </c>
      <c r="E410" s="48"/>
      <c r="F410" s="38"/>
      <c r="H410" s="56"/>
      <c r="J410" s="49"/>
    </row>
    <row r="411" spans="2:10" x14ac:dyDescent="0.4">
      <c r="B411" t="str">
        <f>IF(A411="","",A411+MAX(B$2:B410))</f>
        <v/>
      </c>
      <c r="E411" s="48"/>
      <c r="F411" s="38"/>
      <c r="H411" s="56"/>
      <c r="J411" s="49"/>
    </row>
    <row r="412" spans="2:10" x14ac:dyDescent="0.4">
      <c r="B412" t="str">
        <f>IF(A412="","",A412+MAX(B$2:B411))</f>
        <v/>
      </c>
      <c r="E412" s="48"/>
      <c r="F412" s="38"/>
      <c r="H412" s="56"/>
      <c r="J412" s="49"/>
    </row>
    <row r="413" spans="2:10" x14ac:dyDescent="0.4">
      <c r="B413" t="str">
        <f>IF(A413="","",A413+MAX(B$2:B412))</f>
        <v/>
      </c>
      <c r="E413" s="48"/>
      <c r="F413" s="38"/>
      <c r="H413" s="56"/>
      <c r="J413" s="49"/>
    </row>
    <row r="414" spans="2:10" x14ac:dyDescent="0.4">
      <c r="B414" t="str">
        <f>IF(A414="","",A414+MAX(B$2:B413))</f>
        <v/>
      </c>
      <c r="E414" s="48"/>
      <c r="F414" s="38"/>
      <c r="H414" s="56"/>
      <c r="J414" s="49"/>
    </row>
    <row r="415" spans="2:10" x14ac:dyDescent="0.4">
      <c r="B415" t="str">
        <f>IF(A415="","",A415+MAX(B$2:B414))</f>
        <v/>
      </c>
      <c r="E415" s="48"/>
      <c r="F415" s="38"/>
      <c r="H415" s="56"/>
      <c r="J415" s="49"/>
    </row>
    <row r="416" spans="2:10" x14ac:dyDescent="0.4">
      <c r="B416" t="str">
        <f>IF(A416="","",A416+MAX(B$2:B415))</f>
        <v/>
      </c>
      <c r="E416" s="48"/>
      <c r="F416" s="38"/>
      <c r="H416" s="56"/>
      <c r="J416" s="49"/>
    </row>
    <row r="417" spans="2:10" x14ac:dyDescent="0.4">
      <c r="B417" t="str">
        <f>IF(A417="","",A417+MAX(B$2:B416))</f>
        <v/>
      </c>
      <c r="E417" s="48"/>
      <c r="F417" s="38"/>
      <c r="H417" s="56"/>
      <c r="J417" s="49"/>
    </row>
    <row r="418" spans="2:10" x14ac:dyDescent="0.4">
      <c r="B418" t="str">
        <f>IF(A418="","",A418+MAX(B$2:B417))</f>
        <v/>
      </c>
      <c r="E418" s="48"/>
      <c r="F418" s="38"/>
      <c r="H418" s="56"/>
      <c r="J418" s="49"/>
    </row>
    <row r="419" spans="2:10" x14ac:dyDescent="0.4">
      <c r="B419" t="str">
        <f>IF(A419="","",A419+MAX(B$2:B418))</f>
        <v/>
      </c>
      <c r="E419" s="48"/>
      <c r="F419" s="38"/>
      <c r="H419" s="56"/>
      <c r="J419" s="49"/>
    </row>
    <row r="420" spans="2:10" x14ac:dyDescent="0.4">
      <c r="B420" t="str">
        <f>IF(A420="","",A420+MAX(B$2:B419))</f>
        <v/>
      </c>
      <c r="E420" s="48"/>
      <c r="F420" s="38"/>
      <c r="H420" s="56"/>
      <c r="J420" s="49"/>
    </row>
    <row r="421" spans="2:10" x14ac:dyDescent="0.4">
      <c r="B421" t="str">
        <f>IF(A421="","",A421+MAX(B$2:B420))</f>
        <v/>
      </c>
      <c r="E421" s="48"/>
      <c r="F421" s="38"/>
      <c r="H421" s="56"/>
      <c r="J421" s="49"/>
    </row>
    <row r="422" spans="2:10" x14ac:dyDescent="0.4">
      <c r="B422" t="str">
        <f>IF(A422="","",A422+MAX(B$2:B421))</f>
        <v/>
      </c>
      <c r="E422" s="48"/>
      <c r="F422" s="38"/>
      <c r="H422" s="56"/>
      <c r="J422" s="49"/>
    </row>
    <row r="423" spans="2:10" x14ac:dyDescent="0.4">
      <c r="B423" t="str">
        <f>IF(A423="","",A423+MAX(B$2:B422))</f>
        <v/>
      </c>
      <c r="E423" s="48"/>
      <c r="F423" s="38"/>
      <c r="H423" s="56"/>
      <c r="J423" s="49"/>
    </row>
    <row r="424" spans="2:10" x14ac:dyDescent="0.4">
      <c r="B424" t="str">
        <f>IF(A424="","",A424+MAX(B$2:B423))</f>
        <v/>
      </c>
      <c r="E424" s="48"/>
      <c r="F424" s="38"/>
      <c r="H424" s="56"/>
      <c r="J424" s="49"/>
    </row>
    <row r="425" spans="2:10" x14ac:dyDescent="0.4">
      <c r="B425" t="str">
        <f>IF(A425="","",A425+MAX(B$2:B424))</f>
        <v/>
      </c>
      <c r="E425" s="48"/>
      <c r="F425" s="38"/>
      <c r="H425" s="56"/>
      <c r="J425" s="49"/>
    </row>
    <row r="426" spans="2:10" x14ac:dyDescent="0.4">
      <c r="B426" t="str">
        <f>IF(A426="","",A426+MAX(B$2:B425))</f>
        <v/>
      </c>
      <c r="E426" s="48"/>
      <c r="F426" s="38"/>
      <c r="H426" s="56"/>
      <c r="J426" s="49"/>
    </row>
    <row r="427" spans="2:10" x14ac:dyDescent="0.4">
      <c r="B427" t="str">
        <f>IF(A427="","",A427+MAX(B$2:B426))</f>
        <v/>
      </c>
      <c r="E427" s="48"/>
      <c r="F427" s="38"/>
      <c r="H427" s="56"/>
      <c r="J427" s="49"/>
    </row>
    <row r="428" spans="2:10" x14ac:dyDescent="0.4">
      <c r="B428" t="str">
        <f>IF(A428="","",A428+MAX(B$2:B427))</f>
        <v/>
      </c>
      <c r="E428" s="48"/>
      <c r="F428" s="38"/>
      <c r="H428" s="56"/>
      <c r="J428" s="49"/>
    </row>
    <row r="429" spans="2:10" x14ac:dyDescent="0.4">
      <c r="B429" t="str">
        <f>IF(A429="","",A429+MAX(B$2:B428))</f>
        <v/>
      </c>
      <c r="E429" s="48"/>
      <c r="F429" s="38"/>
      <c r="H429" s="56"/>
      <c r="J429" s="49"/>
    </row>
    <row r="430" spans="2:10" x14ac:dyDescent="0.4">
      <c r="B430" t="str">
        <f>IF(A430="","",A430+MAX(B$2:B429))</f>
        <v/>
      </c>
      <c r="E430" s="48"/>
      <c r="F430" s="38"/>
      <c r="H430" s="56"/>
      <c r="J430" s="49"/>
    </row>
    <row r="431" spans="2:10" x14ac:dyDescent="0.4">
      <c r="B431" t="str">
        <f>IF(A431="","",A431+MAX(B$2:B430))</f>
        <v/>
      </c>
      <c r="E431" s="48"/>
      <c r="F431" s="38"/>
      <c r="H431" s="56"/>
      <c r="J431" s="49"/>
    </row>
    <row r="432" spans="2:10" x14ac:dyDescent="0.4">
      <c r="B432" t="str">
        <f>IF(A432="","",A432+MAX(B$2:B431))</f>
        <v/>
      </c>
      <c r="E432" s="48"/>
      <c r="F432" s="38"/>
      <c r="H432" s="56"/>
      <c r="J432" s="49"/>
    </row>
    <row r="433" spans="2:10" x14ac:dyDescent="0.4">
      <c r="B433" t="str">
        <f>IF(A433="","",A433+MAX(B$2:B432))</f>
        <v/>
      </c>
      <c r="E433" s="48"/>
      <c r="F433" s="38"/>
      <c r="H433" s="56"/>
      <c r="J433" s="49"/>
    </row>
    <row r="434" spans="2:10" x14ac:dyDescent="0.4">
      <c r="B434" t="str">
        <f>IF(A434="","",A434+MAX(B$2:B433))</f>
        <v/>
      </c>
      <c r="E434" s="48"/>
      <c r="F434" s="38"/>
      <c r="H434" s="56"/>
      <c r="J434" s="49"/>
    </row>
    <row r="435" spans="2:10" x14ac:dyDescent="0.4">
      <c r="B435" t="str">
        <f>IF(A435="","",A435+MAX(B$2:B434))</f>
        <v/>
      </c>
      <c r="E435" s="48"/>
      <c r="F435" s="38"/>
      <c r="H435" s="56"/>
      <c r="J435" s="49"/>
    </row>
    <row r="436" spans="2:10" x14ac:dyDescent="0.4">
      <c r="B436" t="str">
        <f>IF(A436="","",A436+MAX(B$2:B435))</f>
        <v/>
      </c>
      <c r="E436" s="48"/>
      <c r="F436" s="38"/>
      <c r="H436" s="56"/>
      <c r="J436" s="49"/>
    </row>
    <row r="437" spans="2:10" x14ac:dyDescent="0.4">
      <c r="B437" t="str">
        <f>IF(A437="","",A437+MAX(B$2:B436))</f>
        <v/>
      </c>
      <c r="E437" s="48"/>
      <c r="F437" s="38"/>
      <c r="H437" s="56"/>
      <c r="J437" s="49"/>
    </row>
    <row r="438" spans="2:10" x14ac:dyDescent="0.4">
      <c r="B438" t="str">
        <f>IF(A438="","",A438+MAX(B$2:B437))</f>
        <v/>
      </c>
      <c r="E438" s="48"/>
      <c r="F438" s="38"/>
      <c r="H438" s="56"/>
      <c r="J438" s="49"/>
    </row>
    <row r="439" spans="2:10" x14ac:dyDescent="0.4">
      <c r="B439" t="str">
        <f>IF(A439="","",A439+MAX(B$2:B438))</f>
        <v/>
      </c>
      <c r="E439" s="48"/>
      <c r="F439" s="38"/>
      <c r="H439" s="56"/>
      <c r="J439" s="49"/>
    </row>
    <row r="440" spans="2:10" x14ac:dyDescent="0.4">
      <c r="B440" t="str">
        <f>IF(A440="","",A440+MAX(B$2:B439))</f>
        <v/>
      </c>
      <c r="E440" s="48"/>
      <c r="F440" s="38"/>
      <c r="H440" s="56"/>
      <c r="J440" s="49"/>
    </row>
    <row r="441" spans="2:10" x14ac:dyDescent="0.4">
      <c r="B441" t="str">
        <f>IF(A441="","",A441+MAX(B$2:B440))</f>
        <v/>
      </c>
      <c r="E441" s="48"/>
      <c r="F441" s="38"/>
      <c r="H441" s="56"/>
      <c r="J441" s="49"/>
    </row>
    <row r="442" spans="2:10" x14ac:dyDescent="0.4">
      <c r="B442" t="str">
        <f>IF(A442="","",A442+MAX(B$2:B441))</f>
        <v/>
      </c>
      <c r="E442" s="48"/>
      <c r="F442" s="38"/>
      <c r="H442" s="56"/>
      <c r="J442" s="49"/>
    </row>
    <row r="443" spans="2:10" x14ac:dyDescent="0.4">
      <c r="B443" t="str">
        <f>IF(A443="","",A443+MAX(B$2:B442))</f>
        <v/>
      </c>
      <c r="E443" s="48"/>
      <c r="F443" s="38"/>
      <c r="H443" s="56"/>
      <c r="J443" s="49"/>
    </row>
    <row r="444" spans="2:10" x14ac:dyDescent="0.4">
      <c r="B444" t="str">
        <f>IF(A444="","",A444+MAX(B$2:B443))</f>
        <v/>
      </c>
      <c r="E444" s="48"/>
      <c r="F444" s="38"/>
      <c r="H444" s="56"/>
      <c r="J444" s="49"/>
    </row>
    <row r="445" spans="2:10" x14ac:dyDescent="0.4">
      <c r="B445" t="str">
        <f>IF(A445="","",A445+MAX(B$2:B444))</f>
        <v/>
      </c>
      <c r="E445" s="48"/>
      <c r="F445" s="38"/>
      <c r="H445" s="56"/>
      <c r="J445" s="49"/>
    </row>
    <row r="446" spans="2:10" x14ac:dyDescent="0.4">
      <c r="B446" t="str">
        <f>IF(A446="","",A446+MAX(B$2:B445))</f>
        <v/>
      </c>
      <c r="E446" s="48"/>
      <c r="F446" s="38"/>
      <c r="H446" s="56"/>
      <c r="J446" s="49"/>
    </row>
    <row r="447" spans="2:10" x14ac:dyDescent="0.4">
      <c r="B447" t="str">
        <f>IF(A447="","",A447+MAX(B$2:B446))</f>
        <v/>
      </c>
      <c r="E447" s="48"/>
      <c r="F447" s="38"/>
      <c r="H447" s="56"/>
      <c r="J447" s="49"/>
    </row>
    <row r="448" spans="2:10" x14ac:dyDescent="0.4">
      <c r="B448" t="str">
        <f>IF(A448="","",A448+MAX(B$2:B447))</f>
        <v/>
      </c>
      <c r="E448" s="48"/>
      <c r="F448" s="38"/>
      <c r="H448" s="56"/>
      <c r="J448" s="49"/>
    </row>
    <row r="449" spans="2:10" x14ac:dyDescent="0.4">
      <c r="B449" t="str">
        <f>IF(A449="","",A449+MAX(B$2:B448))</f>
        <v/>
      </c>
      <c r="E449" s="48"/>
      <c r="F449" s="38"/>
      <c r="H449" s="56"/>
      <c r="J449" s="49"/>
    </row>
    <row r="450" spans="2:10" x14ac:dyDescent="0.4">
      <c r="B450" t="str">
        <f>IF(A450="","",A450+MAX(B$2:B449))</f>
        <v/>
      </c>
      <c r="E450" s="48"/>
      <c r="F450" s="38"/>
      <c r="H450" s="56"/>
      <c r="J450" s="49"/>
    </row>
    <row r="451" spans="2:10" x14ac:dyDescent="0.4">
      <c r="B451" t="str">
        <f>IF(A451="","",A451+MAX(B$2:B450))</f>
        <v/>
      </c>
      <c r="E451" s="48"/>
      <c r="F451" s="38"/>
      <c r="H451" s="56"/>
      <c r="J451" s="49"/>
    </row>
    <row r="452" spans="2:10" x14ac:dyDescent="0.4">
      <c r="B452" t="str">
        <f>IF(A452="","",A452+MAX(B$2:B451))</f>
        <v/>
      </c>
      <c r="E452" s="48"/>
      <c r="F452" s="38"/>
      <c r="H452" s="56"/>
      <c r="J452" s="49"/>
    </row>
    <row r="453" spans="2:10" x14ac:dyDescent="0.4">
      <c r="B453" t="str">
        <f>IF(A453="","",A453+MAX(B$2:B452))</f>
        <v/>
      </c>
      <c r="E453" s="48"/>
      <c r="F453" s="38"/>
      <c r="H453" s="56"/>
      <c r="J453" s="49"/>
    </row>
    <row r="454" spans="2:10" x14ac:dyDescent="0.4">
      <c r="B454" t="str">
        <f>IF(A454="","",A454+MAX(B$2:B453))</f>
        <v/>
      </c>
      <c r="E454" s="48"/>
      <c r="F454" s="38"/>
      <c r="H454" s="56"/>
      <c r="J454" s="49"/>
    </row>
    <row r="455" spans="2:10" x14ac:dyDescent="0.4">
      <c r="B455" t="str">
        <f>IF(A455="","",A455+MAX(B$2:B454))</f>
        <v/>
      </c>
      <c r="E455" s="48"/>
      <c r="F455" s="38"/>
      <c r="H455" s="56"/>
      <c r="J455" s="49"/>
    </row>
    <row r="456" spans="2:10" x14ac:dyDescent="0.4">
      <c r="B456" t="str">
        <f>IF(A456="","",A456+MAX(B$2:B455))</f>
        <v/>
      </c>
      <c r="E456" s="48"/>
      <c r="F456" s="38"/>
      <c r="H456" s="56"/>
      <c r="J456" s="49"/>
    </row>
    <row r="457" spans="2:10" x14ac:dyDescent="0.4">
      <c r="B457" t="str">
        <f>IF(A457="","",A457+MAX(B$2:B456))</f>
        <v/>
      </c>
      <c r="E457" s="48"/>
      <c r="F457" s="38"/>
      <c r="H457" s="56"/>
      <c r="J457" s="49"/>
    </row>
    <row r="458" spans="2:10" x14ac:dyDescent="0.4">
      <c r="B458" t="str">
        <f>IF(A458="","",A458+MAX(B$2:B457))</f>
        <v/>
      </c>
      <c r="E458" s="48"/>
      <c r="F458" s="38"/>
      <c r="H458" s="56"/>
      <c r="J458" s="49"/>
    </row>
    <row r="459" spans="2:10" x14ac:dyDescent="0.4">
      <c r="B459" t="str">
        <f>IF(A459="","",A459+MAX(B$2:B458))</f>
        <v/>
      </c>
      <c r="E459" s="48"/>
      <c r="F459" s="38"/>
      <c r="H459" s="56"/>
      <c r="J459" s="49"/>
    </row>
    <row r="460" spans="2:10" x14ac:dyDescent="0.4">
      <c r="B460" t="str">
        <f>IF(A460="","",A460+MAX(B$2:B459))</f>
        <v/>
      </c>
      <c r="E460" s="48"/>
      <c r="F460" s="38"/>
      <c r="H460" s="56"/>
      <c r="J460" s="49"/>
    </row>
    <row r="461" spans="2:10" x14ac:dyDescent="0.4">
      <c r="B461" t="str">
        <f>IF(A461="","",A461+MAX(B$2:B460))</f>
        <v/>
      </c>
      <c r="E461" s="48"/>
      <c r="F461" s="38"/>
      <c r="H461" s="56"/>
      <c r="J461" s="49"/>
    </row>
    <row r="462" spans="2:10" x14ac:dyDescent="0.4">
      <c r="B462" t="str">
        <f>IF(A462="","",A462+MAX(B$2:B461))</f>
        <v/>
      </c>
      <c r="E462" s="48"/>
      <c r="F462" s="38"/>
      <c r="H462" s="56"/>
      <c r="J462" s="49"/>
    </row>
    <row r="463" spans="2:10" x14ac:dyDescent="0.4">
      <c r="B463" t="str">
        <f>IF(A463="","",A463+MAX(B$2:B462))</f>
        <v/>
      </c>
      <c r="E463" s="48"/>
      <c r="F463" s="38"/>
      <c r="H463" s="56"/>
      <c r="J463" s="49"/>
    </row>
    <row r="464" spans="2:10" x14ac:dyDescent="0.4">
      <c r="B464" t="str">
        <f>IF(A464="","",A464+MAX(B$2:B463))</f>
        <v/>
      </c>
      <c r="E464" s="48"/>
      <c r="F464" s="38"/>
      <c r="H464" s="56"/>
      <c r="J464" s="49"/>
    </row>
    <row r="465" spans="2:10" x14ac:dyDescent="0.4">
      <c r="B465" t="str">
        <f>IF(A465="","",A465+MAX(B$2:B464))</f>
        <v/>
      </c>
      <c r="E465" s="48"/>
      <c r="F465" s="38"/>
      <c r="H465" s="56"/>
      <c r="J465" s="49"/>
    </row>
    <row r="466" spans="2:10" x14ac:dyDescent="0.4">
      <c r="B466" t="str">
        <f>IF(A466="","",A466+MAX(B$2:B465))</f>
        <v/>
      </c>
      <c r="E466" s="48"/>
      <c r="F466" s="38"/>
      <c r="H466" s="56"/>
      <c r="J466" s="49"/>
    </row>
    <row r="467" spans="2:10" x14ac:dyDescent="0.4">
      <c r="B467" t="str">
        <f>IF(A467="","",A467+MAX(B$2:B466))</f>
        <v/>
      </c>
      <c r="E467" s="48"/>
      <c r="F467" s="38"/>
      <c r="H467" s="56"/>
      <c r="J467" s="49"/>
    </row>
    <row r="468" spans="2:10" x14ac:dyDescent="0.4">
      <c r="B468" t="str">
        <f>IF(A468="","",A468+MAX(B$2:B467))</f>
        <v/>
      </c>
      <c r="E468" s="48"/>
      <c r="F468" s="38"/>
      <c r="H468" s="56"/>
      <c r="J468" s="49"/>
    </row>
    <row r="469" spans="2:10" x14ac:dyDescent="0.4">
      <c r="B469" t="str">
        <f>IF(A469="","",A469+MAX(B$2:B468))</f>
        <v/>
      </c>
      <c r="E469" s="48"/>
      <c r="F469" s="38"/>
      <c r="H469" s="56"/>
      <c r="J469" s="49"/>
    </row>
    <row r="470" spans="2:10" x14ac:dyDescent="0.4">
      <c r="B470" t="str">
        <f>IF(A470="","",A470+MAX(B$2:B469))</f>
        <v/>
      </c>
      <c r="E470" s="48"/>
      <c r="F470" s="38"/>
      <c r="H470" s="56"/>
      <c r="J470" s="49"/>
    </row>
    <row r="471" spans="2:10" x14ac:dyDescent="0.4">
      <c r="B471" t="str">
        <f>IF(A471="","",A471+MAX(B$2:B470))</f>
        <v/>
      </c>
      <c r="E471" s="48"/>
      <c r="F471" s="38"/>
      <c r="H471" s="56"/>
      <c r="J471" s="49"/>
    </row>
    <row r="472" spans="2:10" x14ac:dyDescent="0.4">
      <c r="B472" t="str">
        <f>IF(A472="","",A472+MAX(B$2:B471))</f>
        <v/>
      </c>
      <c r="E472" s="48"/>
      <c r="F472" s="38"/>
      <c r="H472" s="56"/>
      <c r="J472" s="49"/>
    </row>
    <row r="473" spans="2:10" x14ac:dyDescent="0.4">
      <c r="B473" t="str">
        <f>IF(A473="","",A473+MAX(B$2:B472))</f>
        <v/>
      </c>
      <c r="E473" s="48"/>
      <c r="F473" s="38"/>
      <c r="H473" s="56"/>
      <c r="J473" s="49"/>
    </row>
    <row r="474" spans="2:10" x14ac:dyDescent="0.4">
      <c r="B474" t="str">
        <f>IF(A474="","",A474+MAX(B$2:B473))</f>
        <v/>
      </c>
      <c r="E474" s="48"/>
      <c r="F474" s="38"/>
      <c r="H474" s="56"/>
      <c r="J474" s="49"/>
    </row>
    <row r="475" spans="2:10" x14ac:dyDescent="0.4">
      <c r="B475" t="str">
        <f>IF(A475="","",A475+MAX(B$2:B474))</f>
        <v/>
      </c>
      <c r="E475" s="48"/>
      <c r="F475" s="38"/>
      <c r="H475" s="56"/>
      <c r="J475" s="49"/>
    </row>
    <row r="476" spans="2:10" x14ac:dyDescent="0.4">
      <c r="B476" t="str">
        <f>IF(A476="","",A476+MAX(B$2:B475))</f>
        <v/>
      </c>
      <c r="E476" s="48"/>
      <c r="F476" s="38"/>
      <c r="H476" s="56"/>
      <c r="J476" s="49"/>
    </row>
    <row r="477" spans="2:10" x14ac:dyDescent="0.4">
      <c r="B477" t="str">
        <f>IF(A477="","",A477+MAX(B$2:B476))</f>
        <v/>
      </c>
      <c r="E477" s="48"/>
      <c r="F477" s="38"/>
      <c r="H477" s="56"/>
      <c r="J477" s="49"/>
    </row>
    <row r="478" spans="2:10" x14ac:dyDescent="0.4">
      <c r="B478" t="str">
        <f>IF(A478="","",A478+MAX(B$2:B477))</f>
        <v/>
      </c>
      <c r="E478" s="48"/>
      <c r="F478" s="38"/>
      <c r="H478" s="56"/>
      <c r="J478" s="49"/>
    </row>
    <row r="479" spans="2:10" x14ac:dyDescent="0.4">
      <c r="B479" t="str">
        <f>IF(A479="","",A479+MAX(B$2:B478))</f>
        <v/>
      </c>
      <c r="E479" s="48"/>
      <c r="F479" s="38"/>
      <c r="H479" s="56"/>
      <c r="J479" s="49"/>
    </row>
    <row r="480" spans="2:10" x14ac:dyDescent="0.4">
      <c r="B480" t="str">
        <f>IF(A480="","",A480+MAX(B$2:B479))</f>
        <v/>
      </c>
      <c r="E480" s="48"/>
      <c r="F480" s="38"/>
      <c r="H480" s="56"/>
      <c r="J480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C3C3-65D6-476B-9D2A-738871E5835F}">
  <sheetPr codeName="Sheet4"/>
  <dimension ref="A2:Z46"/>
  <sheetViews>
    <sheetView showGridLines="0" workbookViewId="0">
      <selection activeCell="B9" sqref="B9"/>
    </sheetView>
  </sheetViews>
  <sheetFormatPr defaultRowHeight="12.5" x14ac:dyDescent="0.25"/>
  <cols>
    <col min="2" max="2" width="22.08984375" bestFit="1" customWidth="1"/>
    <col min="4" max="4" width="6.08984375" bestFit="1" customWidth="1"/>
    <col min="5" max="5" width="10.6328125" bestFit="1" customWidth="1"/>
    <col min="9" max="10" width="8.7265625" hidden="1" customWidth="1"/>
    <col min="15" max="16" width="9.36328125" customWidth="1"/>
  </cols>
  <sheetData>
    <row r="2" spans="1:26" ht="25" x14ac:dyDescent="0.25">
      <c r="A2" t="s">
        <v>24</v>
      </c>
      <c r="C2" s="42" t="s">
        <v>26</v>
      </c>
      <c r="D2" s="42" t="s">
        <v>34</v>
      </c>
      <c r="E2" s="42" t="s">
        <v>64</v>
      </c>
      <c r="F2" s="42" t="s">
        <v>25</v>
      </c>
      <c r="G2" s="42" t="s">
        <v>28</v>
      </c>
      <c r="H2" s="42" t="s">
        <v>27</v>
      </c>
      <c r="I2" s="46" t="s">
        <v>45</v>
      </c>
      <c r="J2" s="46" t="s">
        <v>49</v>
      </c>
      <c r="K2" s="46" t="s">
        <v>52</v>
      </c>
      <c r="L2" s="46" t="s">
        <v>68</v>
      </c>
    </row>
    <row r="3" spans="1:26" x14ac:dyDescent="0.25">
      <c r="A3" t="s">
        <v>11</v>
      </c>
      <c r="C3" s="41">
        <f>SUM(C5:C15)</f>
        <v>0</v>
      </c>
      <c r="D3" s="42"/>
      <c r="E3" s="42"/>
      <c r="F3" s="43">
        <f>SUMPRODUCT($C5:$C15,F5:F15)</f>
        <v>0</v>
      </c>
      <c r="G3" s="42"/>
      <c r="H3" s="43">
        <f>SUMPRODUCT($C5:$C15,H5:H15)</f>
        <v>0</v>
      </c>
      <c r="I3" s="43"/>
      <c r="J3" s="43"/>
      <c r="K3" s="43"/>
      <c r="L3" s="43"/>
      <c r="N3" t="s">
        <v>27</v>
      </c>
      <c r="U3" t="s">
        <v>34</v>
      </c>
      <c r="V3" s="42" t="s">
        <v>47</v>
      </c>
      <c r="W3" s="42" t="s">
        <v>48</v>
      </c>
    </row>
    <row r="4" spans="1:26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t="s">
        <v>50</v>
      </c>
      <c r="O4" s="42" t="s">
        <v>47</v>
      </c>
      <c r="P4" s="42" t="s">
        <v>48</v>
      </c>
      <c r="U4" t="s">
        <v>91</v>
      </c>
      <c r="V4" s="51">
        <f>SUMIF(D:D,U4,C:C)</f>
        <v>0</v>
      </c>
      <c r="W4" s="51">
        <f>SUMIF(Benchmark!G:G,U4,Benchmark!H:H)</f>
        <v>0.10841963698841042</v>
      </c>
    </row>
    <row r="5" spans="1:26" x14ac:dyDescent="0.25">
      <c r="A5" s="37"/>
      <c r="B5" s="37" t="s">
        <v>43</v>
      </c>
      <c r="C5" s="70"/>
      <c r="D5" s="37" t="s">
        <v>54</v>
      </c>
      <c r="E5" s="37" t="s">
        <v>54</v>
      </c>
      <c r="F5" s="43">
        <v>0</v>
      </c>
      <c r="G5" s="43">
        <f t="shared" ref="G5:G15" si="0">IFERROR(F5*C5,"")</f>
        <v>0</v>
      </c>
      <c r="H5" s="43">
        <v>0</v>
      </c>
      <c r="I5" s="43">
        <f t="shared" ref="I5:I15" si="1">IFERROR(C5*H5,"")</f>
        <v>0</v>
      </c>
      <c r="J5" s="43">
        <f>IFERROR(VLOOKUP($A5,Benchmark!$B:$F,5,FALSE),"")</f>
        <v>2.7488021902806299</v>
      </c>
      <c r="K5" s="42" t="s">
        <v>54</v>
      </c>
      <c r="L5" s="43">
        <v>0</v>
      </c>
      <c r="U5" t="s">
        <v>122</v>
      </c>
      <c r="V5" s="51">
        <f>SUMIF(D:D,X5,C:C)+SUMIF(D:D,Y5,C:C)+SUMIF(D:D,Z5,C:C)</f>
        <v>0</v>
      </c>
      <c r="W5" s="51">
        <f>SUMIF(Benchmark!G:G,X5,Benchmark!H:H)+SUMIF(Benchmark!G:G,Y5,Benchmark!H:H)+SUMIF(Benchmark!G:G,Z5,Benchmark!H:H)</f>
        <v>0.53384350139395809</v>
      </c>
      <c r="X5" s="73" t="s">
        <v>41</v>
      </c>
      <c r="Y5" s="73" t="s">
        <v>123</v>
      </c>
      <c r="Z5" s="73" t="s">
        <v>93</v>
      </c>
    </row>
    <row r="6" spans="1:26" x14ac:dyDescent="0.25">
      <c r="A6" s="37">
        <v>1</v>
      </c>
      <c r="B6" s="37" t="str">
        <f>IFERROR(VLOOKUP($A6,Benchmark!$B:$C,2,FALSE),"")</f>
        <v/>
      </c>
      <c r="C6" s="70"/>
      <c r="D6" s="37" t="str">
        <f>IFERROR(VLOOKUP($A6,Benchmark!$B:$G,6,FALSE),"")</f>
        <v/>
      </c>
      <c r="E6" s="37" t="str">
        <f>IFERROR(VLOOKUP($A6,Benchmark!$B:$D,3,FALSE),"")</f>
        <v/>
      </c>
      <c r="F6" s="43" t="str">
        <f>IFERROR(VLOOKUP(A6,Benchmark!$B:$Q,16,FALSE),"")</f>
        <v/>
      </c>
      <c r="G6" s="43" t="str">
        <f t="shared" si="0"/>
        <v/>
      </c>
      <c r="H6" s="43" t="str">
        <f>IFERROR(VLOOKUP($A6,Benchmark!$B:$I,8,FALSE),"")</f>
        <v/>
      </c>
      <c r="I6" s="43" t="str">
        <f t="shared" si="1"/>
        <v/>
      </c>
      <c r="J6" s="43" t="str">
        <f>IFERROR(VLOOKUP($A6,Benchmark!$B:$F,5,FALSE),"")</f>
        <v/>
      </c>
      <c r="K6" s="42" t="str">
        <f>IFERROR(VLOOKUP($A6,Benchmark!$B:$N,13,FALSE),"")</f>
        <v/>
      </c>
      <c r="L6" s="43" t="str">
        <f>IFERROR(VLOOKUP(B6,Benchmark!C:Q,15,FALSE),"")</f>
        <v/>
      </c>
      <c r="M6" t="s">
        <v>51</v>
      </c>
      <c r="N6" s="42"/>
      <c r="O6" s="43">
        <f>H3</f>
        <v>0</v>
      </c>
      <c r="P6" s="43">
        <f>Benchmark!I1</f>
        <v>1.7618602838090172</v>
      </c>
      <c r="U6" t="s">
        <v>124</v>
      </c>
      <c r="V6" s="51">
        <f>SUMIF(D:D,X6,C:C)+SUMIF(D:D,Y6,C:C)+SUMIF(D:D,Z6,C:C)</f>
        <v>0</v>
      </c>
      <c r="W6" s="51">
        <f>SUMIF(Benchmark!G:G,X6,Benchmark!H:H)+SUMIF(Benchmark!G:G,Y6,Benchmark!H:H)+SUMIF(Benchmark!G:G,Z6,Benchmark!H:H)</f>
        <v>0.35773686161763141</v>
      </c>
      <c r="X6" s="73" t="s">
        <v>40</v>
      </c>
      <c r="Y6" s="73" t="s">
        <v>59</v>
      </c>
      <c r="Z6" s="73" t="s">
        <v>60</v>
      </c>
    </row>
    <row r="7" spans="1:26" x14ac:dyDescent="0.25">
      <c r="A7" s="37">
        <v>2</v>
      </c>
      <c r="B7" s="37" t="str">
        <f>IFERROR(VLOOKUP($A7,Benchmark!$B:$C,2,FALSE),"")</f>
        <v/>
      </c>
      <c r="C7" s="70"/>
      <c r="D7" s="37" t="str">
        <f>IFERROR(VLOOKUP($A7,Benchmark!$B:$G,6,FALSE),"")</f>
        <v/>
      </c>
      <c r="E7" s="37" t="str">
        <f>IFERROR(VLOOKUP($A7,Benchmark!$B:$D,3,FALSE),"")</f>
        <v/>
      </c>
      <c r="F7" s="43" t="str">
        <f>IFERROR(VLOOKUP(A7,Benchmark!$B:$Q,16,FALSE),"")</f>
        <v/>
      </c>
      <c r="G7" s="43" t="str">
        <f t="shared" si="0"/>
        <v/>
      </c>
      <c r="H7" s="43" t="str">
        <f>IFERROR(VLOOKUP($A7,Benchmark!$B:$I,8,FALSE),"")</f>
        <v/>
      </c>
      <c r="I7" s="43" t="str">
        <f t="shared" si="1"/>
        <v/>
      </c>
      <c r="J7" s="43" t="str">
        <f>IFERROR(VLOOKUP($A7,Benchmark!$B:$F,5,FALSE),"")</f>
        <v/>
      </c>
      <c r="K7" s="42" t="str">
        <f>IFERROR(VLOOKUP($A7,Benchmark!$B:$N,13,FALSE),"")</f>
        <v/>
      </c>
      <c r="L7" s="43" t="str">
        <f>IFERROR(VLOOKUP(B7,Benchmark!C:Q,15,FALSE),"")</f>
        <v/>
      </c>
      <c r="M7" s="50" t="s">
        <v>29</v>
      </c>
      <c r="N7" s="42">
        <v>1</v>
      </c>
      <c r="O7" s="43">
        <f>SUMIFS(I:I,J:J,"&lt;="&amp;N7)</f>
        <v>0</v>
      </c>
      <c r="P7" s="43">
        <f>SUMIFS(Benchmark!J:J,Benchmark!F:F,"&lt;="&amp;N7)</f>
        <v>0</v>
      </c>
      <c r="U7" t="s">
        <v>125</v>
      </c>
      <c r="V7" s="51">
        <f>SUMIF(D:D,X7,C:C)</f>
        <v>0</v>
      </c>
      <c r="W7" s="51">
        <f>SUMIF(Benchmark!G:G,X7,Benchmark!H:H)</f>
        <v>0</v>
      </c>
      <c r="X7" t="s">
        <v>75</v>
      </c>
    </row>
    <row r="8" spans="1:26" x14ac:dyDescent="0.25">
      <c r="A8" s="37">
        <v>3</v>
      </c>
      <c r="B8" s="37" t="str">
        <f>IFERROR(VLOOKUP($A8,Benchmark!$B:$C,2,FALSE),"")</f>
        <v/>
      </c>
      <c r="C8" s="70"/>
      <c r="D8" s="37" t="str">
        <f>IFERROR(VLOOKUP($A8,Benchmark!$B:$G,6,FALSE),"")</f>
        <v/>
      </c>
      <c r="E8" s="37" t="str">
        <f>IFERROR(VLOOKUP($A8,Benchmark!$B:$D,3,FALSE),"")</f>
        <v/>
      </c>
      <c r="F8" s="43" t="str">
        <f>IFERROR(VLOOKUP(A8,Benchmark!$B:$Q,16,FALSE),"")</f>
        <v/>
      </c>
      <c r="G8" s="43" t="str">
        <f t="shared" si="0"/>
        <v/>
      </c>
      <c r="H8" s="43" t="str">
        <f>IFERROR(VLOOKUP($A8,Benchmark!$B:$I,8,FALSE),"")</f>
        <v/>
      </c>
      <c r="I8" s="43" t="str">
        <f t="shared" si="1"/>
        <v/>
      </c>
      <c r="J8" s="43" t="str">
        <f>IFERROR(VLOOKUP($A8,Benchmark!$B:$F,5,FALSE),"")</f>
        <v/>
      </c>
      <c r="K8" s="42" t="str">
        <f>IFERROR(VLOOKUP($A8,Benchmark!$B:$N,13,FALSE),"")</f>
        <v/>
      </c>
      <c r="L8" s="43" t="str">
        <f>IFERROR(VLOOKUP(B8,Benchmark!C:Q,15,FALSE),"")</f>
        <v/>
      </c>
      <c r="M8" s="50" t="s">
        <v>30</v>
      </c>
      <c r="N8" s="42">
        <v>2</v>
      </c>
      <c r="O8" s="43">
        <f>SUMIFS(I:I,J:J,"&lt;="&amp;N8,J:J,"&gt;"&amp;N7)</f>
        <v>0</v>
      </c>
      <c r="P8" s="43">
        <f>SUMIFS(Benchmark!J:J,Benchmark!F:F,"&lt;="&amp;N8,Benchmark!F:F,"&gt;"&amp;N7)</f>
        <v>0.88964695047926523</v>
      </c>
      <c r="U8" t="s">
        <v>54</v>
      </c>
      <c r="V8" s="51">
        <f t="shared" ref="V8" si="2">SUMIF(D:D,U8,C:C)</f>
        <v>0</v>
      </c>
    </row>
    <row r="9" spans="1:26" x14ac:dyDescent="0.25">
      <c r="A9" s="37">
        <v>4</v>
      </c>
      <c r="B9" s="37" t="str">
        <f>IFERROR(VLOOKUP($A9,Benchmark!$B:$C,2,FALSE),"")</f>
        <v/>
      </c>
      <c r="C9" s="70"/>
      <c r="D9" s="37" t="str">
        <f>IFERROR(VLOOKUP($A9,Benchmark!$B:$G,6,FALSE),"")</f>
        <v/>
      </c>
      <c r="E9" s="37" t="str">
        <f>IFERROR(VLOOKUP($A9,Benchmark!$B:$D,3,FALSE),"")</f>
        <v/>
      </c>
      <c r="F9" s="43" t="str">
        <f>IFERROR(VLOOKUP(A9,Benchmark!$B:$Q,16,FALSE),"")</f>
        <v/>
      </c>
      <c r="G9" s="43" t="str">
        <f t="shared" si="0"/>
        <v/>
      </c>
      <c r="H9" s="43" t="str">
        <f>IFERROR(VLOOKUP($A9,Benchmark!$B:$I,8,FALSE),"")</f>
        <v/>
      </c>
      <c r="I9" s="43" t="str">
        <f t="shared" si="1"/>
        <v/>
      </c>
      <c r="J9" s="43" t="str">
        <f>IFERROR(VLOOKUP($A9,Benchmark!$B:$F,5,FALSE),"")</f>
        <v/>
      </c>
      <c r="K9" s="42" t="str">
        <f>IFERROR(VLOOKUP($A9,Benchmark!$B:$N,13,FALSE),"")</f>
        <v/>
      </c>
      <c r="L9" s="43" t="str">
        <f>IFERROR(VLOOKUP(B9,Benchmark!C:Q,15,FALSE),"")</f>
        <v/>
      </c>
      <c r="M9" s="50" t="s">
        <v>31</v>
      </c>
      <c r="N9" s="42">
        <v>3</v>
      </c>
      <c r="O9" s="43">
        <f>SUMIFS(I:I,J:J,"&lt;="&amp;N9,J:J,"&gt;"&amp;N8)</f>
        <v>0</v>
      </c>
      <c r="P9" s="43">
        <f>SUMIFS(Benchmark!J:J,Benchmark!F:F,"&lt;="&amp;N9,Benchmark!F:F,"&gt;"&amp;N8)</f>
        <v>0.87221333332975215</v>
      </c>
      <c r="V9" s="51"/>
    </row>
    <row r="10" spans="1:26" x14ac:dyDescent="0.25">
      <c r="A10" s="37">
        <v>5</v>
      </c>
      <c r="B10" s="37" t="str">
        <f>IFERROR(VLOOKUP($A10,Benchmark!$B:$C,2,FALSE),"")</f>
        <v/>
      </c>
      <c r="C10" s="70"/>
      <c r="D10" s="37" t="str">
        <f>IFERROR(VLOOKUP($A10,Benchmark!$B:$G,6,FALSE),"")</f>
        <v/>
      </c>
      <c r="E10" s="37" t="str">
        <f>IFERROR(VLOOKUP($A10,Benchmark!$B:$D,3,FALSE),"")</f>
        <v/>
      </c>
      <c r="F10" s="43" t="str">
        <f>IFERROR(VLOOKUP(A10,Benchmark!$B:$Q,16,FALSE),"")</f>
        <v/>
      </c>
      <c r="G10" s="43" t="str">
        <f t="shared" si="0"/>
        <v/>
      </c>
      <c r="H10" s="43" t="str">
        <f>IFERROR(VLOOKUP($A10,Benchmark!$B:$I,8,FALSE),"")</f>
        <v/>
      </c>
      <c r="I10" s="43" t="str">
        <f t="shared" si="1"/>
        <v/>
      </c>
      <c r="J10" s="43" t="str">
        <f>IFERROR(VLOOKUP($A10,Benchmark!$B:$F,5,FALSE),"")</f>
        <v/>
      </c>
      <c r="K10" s="42" t="str">
        <f>IFERROR(VLOOKUP($A10,Benchmark!$B:$N,13,FALSE),"")</f>
        <v/>
      </c>
      <c r="L10" s="43" t="str">
        <f>IFERROR(VLOOKUP(B10,Benchmark!C:Q,15,FALSE),"")</f>
        <v/>
      </c>
      <c r="M10" s="50"/>
      <c r="N10" s="42"/>
      <c r="O10" s="43"/>
      <c r="P10" s="43"/>
      <c r="V10" s="51"/>
    </row>
    <row r="11" spans="1:26" x14ac:dyDescent="0.25">
      <c r="A11" s="37">
        <v>6</v>
      </c>
      <c r="B11" s="37" t="str">
        <f>IFERROR(VLOOKUP($A11,Benchmark!$B:$C,2,FALSE),"")</f>
        <v/>
      </c>
      <c r="C11" s="70"/>
      <c r="D11" s="37" t="str">
        <f>IFERROR(VLOOKUP($A11,Benchmark!$B:$G,6,FALSE),"")</f>
        <v/>
      </c>
      <c r="E11" s="37" t="str">
        <f>IFERROR(VLOOKUP($A11,Benchmark!$B:$D,3,FALSE),"")</f>
        <v/>
      </c>
      <c r="F11" s="43" t="str">
        <f>IFERROR(VLOOKUP(A11,Benchmark!$B:$Q,16,FALSE),"")</f>
        <v/>
      </c>
      <c r="G11" s="43" t="str">
        <f t="shared" si="0"/>
        <v/>
      </c>
      <c r="H11" s="43" t="str">
        <f>IFERROR(VLOOKUP($A11,Benchmark!$B:$I,8,FALSE),"")</f>
        <v/>
      </c>
      <c r="I11" s="43" t="str">
        <f t="shared" si="1"/>
        <v/>
      </c>
      <c r="J11" s="43" t="str">
        <f>IFERROR(VLOOKUP($A11,Benchmark!$B:$F,5,FALSE),"")</f>
        <v/>
      </c>
      <c r="K11" s="42" t="str">
        <f>IFERROR(VLOOKUP($A11,Benchmark!$B:$N,13,FALSE),"")</f>
        <v/>
      </c>
      <c r="L11" s="43" t="str">
        <f>IFERROR(VLOOKUP(B11,Benchmark!C:Q,15,FALSE),"")</f>
        <v/>
      </c>
      <c r="M11" s="50"/>
      <c r="N11" s="42"/>
      <c r="O11" s="43"/>
      <c r="P11" s="43"/>
    </row>
    <row r="12" spans="1:26" x14ac:dyDescent="0.25">
      <c r="A12" s="37">
        <v>7</v>
      </c>
      <c r="B12" s="37" t="str">
        <f>IFERROR(VLOOKUP($A12,Benchmark!$B:$C,2,FALSE),"")</f>
        <v/>
      </c>
      <c r="C12" s="70"/>
      <c r="D12" s="37" t="str">
        <f>IFERROR(VLOOKUP($A12,Benchmark!$B:$G,6,FALSE),"")</f>
        <v/>
      </c>
      <c r="E12" s="37" t="str">
        <f>IFERROR(VLOOKUP($A12,Benchmark!$B:$D,3,FALSE),"")</f>
        <v/>
      </c>
      <c r="F12" s="43" t="str">
        <f>IFERROR(VLOOKUP(A12,Benchmark!$B:$Q,16,FALSE),"")</f>
        <v/>
      </c>
      <c r="G12" s="43" t="str">
        <f t="shared" si="0"/>
        <v/>
      </c>
      <c r="H12" s="43" t="str">
        <f>IFERROR(VLOOKUP($A12,Benchmark!$B:$I,8,FALSE),"")</f>
        <v/>
      </c>
      <c r="I12" s="43" t="str">
        <f t="shared" si="1"/>
        <v/>
      </c>
      <c r="J12" s="43" t="str">
        <f>IFERROR(VLOOKUP($A12,Benchmark!$B:$F,5,FALSE),"")</f>
        <v/>
      </c>
      <c r="K12" s="42" t="str">
        <f>IFERROR(VLOOKUP($A12,Benchmark!$B:$N,13,FALSE),"")</f>
        <v/>
      </c>
      <c r="L12" s="43" t="str">
        <f>IFERROR(VLOOKUP(B12,Benchmark!C:Q,15,FALSE),"")</f>
        <v/>
      </c>
    </row>
    <row r="13" spans="1:26" x14ac:dyDescent="0.25">
      <c r="A13" s="37">
        <v>8</v>
      </c>
      <c r="B13" s="37" t="str">
        <f>IFERROR(VLOOKUP($A13,Benchmark!$B:$C,2,FALSE),"")</f>
        <v/>
      </c>
      <c r="C13" s="70"/>
      <c r="D13" s="37" t="str">
        <f>IFERROR(VLOOKUP($A13,Benchmark!$B:$G,6,FALSE),"")</f>
        <v/>
      </c>
      <c r="E13" s="37" t="str">
        <f>IFERROR(VLOOKUP($A13,Benchmark!$B:$D,3,FALSE),"")</f>
        <v/>
      </c>
      <c r="F13" s="43" t="str">
        <f>IFERROR(VLOOKUP(A13,Benchmark!$B:$Q,16,FALSE),"")</f>
        <v/>
      </c>
      <c r="G13" s="43" t="str">
        <f t="shared" si="0"/>
        <v/>
      </c>
      <c r="H13" s="43" t="str">
        <f>IFERROR(VLOOKUP($A13,Benchmark!$B:$I,8,FALSE),"")</f>
        <v/>
      </c>
      <c r="I13" s="43" t="str">
        <f t="shared" si="1"/>
        <v/>
      </c>
      <c r="J13" s="43" t="str">
        <f>IFERROR(VLOOKUP($A13,Benchmark!$B:$F,5,FALSE),"")</f>
        <v/>
      </c>
      <c r="K13" s="42" t="str">
        <f>IFERROR(VLOOKUP($A13,Benchmark!$B:$N,13,FALSE),"")</f>
        <v/>
      </c>
      <c r="L13" s="43" t="str">
        <f>IFERROR(VLOOKUP(B13,Benchmark!C:Q,15,FALSE),"")</f>
        <v/>
      </c>
    </row>
    <row r="14" spans="1:26" x14ac:dyDescent="0.25">
      <c r="A14" s="37">
        <v>9</v>
      </c>
      <c r="B14" s="37" t="str">
        <f>IFERROR(VLOOKUP($A14,Benchmark!$B:$C,2,FALSE),"")</f>
        <v/>
      </c>
      <c r="C14" s="70"/>
      <c r="D14" s="37" t="str">
        <f>IFERROR(VLOOKUP($A14,Benchmark!$B:$G,6,FALSE),"")</f>
        <v/>
      </c>
      <c r="E14" s="37" t="str">
        <f>IFERROR(VLOOKUP($A14,Benchmark!$B:$D,3,FALSE),"")</f>
        <v/>
      </c>
      <c r="F14" s="43" t="str">
        <f>IFERROR(VLOOKUP(A14,Benchmark!$B:$Q,16,FALSE),"")</f>
        <v/>
      </c>
      <c r="G14" s="43" t="str">
        <f t="shared" si="0"/>
        <v/>
      </c>
      <c r="H14" s="43" t="str">
        <f>IFERROR(VLOOKUP($A14,Benchmark!$B:$I,8,FALSE),"")</f>
        <v/>
      </c>
      <c r="I14" s="43" t="str">
        <f t="shared" si="1"/>
        <v/>
      </c>
      <c r="J14" s="43" t="str">
        <f>IFERROR(VLOOKUP($A14,Benchmark!$B:$F,5,FALSE),"")</f>
        <v/>
      </c>
      <c r="K14" s="42" t="str">
        <f>IFERROR(VLOOKUP($A14,Benchmark!$B:$N,13,FALSE),"")</f>
        <v/>
      </c>
      <c r="L14" s="43" t="str">
        <f>IFERROR(VLOOKUP(B14,Benchmark!C:Q,15,FALSE),"")</f>
        <v/>
      </c>
      <c r="T14" t="s">
        <v>52</v>
      </c>
      <c r="U14" t="s">
        <v>47</v>
      </c>
      <c r="V14" t="s">
        <v>48</v>
      </c>
    </row>
    <row r="15" spans="1:26" x14ac:dyDescent="0.25">
      <c r="A15" s="37">
        <v>10</v>
      </c>
      <c r="B15" s="37" t="str">
        <f>IFERROR(VLOOKUP($A15,Benchmark!$B:$C,2,FALSE),"")</f>
        <v/>
      </c>
      <c r="C15" s="70"/>
      <c r="D15" s="37" t="str">
        <f>IFERROR(VLOOKUP($A15,Benchmark!$B:$G,6,FALSE),"")</f>
        <v/>
      </c>
      <c r="E15" s="37" t="str">
        <f>IFERROR(VLOOKUP($A15,Benchmark!$B:$D,3,FALSE),"")</f>
        <v/>
      </c>
      <c r="F15" s="43" t="str">
        <f>IFERROR(VLOOKUP(A15,Benchmark!$B:$Q,16,FALSE),"")</f>
        <v/>
      </c>
      <c r="G15" s="43" t="str">
        <f t="shared" si="0"/>
        <v/>
      </c>
      <c r="H15" s="43" t="str">
        <f>IFERROR(VLOOKUP($A15,Benchmark!$B:$I,8,FALSE),"")</f>
        <v/>
      </c>
      <c r="I15" s="43" t="str">
        <f t="shared" si="1"/>
        <v/>
      </c>
      <c r="J15" s="43" t="str">
        <f>IFERROR(VLOOKUP($A15,Benchmark!$B:$F,5,FALSE),"")</f>
        <v/>
      </c>
      <c r="K15" s="42" t="str">
        <f>IFERROR(VLOOKUP($A15,Benchmark!$B:$N,13,FALSE),"")</f>
        <v/>
      </c>
      <c r="L15" s="43" t="str">
        <f>IFERROR(VLOOKUP(B15,Benchmark!C:Q,15,FALSE),"")</f>
        <v/>
      </c>
      <c r="T15" t="s">
        <v>43</v>
      </c>
      <c r="U15" s="52">
        <f>C5</f>
        <v>0</v>
      </c>
      <c r="V15" s="52">
        <v>0</v>
      </c>
    </row>
    <row r="16" spans="1:26" x14ac:dyDescent="0.25">
      <c r="A16" s="37"/>
      <c r="B16" s="37"/>
      <c r="C16" s="41"/>
      <c r="D16" s="41"/>
      <c r="E16" s="37"/>
      <c r="F16" s="42"/>
      <c r="G16" s="42"/>
      <c r="H16" s="43"/>
      <c r="I16" s="43"/>
      <c r="J16" s="43"/>
      <c r="K16" s="42"/>
      <c r="L16" s="43"/>
      <c r="T16" t="s">
        <v>10</v>
      </c>
      <c r="U16" s="52">
        <f t="shared" ref="U16:U20" si="3">SUMIF(K:K,T16,C:C)</f>
        <v>0</v>
      </c>
      <c r="V16" s="52">
        <f>SUMIFS(Benchmark!H:H,Benchmark!N:N,T16)</f>
        <v>0.81959299366384608</v>
      </c>
    </row>
    <row r="17" spans="1:22" ht="15.5" x14ac:dyDescent="0.35">
      <c r="A17" s="37"/>
      <c r="B17" s="37"/>
      <c r="C17" s="41"/>
      <c r="D17" s="41"/>
      <c r="E17" s="37"/>
      <c r="F17" s="42"/>
      <c r="G17" s="42"/>
      <c r="H17" s="43"/>
      <c r="I17" s="43"/>
      <c r="J17" s="43"/>
      <c r="K17" s="59" t="s">
        <v>47</v>
      </c>
      <c r="L17" s="60">
        <f>SUMPRODUCT(L5:L15,C5:C15)</f>
        <v>0</v>
      </c>
      <c r="T17" t="s">
        <v>92</v>
      </c>
      <c r="U17" s="52">
        <f t="shared" si="3"/>
        <v>0</v>
      </c>
      <c r="V17" s="52">
        <f>SUMIFS(Benchmark!H:H,Benchmark!N:N,T17)</f>
        <v>0.10841963698841042</v>
      </c>
    </row>
    <row r="18" spans="1:22" ht="15.5" x14ac:dyDescent="0.35">
      <c r="A18" s="37"/>
      <c r="B18" s="37"/>
      <c r="C18" s="42"/>
      <c r="D18" s="42"/>
      <c r="E18" s="42"/>
      <c r="F18" s="42"/>
      <c r="G18" s="42"/>
      <c r="H18" s="42"/>
      <c r="K18" s="59" t="s">
        <v>55</v>
      </c>
      <c r="L18" s="60">
        <f>Benchmark!Q1</f>
        <v>0</v>
      </c>
      <c r="T18" t="s">
        <v>61</v>
      </c>
      <c r="U18" s="52">
        <f t="shared" si="3"/>
        <v>0</v>
      </c>
      <c r="V18" s="52">
        <f>SUMIFS(Benchmark!H:H,Benchmark!N:N,T18)</f>
        <v>3.6353415729054532E-2</v>
      </c>
    </row>
    <row r="19" spans="1:22" ht="15.5" x14ac:dyDescent="0.35">
      <c r="A19" s="37"/>
      <c r="B19" s="37"/>
      <c r="C19" s="42"/>
      <c r="D19" s="42"/>
      <c r="E19" s="42"/>
      <c r="F19" s="42"/>
      <c r="G19" s="42"/>
      <c r="H19" s="42"/>
      <c r="K19" s="59" t="s">
        <v>69</v>
      </c>
      <c r="L19" s="60">
        <f>L17-L18</f>
        <v>0</v>
      </c>
      <c r="N19" t="s">
        <v>64</v>
      </c>
      <c r="O19" t="s">
        <v>47</v>
      </c>
      <c r="P19" t="s">
        <v>55</v>
      </c>
      <c r="T19" t="s">
        <v>42</v>
      </c>
      <c r="U19" s="52">
        <f t="shared" si="3"/>
        <v>0</v>
      </c>
      <c r="V19" s="52">
        <f>SUMIFS(Benchmark!H:H,Benchmark!N:N,T19)</f>
        <v>3.5633953618688839E-2</v>
      </c>
    </row>
    <row r="20" spans="1:22" x14ac:dyDescent="0.25">
      <c r="A20" s="37"/>
      <c r="B20" s="37"/>
      <c r="C20" s="42"/>
      <c r="D20" s="42"/>
      <c r="E20" s="42"/>
      <c r="F20" s="42"/>
      <c r="G20" s="42"/>
      <c r="H20" s="42"/>
      <c r="N20" t="s">
        <v>88</v>
      </c>
      <c r="O20" s="52">
        <f>SUMIF(E:E,N20,C:C)</f>
        <v>0</v>
      </c>
      <c r="P20" s="52">
        <f>SUMIFS(Benchmark!H:H,Benchmark!D:D,N20)</f>
        <v>0.49839971382876069</v>
      </c>
      <c r="T20" t="s">
        <v>74</v>
      </c>
      <c r="U20" s="52">
        <f t="shared" si="3"/>
        <v>0</v>
      </c>
      <c r="V20" s="52">
        <f>SUMIFS(Benchmark!H:H,Benchmark!N:N,T20)</f>
        <v>0</v>
      </c>
    </row>
    <row r="21" spans="1:22" x14ac:dyDescent="0.25">
      <c r="C21" s="42"/>
      <c r="D21" s="42"/>
      <c r="E21" s="42"/>
      <c r="F21" s="42"/>
      <c r="G21" s="42"/>
      <c r="H21" s="42"/>
      <c r="N21" t="s">
        <v>90</v>
      </c>
      <c r="O21" s="52">
        <f>SUMIF(E:E,N21,C:C)</f>
        <v>0</v>
      </c>
      <c r="P21" s="52">
        <f>SUMIFS(Benchmark!H:H,Benchmark!D:D,N21)</f>
        <v>0.10841963698841042</v>
      </c>
      <c r="Q21" s="53"/>
      <c r="U21" s="52"/>
      <c r="V21" s="52"/>
    </row>
    <row r="22" spans="1:22" x14ac:dyDescent="0.25">
      <c r="C22" s="42"/>
      <c r="D22" s="42"/>
      <c r="E22" s="42"/>
      <c r="F22" s="42"/>
      <c r="G22" s="42"/>
      <c r="H22" s="42"/>
      <c r="N22" t="s">
        <v>58</v>
      </c>
      <c r="O22" s="52">
        <f>SUMIF(E:E,N22,C:C)</f>
        <v>0</v>
      </c>
      <c r="P22" s="52">
        <f>SUMIFS(Benchmark!H:H,Benchmark!D:D,N22)</f>
        <v>0.3931806491828288</v>
      </c>
      <c r="U22" s="52"/>
      <c r="V22" s="52"/>
    </row>
    <row r="23" spans="1:22" x14ac:dyDescent="0.25">
      <c r="C23" s="42"/>
      <c r="D23" s="42"/>
      <c r="E23" s="42"/>
      <c r="F23" s="42"/>
      <c r="G23" s="42"/>
      <c r="H23" s="42"/>
      <c r="N23" t="s">
        <v>54</v>
      </c>
      <c r="O23" s="52">
        <f>SUMIF(E:E,N23,C:C)</f>
        <v>0</v>
      </c>
      <c r="P23" s="52">
        <f>SUMIFS(Benchmark!H:H,Benchmark!D:D,N23)</f>
        <v>0</v>
      </c>
      <c r="U23" s="52"/>
      <c r="V23" s="52"/>
    </row>
    <row r="24" spans="1:22" ht="15.5" x14ac:dyDescent="0.35">
      <c r="B24" s="59" t="s">
        <v>79</v>
      </c>
      <c r="C24" s="42"/>
      <c r="D24" s="42"/>
      <c r="E24" s="42"/>
      <c r="F24" s="42"/>
      <c r="G24" s="42"/>
      <c r="H24" s="42"/>
      <c r="O24" s="52"/>
      <c r="P24" s="52"/>
      <c r="U24" s="52"/>
      <c r="V24" s="52"/>
    </row>
    <row r="25" spans="1:22" ht="15.5" x14ac:dyDescent="0.35">
      <c r="B25" s="67"/>
      <c r="C25" s="42"/>
      <c r="D25" s="42"/>
      <c r="E25" s="42"/>
      <c r="F25" s="42"/>
      <c r="G25" s="42"/>
      <c r="H25" s="42"/>
      <c r="O25" s="52"/>
      <c r="P25" s="52"/>
      <c r="Q25" s="53"/>
    </row>
    <row r="26" spans="1:22" x14ac:dyDescent="0.25">
      <c r="E26" s="42"/>
      <c r="F26" s="42"/>
      <c r="G26" s="42"/>
      <c r="H26" s="42"/>
    </row>
    <row r="27" spans="1:22" x14ac:dyDescent="0.25">
      <c r="E27" s="42"/>
      <c r="F27" s="42"/>
      <c r="G27" s="42"/>
      <c r="H27" s="42"/>
    </row>
    <row r="28" spans="1:22" x14ac:dyDescent="0.25">
      <c r="E28" s="42"/>
      <c r="F28" s="42"/>
      <c r="G28" s="42"/>
      <c r="H28" s="42"/>
    </row>
    <row r="46" spans="15:16" x14ac:dyDescent="0.25">
      <c r="O46" s="52"/>
      <c r="P46" s="52"/>
    </row>
  </sheetData>
  <sortState xmlns:xlrd2="http://schemas.microsoft.com/office/spreadsheetml/2017/richdata2" ref="T15:T21">
    <sortCondition ref="T15:T21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254EF-2A6E-4404-9369-C7A0D035CB3C}">
  <sheetPr codeName="Sheet3"/>
  <dimension ref="C1:K22"/>
  <sheetViews>
    <sheetView showGridLines="0" topLeftCell="B1" workbookViewId="0">
      <selection activeCell="B1" sqref="B1"/>
    </sheetView>
  </sheetViews>
  <sheetFormatPr defaultRowHeight="12.5" x14ac:dyDescent="0.25"/>
  <cols>
    <col min="1" max="1" width="0" hidden="1" customWidth="1"/>
    <col min="3" max="3" width="30" bestFit="1" customWidth="1"/>
    <col min="4" max="9" width="13.36328125" customWidth="1"/>
  </cols>
  <sheetData>
    <row r="1" spans="3:11" ht="13" thickBot="1" x14ac:dyDescent="0.3"/>
    <row r="2" spans="3:11" ht="32" thickTop="1" thickBot="1" x14ac:dyDescent="0.4">
      <c r="C2" s="18"/>
      <c r="D2" s="3" t="s">
        <v>0</v>
      </c>
      <c r="E2" s="3" t="s">
        <v>1</v>
      </c>
      <c r="F2" s="3" t="s">
        <v>2</v>
      </c>
      <c r="G2" s="3" t="s">
        <v>3</v>
      </c>
      <c r="H2" s="4" t="s">
        <v>4</v>
      </c>
      <c r="I2" s="4" t="s">
        <v>5</v>
      </c>
    </row>
    <row r="3" spans="3:11" ht="16.5" thickTop="1" thickBot="1" x14ac:dyDescent="0.4">
      <c r="C3" s="19" t="s">
        <v>29</v>
      </c>
      <c r="D3" s="39">
        <f>SUMIFS(Portfolio!$C$5:$C$100,Portfolio!$H$5:$H$100,"&gt;="&amp;$J3,Portfolio!$H$5:$H$100,"&lt;"&amp;$K3)</f>
        <v>0</v>
      </c>
      <c r="E3" s="44">
        <f>IF(D3=0,0,SUMIFS(Portfolio!$G$5:$G$100,Portfolio!$H$5:$H$100,"&gt;="&amp;$J3,Portfolio!$H$5:$H$100,"&lt;"&amp;$K3)/D3)</f>
        <v>0</v>
      </c>
      <c r="F3" s="45">
        <f>SUMIFS(Benchmark!$H$3:$H$30,Benchmark!$F$3:$F$30,"&gt;="&amp;$J3,Benchmark!$F$3:$F$30,"&lt;"&amp;$K3)</f>
        <v>0</v>
      </c>
      <c r="G3" s="36">
        <f>IF(F3=0,0,SUMIFS(Benchmark!$R$3:$R$30,Benchmark!$F$3:$F$30,"&gt;="&amp;$J3,Benchmark!$F$3:$F$30,"&lt;"&amp;$K3)/F3)</f>
        <v>0</v>
      </c>
      <c r="H3" s="8"/>
      <c r="I3" s="8"/>
      <c r="J3" s="75">
        <v>0</v>
      </c>
      <c r="K3" s="75">
        <v>1</v>
      </c>
    </row>
    <row r="4" spans="3:11" ht="16" thickBot="1" x14ac:dyDescent="0.4">
      <c r="C4" s="47" t="s">
        <v>30</v>
      </c>
      <c r="D4" s="39">
        <f>SUMIFS(Portfolio!$C$5:$C$100,Portfolio!$H$5:$H$100,"&gt;="&amp;$J4,Portfolio!$H$5:$H$100,"&lt;"&amp;$K4)</f>
        <v>0</v>
      </c>
      <c r="E4" s="44">
        <f>IF(D4=0,0,SUMIFS(Portfolio!$G$5:$G$100,Portfolio!$H$5:$H$100,"&gt;="&amp;$J4,Portfolio!$H$5:$H$100,"&lt;"&amp;$K4)/D4)</f>
        <v>0</v>
      </c>
      <c r="F4" s="45">
        <f>SUMIFS(Benchmark!$H$3:$H$30,Benchmark!$F$3:$F$30,"&gt;="&amp;$J4,Benchmark!$F$3:$F$30,"&lt;"&amp;$K4)</f>
        <v>0.60983089972352866</v>
      </c>
      <c r="G4" s="36">
        <f>IF(F4=0,0,SUMIFS(Benchmark!$R$3:$R$30,Benchmark!$F$3:$F$30,"&gt;="&amp;$J4,Benchmark!$F$3:$F$30,"&lt;"&amp;$K4)/F4)</f>
        <v>0</v>
      </c>
      <c r="H4" s="8"/>
      <c r="I4" s="8"/>
      <c r="J4" s="75">
        <v>1</v>
      </c>
      <c r="K4" s="75">
        <v>2</v>
      </c>
    </row>
    <row r="5" spans="3:11" ht="16" thickBot="1" x14ac:dyDescent="0.4">
      <c r="C5" s="34" t="s">
        <v>31</v>
      </c>
      <c r="D5" s="39">
        <f>SUMIFS(Portfolio!$C$5:$C$100,Portfolio!$H$5:$H$100,"&gt;="&amp;$J5,Portfolio!$H$5:$H$100,"&lt;"&amp;$K5)</f>
        <v>0</v>
      </c>
      <c r="E5" s="44">
        <f>IF(D5=0,0,SUMIFS(Portfolio!$G$5:$G$100,Portfolio!$H$5:$H$100,"&gt;="&amp;$J5,Portfolio!$H$5:$H$100,"&lt;"&amp;$K5)/D5)</f>
        <v>0</v>
      </c>
      <c r="F5" s="45">
        <f>SUMIFS(Benchmark!$H$3:$H$30,Benchmark!$F$3:$F$30,"&gt;="&amp;$J5,Benchmark!$F$3:$F$30,"&lt;"&amp;$K5)</f>
        <v>0.39016910027647123</v>
      </c>
      <c r="G5" s="36">
        <f>IF(F5=0,0,SUMIFS(Benchmark!$R$3:$R$30,Benchmark!$F$3:$F$30,"&gt;="&amp;$J5,Benchmark!$F$3:$F$30,"&lt;"&amp;$K5)/F5)</f>
        <v>0</v>
      </c>
      <c r="H5" s="8"/>
      <c r="I5" s="8"/>
      <c r="J5" s="75">
        <v>2</v>
      </c>
      <c r="K5" s="75">
        <v>3</v>
      </c>
    </row>
    <row r="6" spans="3:11" ht="15.5" x14ac:dyDescent="0.35">
      <c r="C6" s="29" t="s">
        <v>11</v>
      </c>
      <c r="D6" s="40">
        <f>SUM(D3:D5)</f>
        <v>0</v>
      </c>
      <c r="E6" s="31">
        <f>SUMPRODUCT(E3:E5,D3:D5)</f>
        <v>0</v>
      </c>
      <c r="F6" s="40">
        <f>SUM(F3:F5)</f>
        <v>0.99999999999999989</v>
      </c>
      <c r="G6" s="31">
        <f>SUMPRODUCT(G3:G5,F3:F5)</f>
        <v>0</v>
      </c>
      <c r="H6" s="31">
        <f>SUM(H3:H5)</f>
        <v>0</v>
      </c>
      <c r="I6" s="31">
        <f>SUM(I3:I5)</f>
        <v>0</v>
      </c>
      <c r="J6" s="76"/>
      <c r="K6" s="76"/>
    </row>
    <row r="7" spans="3:11" ht="13" thickBot="1" x14ac:dyDescent="0.3">
      <c r="J7" s="76"/>
      <c r="K7" s="76"/>
    </row>
    <row r="8" spans="3:11" ht="32" thickTop="1" thickBot="1" x14ac:dyDescent="0.4">
      <c r="C8" s="18"/>
      <c r="D8" s="3" t="s">
        <v>0</v>
      </c>
      <c r="E8" s="3" t="s">
        <v>1</v>
      </c>
      <c r="F8" s="3" t="s">
        <v>2</v>
      </c>
      <c r="G8" s="3" t="s">
        <v>3</v>
      </c>
      <c r="H8" s="4" t="s">
        <v>4</v>
      </c>
      <c r="I8" s="4" t="s">
        <v>5</v>
      </c>
      <c r="J8" s="76"/>
      <c r="K8" s="76"/>
    </row>
    <row r="9" spans="3:11" ht="16.5" thickTop="1" thickBot="1" x14ac:dyDescent="0.4">
      <c r="C9" s="19" t="s">
        <v>54</v>
      </c>
      <c r="D9" s="39">
        <f>SUMIFS(Portfolio!$C:$C,Portfolio!$E:$E,$C9)</f>
        <v>0</v>
      </c>
      <c r="E9" s="44">
        <f>IF(D9=0,0,SUMIFS(Portfolio!$G:$G,Portfolio!$E:$E,$C9)/D9)</f>
        <v>0</v>
      </c>
      <c r="F9" s="45">
        <f>SUMIFS(Benchmark!$H:$H,Benchmark!$D:$D,$C9)</f>
        <v>0</v>
      </c>
      <c r="G9" s="36">
        <f>IF(F9=0,0,SUMIFS(Benchmark!$R:$R,Benchmark!$D:$D,$C9)/F9)</f>
        <v>0</v>
      </c>
      <c r="H9" s="8"/>
      <c r="I9" s="8"/>
      <c r="J9" s="76" t="s">
        <v>43</v>
      </c>
      <c r="K9" s="76"/>
    </row>
    <row r="10" spans="3:11" ht="16" thickBot="1" x14ac:dyDescent="0.4">
      <c r="C10" s="19" t="s">
        <v>88</v>
      </c>
      <c r="D10" s="39">
        <f>SUMIFS(Portfolio!$C:$C,Portfolio!$E:$E,$C10)</f>
        <v>0</v>
      </c>
      <c r="E10" s="44">
        <f>IF(D10=0,0,SUMIFS(Portfolio!$G:$G,Portfolio!$E:$E,$C10)/D10)</f>
        <v>0</v>
      </c>
      <c r="F10" s="45">
        <f>SUMIFS(Benchmark!$H:$H,Benchmark!$D:$D,$C10)</f>
        <v>0.49839971382876069</v>
      </c>
      <c r="G10" s="36">
        <f>IF(F10=0,0,SUMIFS(Benchmark!$R:$R,Benchmark!$D:$D,$C10)/F10)</f>
        <v>0</v>
      </c>
      <c r="H10" s="8"/>
      <c r="I10" s="8"/>
      <c r="J10" s="76" t="s">
        <v>57</v>
      </c>
      <c r="K10" s="76"/>
    </row>
    <row r="11" spans="3:11" ht="16" thickBot="1" x14ac:dyDescent="0.4">
      <c r="C11" s="19" t="s">
        <v>90</v>
      </c>
      <c r="D11" s="39">
        <f>SUMIFS(Portfolio!$C:$C,Portfolio!$E:$E,$C11)</f>
        <v>0</v>
      </c>
      <c r="E11" s="44">
        <f>IF(D11=0,0,SUMIFS(Portfolio!$G:$G,Portfolio!$E:$E,$C11)/D11)</f>
        <v>0</v>
      </c>
      <c r="F11" s="45">
        <f>SUMIFS(Benchmark!$H:$H,Benchmark!$D:$D,$C11)</f>
        <v>0.10841963698841042</v>
      </c>
      <c r="G11" s="36">
        <f>IF(F11=0,0,SUMIFS(Benchmark!$R:$R,Benchmark!$D:$D,$C11)/F11)</f>
        <v>0</v>
      </c>
      <c r="H11" s="8"/>
      <c r="I11" s="8"/>
      <c r="J11" s="76" t="s">
        <v>58</v>
      </c>
      <c r="K11" s="76"/>
    </row>
    <row r="12" spans="3:11" ht="16" thickBot="1" x14ac:dyDescent="0.4">
      <c r="C12" s="19" t="s">
        <v>58</v>
      </c>
      <c r="D12" s="39">
        <f>SUMIFS(Portfolio!$C:$C,Portfolio!$E:$E,$C12)</f>
        <v>0</v>
      </c>
      <c r="E12" s="44">
        <f>IF(D12=0,0,SUMIFS(Portfolio!$G:$G,Portfolio!$E:$E,$C12)/D12)</f>
        <v>0</v>
      </c>
      <c r="F12" s="45">
        <f>SUMIFS(Benchmark!$H:$H,Benchmark!$D:$D,$C12)</f>
        <v>0.3931806491828288</v>
      </c>
      <c r="G12" s="36">
        <f>IF(F12=0,0,SUMIFS(Benchmark!$R:$R,Benchmark!$D:$D,$C12)/F12)</f>
        <v>0</v>
      </c>
      <c r="H12" s="8"/>
      <c r="I12" s="8"/>
      <c r="J12" s="76" t="s">
        <v>67</v>
      </c>
      <c r="K12" s="76"/>
    </row>
    <row r="13" spans="3:11" ht="15.5" x14ac:dyDescent="0.35">
      <c r="C13" s="29" t="s">
        <v>11</v>
      </c>
      <c r="D13" s="40">
        <f>SUM(D9:D12)</f>
        <v>0</v>
      </c>
      <c r="E13" s="31">
        <f>SUMPRODUCT(E9:E12,D9:D12)</f>
        <v>0</v>
      </c>
      <c r="F13" s="40">
        <f>SUM(F9:F12)</f>
        <v>0.99999999999999989</v>
      </c>
      <c r="G13" s="31">
        <f>SUMPRODUCT(G9:G12,F9:F12)</f>
        <v>0</v>
      </c>
      <c r="H13" s="31">
        <f>SUM(H9:H12)</f>
        <v>0</v>
      </c>
      <c r="I13" s="31">
        <f>SUM(I9:I12)</f>
        <v>0</v>
      </c>
      <c r="J13" s="76"/>
      <c r="K13" s="76"/>
    </row>
    <row r="14" spans="3:11" ht="13" thickBot="1" x14ac:dyDescent="0.3">
      <c r="J14" s="76"/>
      <c r="K14" s="76"/>
    </row>
    <row r="15" spans="3:11" ht="32" thickTop="1" thickBot="1" x14ac:dyDescent="0.4">
      <c r="C15" s="18"/>
      <c r="D15" s="3" t="s">
        <v>0</v>
      </c>
      <c r="E15" s="3" t="s">
        <v>1</v>
      </c>
      <c r="F15" s="3" t="s">
        <v>2</v>
      </c>
      <c r="G15" s="3" t="s">
        <v>3</v>
      </c>
      <c r="H15" s="4" t="s">
        <v>4</v>
      </c>
      <c r="I15" s="4" t="s">
        <v>5</v>
      </c>
      <c r="J15" s="76"/>
      <c r="K15" s="76"/>
    </row>
    <row r="16" spans="3:11" ht="16.5" thickTop="1" thickBot="1" x14ac:dyDescent="0.4">
      <c r="C16" s="19" t="s">
        <v>54</v>
      </c>
      <c r="D16" s="39">
        <f>SUMIFS(Portfolio!$C:$C,Portfolio!$K:$K,$J16)</f>
        <v>0</v>
      </c>
      <c r="E16" s="44">
        <f>IF(D16=0,0,SUMIFS(Portfolio!$G:$G,Portfolio!$K:$K,$J16)/D16)</f>
        <v>0</v>
      </c>
      <c r="F16" s="45">
        <f>SUMIFS(Benchmark!$H:$H,Benchmark!$N:$N,$J16)</f>
        <v>0</v>
      </c>
      <c r="G16" s="36">
        <f>IF(F16=0,0,SUMIFS(Benchmark!$R:$R,Benchmark!$N:$N,$J16)/F16)</f>
        <v>0</v>
      </c>
      <c r="H16" s="8"/>
      <c r="I16" s="8"/>
      <c r="J16" s="76" t="s">
        <v>43</v>
      </c>
      <c r="K16" s="76"/>
    </row>
    <row r="17" spans="3:11" ht="16" thickBot="1" x14ac:dyDescent="0.4">
      <c r="C17" s="19" t="s">
        <v>10</v>
      </c>
      <c r="D17" s="39">
        <f>SUMIFS(Portfolio!$C:$C,Portfolio!$K:$K,$J17)</f>
        <v>0</v>
      </c>
      <c r="E17" s="44">
        <f>IF(D17=0,0,SUMIFS(Portfolio!$G:$G,Portfolio!$K:$K,$J17)/D17)</f>
        <v>0</v>
      </c>
      <c r="F17" s="45">
        <f>SUMIFS(Benchmark!$H:$H,Benchmark!$N:$N,$J17)</f>
        <v>0.81959299366384608</v>
      </c>
      <c r="G17" s="36">
        <f>IF(F17=0,0,SUMIFS(Benchmark!$R:$R,Benchmark!$N:$N,$J17)/F17)</f>
        <v>0</v>
      </c>
      <c r="H17" s="8"/>
      <c r="I17" s="8"/>
      <c r="J17" s="76" t="s">
        <v>10</v>
      </c>
      <c r="K17" s="76"/>
    </row>
    <row r="18" spans="3:11" ht="16" thickBot="1" x14ac:dyDescent="0.4">
      <c r="C18" s="19" t="s">
        <v>6</v>
      </c>
      <c r="D18" s="39">
        <f>SUMIFS(Portfolio!$C:$C,Portfolio!$K:$K,$J18)</f>
        <v>0</v>
      </c>
      <c r="E18" s="44">
        <f>IF(D18=0,0,SUMIFS(Portfolio!$G:$G,Portfolio!$K:$K,$J18)/D18)</f>
        <v>0</v>
      </c>
      <c r="F18" s="45">
        <f>SUMIFS(Benchmark!$H:$H,Benchmark!$N:$N,$J18)</f>
        <v>3.5633953618688839E-2</v>
      </c>
      <c r="G18" s="36">
        <f>IF(F18=0,0,SUMIFS(Benchmark!$R:$R,Benchmark!$N:$N,$J18)/F18)</f>
        <v>0</v>
      </c>
      <c r="H18" s="8"/>
      <c r="I18" s="8"/>
      <c r="J18" s="76" t="s">
        <v>42</v>
      </c>
      <c r="K18" s="76"/>
    </row>
    <row r="19" spans="3:11" ht="16" thickBot="1" x14ac:dyDescent="0.4">
      <c r="C19" s="19" t="s">
        <v>126</v>
      </c>
      <c r="D19" s="39">
        <f>SUMIFS(Portfolio!$C:$C,Portfolio!$K:$K,$J19)</f>
        <v>0</v>
      </c>
      <c r="E19" s="44">
        <f>IF(D19=0,0,SUMIFS(Portfolio!$G:$G,Portfolio!$K:$K,$J19)/D19)</f>
        <v>0</v>
      </c>
      <c r="F19" s="45">
        <f>SUMIFS(Benchmark!$H:$H,Benchmark!$N:$N,$J19)</f>
        <v>0.10841963698841042</v>
      </c>
      <c r="G19" s="36">
        <f>IF(F19=0,0,SUMIFS(Benchmark!$R:$R,Benchmark!$N:$N,$J19)/F19)</f>
        <v>0</v>
      </c>
      <c r="H19" s="8"/>
      <c r="I19" s="8"/>
      <c r="J19" s="76" t="s">
        <v>92</v>
      </c>
      <c r="K19" s="76"/>
    </row>
    <row r="20" spans="3:11" ht="16" thickBot="1" x14ac:dyDescent="0.4">
      <c r="C20" s="19" t="s">
        <v>65</v>
      </c>
      <c r="D20" s="39">
        <f>SUMIFS(Portfolio!$C:$C,Portfolio!$K:$K,$J20)</f>
        <v>0</v>
      </c>
      <c r="E20" s="44">
        <f>IF(D20=0,0,SUMIFS(Portfolio!$G:$G,Portfolio!$K:$K,$J20)/D20)</f>
        <v>0</v>
      </c>
      <c r="F20" s="45">
        <f>SUMIFS(Benchmark!$H:$H,Benchmark!$N:$N,$J20)</f>
        <v>3.6353415729054532E-2</v>
      </c>
      <c r="G20" s="36">
        <f>IF(F20=0,0,SUMIFS(Benchmark!$R:$R,Benchmark!$N:$N,$J20)/F20)</f>
        <v>0</v>
      </c>
      <c r="H20" s="8"/>
      <c r="I20" s="8"/>
      <c r="J20" s="76" t="s">
        <v>61</v>
      </c>
      <c r="K20" s="76"/>
    </row>
    <row r="21" spans="3:11" ht="16" thickBot="1" x14ac:dyDescent="0.4">
      <c r="C21" s="19" t="s">
        <v>80</v>
      </c>
      <c r="D21" s="39">
        <f>SUMIFS(Portfolio!$C:$C,Portfolio!$K:$K,$J21)</f>
        <v>0</v>
      </c>
      <c r="E21" s="44">
        <f>IF(D21=0,0,SUMIFS(Portfolio!$G:$G,Portfolio!$K:$K,$J21)/D21)</f>
        <v>0</v>
      </c>
      <c r="F21" s="45">
        <f>SUMIFS(Benchmark!$H:$H,Benchmark!$N:$N,$J21)</f>
        <v>0</v>
      </c>
      <c r="G21" s="36">
        <f>IF(F21=0,0,SUMIFS(Benchmark!$R:$R,Benchmark!$N:$N,$J21)/F21)</f>
        <v>0</v>
      </c>
      <c r="H21" s="8"/>
      <c r="I21" s="8"/>
      <c r="J21" s="76" t="s">
        <v>74</v>
      </c>
      <c r="K21" s="76"/>
    </row>
    <row r="22" spans="3:11" ht="15.5" x14ac:dyDescent="0.35">
      <c r="C22" s="29" t="s">
        <v>11</v>
      </c>
      <c r="D22" s="40">
        <f>SUM(D16:D21)</f>
        <v>0</v>
      </c>
      <c r="E22" s="31">
        <f>SUMPRODUCT(E16:E21,D16:D21)</f>
        <v>0</v>
      </c>
      <c r="F22" s="40">
        <f>SUM(F16:F21)</f>
        <v>0.99999999999999978</v>
      </c>
      <c r="G22" s="31">
        <f>SUMPRODUCT(G16:G21,F16:F21)</f>
        <v>0</v>
      </c>
      <c r="H22" s="31">
        <f>SUM(H16:H21)</f>
        <v>0</v>
      </c>
      <c r="I22" s="31">
        <f>SUM(I16:I21)</f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987DD-7727-4A79-83A3-CE887E3647E7}">
  <sheetPr codeName="Sheet7"/>
  <dimension ref="A16:U57"/>
  <sheetViews>
    <sheetView showGridLines="0" zoomScaleNormal="100" workbookViewId="0">
      <selection activeCell="M20" sqref="M20"/>
    </sheetView>
  </sheetViews>
  <sheetFormatPr defaultRowHeight="12.5" x14ac:dyDescent="0.25"/>
  <cols>
    <col min="1" max="1" width="10.08984375" bestFit="1" customWidth="1"/>
    <col min="16" max="16" width="3.54296875" customWidth="1"/>
    <col min="19" max="19" width="3.54296875" customWidth="1"/>
  </cols>
  <sheetData>
    <row r="16" ht="13" customHeight="1" x14ac:dyDescent="0.25"/>
    <row r="17" spans="1:21" x14ac:dyDescent="0.25">
      <c r="A17" s="79"/>
      <c r="B17" s="83" t="s">
        <v>81</v>
      </c>
      <c r="C17" s="83"/>
      <c r="D17" s="83"/>
      <c r="E17" s="83"/>
      <c r="F17" s="83" t="s">
        <v>82</v>
      </c>
      <c r="G17" s="83"/>
      <c r="H17" s="83"/>
      <c r="I17" s="83"/>
      <c r="J17" s="83"/>
      <c r="K17" s="83"/>
      <c r="L17" s="83" t="s">
        <v>127</v>
      </c>
      <c r="M17" s="83"/>
      <c r="N17" s="83"/>
      <c r="O17" s="83"/>
      <c r="Q17" s="83" t="s">
        <v>11</v>
      </c>
      <c r="R17" s="83"/>
      <c r="T17" s="83" t="s">
        <v>85</v>
      </c>
      <c r="U17" s="83"/>
    </row>
    <row r="18" spans="1:21" x14ac:dyDescent="0.25">
      <c r="A18" s="77"/>
      <c r="B18" s="83" t="s">
        <v>87</v>
      </c>
      <c r="C18" s="83"/>
      <c r="D18" s="83" t="s">
        <v>48</v>
      </c>
      <c r="E18" s="83"/>
      <c r="F18" s="83" t="s">
        <v>87</v>
      </c>
      <c r="G18" s="83"/>
      <c r="H18" s="83"/>
      <c r="I18" s="83" t="s">
        <v>48</v>
      </c>
      <c r="J18" s="83"/>
      <c r="K18" s="83"/>
      <c r="L18" s="83" t="s">
        <v>83</v>
      </c>
      <c r="M18" s="83"/>
      <c r="N18" s="83" t="s">
        <v>84</v>
      </c>
      <c r="O18" s="83"/>
      <c r="P18" s="42"/>
      <c r="Q18" s="83"/>
      <c r="R18" s="83"/>
      <c r="T18" s="83"/>
      <c r="U18" s="83"/>
    </row>
    <row r="19" spans="1:21" x14ac:dyDescent="0.25">
      <c r="A19" s="77"/>
      <c r="B19" s="77" t="s">
        <v>67</v>
      </c>
      <c r="C19" s="77" t="s">
        <v>86</v>
      </c>
      <c r="D19" s="77" t="s">
        <v>67</v>
      </c>
      <c r="E19" s="77" t="s">
        <v>86</v>
      </c>
      <c r="F19" s="77" t="s">
        <v>67</v>
      </c>
      <c r="G19" s="77" t="s">
        <v>86</v>
      </c>
      <c r="H19" s="77" t="s">
        <v>11</v>
      </c>
      <c r="I19" s="77" t="s">
        <v>67</v>
      </c>
      <c r="J19" s="77" t="s">
        <v>86</v>
      </c>
      <c r="K19" s="77" t="s">
        <v>11</v>
      </c>
      <c r="L19" s="77" t="s">
        <v>67</v>
      </c>
      <c r="M19" s="77" t="s">
        <v>86</v>
      </c>
      <c r="N19" s="77" t="s">
        <v>67</v>
      </c>
      <c r="O19" s="77" t="s">
        <v>86</v>
      </c>
      <c r="P19" s="42"/>
      <c r="Q19" s="77" t="s">
        <v>83</v>
      </c>
      <c r="R19" s="77" t="s">
        <v>84</v>
      </c>
      <c r="S19" s="42"/>
      <c r="T19" s="77" t="s">
        <v>83</v>
      </c>
      <c r="U19" s="77" t="s">
        <v>84</v>
      </c>
    </row>
    <row r="20" spans="1:21" x14ac:dyDescent="0.25">
      <c r="A20" s="80">
        <v>45199</v>
      </c>
      <c r="B20" s="81">
        <v>0.41009497422361663</v>
      </c>
      <c r="C20" s="81">
        <v>0.5899050257763836</v>
      </c>
      <c r="D20" s="82">
        <v>0.4</v>
      </c>
      <c r="E20" s="82">
        <v>0.6</v>
      </c>
      <c r="F20" s="78">
        <v>-4.6326590167146389</v>
      </c>
      <c r="G20" s="78">
        <v>-2.2715221490482955</v>
      </c>
      <c r="H20" s="78">
        <f>SUMPRODUCT(B20:C20,F20:G20)</f>
        <v>-3.2398125119323558</v>
      </c>
      <c r="I20" s="78">
        <v>-4.7678193308121433</v>
      </c>
      <c r="J20" s="78">
        <v>-0.34399999999999997</v>
      </c>
      <c r="K20" s="78">
        <f>SUMPRODUCT(D20:E20,I20:J20)</f>
        <v>-2.1135277323248576</v>
      </c>
      <c r="L20" s="78">
        <f>(B20-D20)*(I20-$K20)</f>
        <v>-2.679500526869126E-2</v>
      </c>
      <c r="M20" s="78">
        <f>(C20-E20)*(J20-$K20)</f>
        <v>-1.7863336845793786E-2</v>
      </c>
      <c r="N20" s="78">
        <f>B20*(F20-I20)</f>
        <v>5.5428565525871991E-2</v>
      </c>
      <c r="O20" s="78">
        <f>C20*(G20-J20)</f>
        <v>-1.1370550030188851</v>
      </c>
      <c r="P20" s="43"/>
      <c r="Q20" s="78">
        <f t="shared" ref="Q20:Q55" si="0">SUM(L20:M20)</f>
        <v>-4.465834211448505E-2</v>
      </c>
      <c r="R20" s="78">
        <f t="shared" ref="R20:R55" si="1">SUM(N20:O20)</f>
        <v>-1.0816264374930131</v>
      </c>
      <c r="T20" s="78">
        <f>Q20</f>
        <v>-4.465834211448505E-2</v>
      </c>
      <c r="U20" s="78">
        <f>R20</f>
        <v>-1.0816264374930131</v>
      </c>
    </row>
    <row r="21" spans="1:21" x14ac:dyDescent="0.25">
      <c r="A21" s="80">
        <v>45230</v>
      </c>
      <c r="B21" s="81">
        <v>0.40722643957413296</v>
      </c>
      <c r="C21" s="81">
        <v>0.59277356042586704</v>
      </c>
      <c r="D21" s="82">
        <v>0.4</v>
      </c>
      <c r="E21" s="82">
        <v>0.6</v>
      </c>
      <c r="F21" s="78">
        <v>-2.2683212090392955</v>
      </c>
      <c r="G21" s="78">
        <v>-1.6650552249110278</v>
      </c>
      <c r="H21" s="78">
        <f t="shared" ref="H21:H55" si="2">SUMPRODUCT(B21:C21,F21:G21)</f>
        <v>-1.9107210837437676</v>
      </c>
      <c r="I21" s="78">
        <v>-2.10268700104037</v>
      </c>
      <c r="J21" s="78">
        <v>0.10100000000000001</v>
      </c>
      <c r="K21" s="78">
        <f t="shared" ref="K21:K55" si="3">SUMPRODUCT(D21:E21,I21:J21)</f>
        <v>-0.78047480041614803</v>
      </c>
      <c r="L21" s="78">
        <f>(B21-D21)*(I21-$K21)</f>
        <v>-9.5548865719922767E-3</v>
      </c>
      <c r="M21" s="78">
        <f t="shared" ref="M21:M55" si="4">(C21-E21)*(J21-$K21)</f>
        <v>-6.3699243813281842E-3</v>
      </c>
      <c r="N21" s="78">
        <f t="shared" ref="N21:N55" si="5">B21*(F21-I21)</f>
        <v>-6.7450628795083789E-2</v>
      </c>
      <c r="O21" s="78">
        <f t="shared" ref="O21:O55" si="6">C21*(G21-J21)</f>
        <v>-1.0468708435792153</v>
      </c>
      <c r="P21" s="43"/>
      <c r="Q21" s="78">
        <f t="shared" si="0"/>
        <v>-1.5924810953320462E-2</v>
      </c>
      <c r="R21" s="78">
        <f t="shared" si="1"/>
        <v>-1.1143214723742991</v>
      </c>
      <c r="T21" s="78">
        <f>T20+Q21</f>
        <v>-6.0583153067805512E-2</v>
      </c>
      <c r="U21" s="78">
        <f>U20+R21</f>
        <v>-2.1959479098673125</v>
      </c>
    </row>
    <row r="22" spans="1:21" x14ac:dyDescent="0.25">
      <c r="A22" s="80">
        <v>45260</v>
      </c>
      <c r="B22" s="81">
        <v>0.42803844417679038</v>
      </c>
      <c r="C22" s="81">
        <v>0.57196155582320962</v>
      </c>
      <c r="D22" s="82">
        <v>0.4</v>
      </c>
      <c r="E22" s="82">
        <v>0.6</v>
      </c>
      <c r="F22" s="78">
        <v>8.9158176003000218</v>
      </c>
      <c r="G22" s="78">
        <v>4.709147469299741</v>
      </c>
      <c r="H22" s="78">
        <f t="shared" si="2"/>
        <v>6.5097640073380756</v>
      </c>
      <c r="I22" s="78">
        <v>9.1325860470973819</v>
      </c>
      <c r="J22" s="78">
        <v>1.484</v>
      </c>
      <c r="K22" s="78">
        <f t="shared" si="3"/>
        <v>4.5434344188389524</v>
      </c>
      <c r="L22" s="78">
        <f t="shared" ref="L22:L55" si="7">(B22-D22)*(I22-$K22)</f>
        <v>0.12867267174775054</v>
      </c>
      <c r="M22" s="78">
        <f t="shared" si="4"/>
        <v>8.5781781165167006E-2</v>
      </c>
      <c r="N22" s="78">
        <f t="shared" si="5"/>
        <v>-9.2785228713761367E-2</v>
      </c>
      <c r="O22" s="78">
        <f t="shared" si="6"/>
        <v>1.844660364299967</v>
      </c>
      <c r="P22" s="43"/>
      <c r="Q22" s="78">
        <f t="shared" si="0"/>
        <v>0.21445445291291754</v>
      </c>
      <c r="R22" s="78">
        <f t="shared" si="1"/>
        <v>1.7518751355862057</v>
      </c>
      <c r="T22" s="78">
        <f t="shared" ref="T22:U55" si="8">T21+Q22</f>
        <v>0.15387129984511203</v>
      </c>
      <c r="U22" s="78">
        <f t="shared" si="8"/>
        <v>-0.44407277428110681</v>
      </c>
    </row>
    <row r="23" spans="1:21" x14ac:dyDescent="0.25">
      <c r="A23" s="80">
        <v>45291</v>
      </c>
      <c r="B23" s="81">
        <v>0.43344772265981701</v>
      </c>
      <c r="C23" s="81">
        <v>0.56655227734018299</v>
      </c>
      <c r="D23" s="82">
        <v>0.4</v>
      </c>
      <c r="E23" s="82">
        <v>0.6</v>
      </c>
      <c r="F23" s="78">
        <v>4.577089801433555</v>
      </c>
      <c r="G23" s="78">
        <v>3.8050974014672523</v>
      </c>
      <c r="H23" s="78">
        <f t="shared" si="2"/>
        <v>4.139715749143333</v>
      </c>
      <c r="I23" s="78">
        <v>4.5430619636360632</v>
      </c>
      <c r="J23" s="78">
        <v>1.488</v>
      </c>
      <c r="K23" s="78">
        <f t="shared" si="3"/>
        <v>2.7100247854544253</v>
      </c>
      <c r="L23" s="78">
        <f t="shared" si="7"/>
        <v>6.1310919160952965E-2</v>
      </c>
      <c r="M23" s="78">
        <f t="shared" si="4"/>
        <v>4.0873946107301981E-2</v>
      </c>
      <c r="N23" s="78">
        <f t="shared" si="5"/>
        <v>1.4749288800360489E-2</v>
      </c>
      <c r="O23" s="78">
        <f t="shared" si="6"/>
        <v>1.312756809620292</v>
      </c>
      <c r="P23" s="43"/>
      <c r="Q23" s="78">
        <f t="shared" si="0"/>
        <v>0.10218486526825495</v>
      </c>
      <c r="R23" s="78">
        <f t="shared" si="1"/>
        <v>1.3275060984206524</v>
      </c>
      <c r="T23" s="78">
        <f t="shared" si="8"/>
        <v>0.25605616511336698</v>
      </c>
      <c r="U23" s="78">
        <f t="shared" si="8"/>
        <v>0.88343332413954556</v>
      </c>
    </row>
    <row r="24" spans="1:21" x14ac:dyDescent="0.25">
      <c r="A24" s="80">
        <v>45322</v>
      </c>
      <c r="B24" s="81">
        <v>0.4326870187558301</v>
      </c>
      <c r="C24" s="81">
        <v>0.56731298124416973</v>
      </c>
      <c r="D24" s="82">
        <v>0.4</v>
      </c>
      <c r="E24" s="82">
        <v>0.6</v>
      </c>
      <c r="F24" s="78">
        <v>1.5917759028726268</v>
      </c>
      <c r="G24" s="78">
        <v>-8.6239445154707717E-2</v>
      </c>
      <c r="H24" s="78">
        <f t="shared" si="2"/>
        <v>0.63981601320976644</v>
      </c>
      <c r="I24" s="78">
        <v>1.6804110834512116</v>
      </c>
      <c r="J24" s="78">
        <v>0.35699999999999998</v>
      </c>
      <c r="K24" s="78">
        <f t="shared" si="3"/>
        <v>0.88636443338048465</v>
      </c>
      <c r="L24" s="78">
        <f t="shared" si="7"/>
        <v>2.5955017743865893E-2</v>
      </c>
      <c r="M24" s="78">
        <f t="shared" si="4"/>
        <v>1.7303345162577352E-2</v>
      </c>
      <c r="N24" s="78">
        <f t="shared" si="5"/>
        <v>-3.8351292041432498E-2</v>
      </c>
      <c r="O24" s="78">
        <f t="shared" si="6"/>
        <v>-0.2514554910357289</v>
      </c>
      <c r="P24" s="43"/>
      <c r="Q24" s="78">
        <f t="shared" si="0"/>
        <v>4.3258362906443248E-2</v>
      </c>
      <c r="R24" s="78">
        <f t="shared" si="1"/>
        <v>-0.2898067830771614</v>
      </c>
      <c r="T24" s="78">
        <f t="shared" si="8"/>
        <v>0.29931452801981023</v>
      </c>
      <c r="U24" s="78">
        <f t="shared" si="8"/>
        <v>0.59362654106238422</v>
      </c>
    </row>
    <row r="25" spans="1:21" x14ac:dyDescent="0.25">
      <c r="A25" s="80">
        <v>45351</v>
      </c>
      <c r="B25" s="81">
        <v>0.43550770343485967</v>
      </c>
      <c r="C25" s="81">
        <v>0.56449229656514022</v>
      </c>
      <c r="D25" s="82">
        <v>0.4</v>
      </c>
      <c r="E25" s="82">
        <v>0.6</v>
      </c>
      <c r="F25" s="78">
        <v>5.0918034196821234</v>
      </c>
      <c r="G25" s="78">
        <v>-1.5433760971191548</v>
      </c>
      <c r="H25" s="78">
        <f t="shared" si="2"/>
        <v>1.3462956961209918</v>
      </c>
      <c r="I25" s="78">
        <v>5.3395839403964187</v>
      </c>
      <c r="J25" s="78">
        <v>-0.72699999999999998</v>
      </c>
      <c r="K25" s="78">
        <f t="shared" si="3"/>
        <v>1.6996335761585675</v>
      </c>
      <c r="L25" s="78">
        <f t="shared" si="7"/>
        <v>0.12924627805096697</v>
      </c>
      <c r="M25" s="78">
        <f t="shared" si="4"/>
        <v>8.6164185367311588E-2</v>
      </c>
      <c r="N25" s="78">
        <f t="shared" si="5"/>
        <v>-0.10791032553217644</v>
      </c>
      <c r="O25" s="78">
        <f t="shared" si="6"/>
        <v>-0.46083801792367768</v>
      </c>
      <c r="P25" s="43"/>
      <c r="Q25" s="78">
        <f t="shared" si="0"/>
        <v>0.21541046341827857</v>
      </c>
      <c r="R25" s="78">
        <f t="shared" si="1"/>
        <v>-0.56874834345585412</v>
      </c>
      <c r="T25" s="78">
        <f t="shared" si="8"/>
        <v>0.51472499143808881</v>
      </c>
      <c r="U25" s="78">
        <f t="shared" si="8"/>
        <v>2.4878197606530095E-2</v>
      </c>
    </row>
    <row r="26" spans="1:21" x14ac:dyDescent="0.25">
      <c r="A26" s="80">
        <v>45382</v>
      </c>
      <c r="B26" s="81">
        <v>0.4313823481763247</v>
      </c>
      <c r="C26" s="81">
        <v>0.56861765182367541</v>
      </c>
      <c r="D26" s="82">
        <v>0.4</v>
      </c>
      <c r="E26" s="82">
        <v>0.6</v>
      </c>
      <c r="F26" s="78">
        <v>3.1678101574856239</v>
      </c>
      <c r="G26" s="78">
        <v>0.80003726069207481</v>
      </c>
      <c r="H26" s="78">
        <f t="shared" si="2"/>
        <v>1.8214526928591346</v>
      </c>
      <c r="I26" s="78">
        <v>3.2174693616317329</v>
      </c>
      <c r="J26" s="78">
        <v>0.35699999999999998</v>
      </c>
      <c r="K26" s="78">
        <f t="shared" si="3"/>
        <v>1.5011877446526931</v>
      </c>
      <c r="L26" s="78">
        <f t="shared" si="7"/>
        <v>5.3860947272661747E-2</v>
      </c>
      <c r="M26" s="78">
        <f t="shared" si="4"/>
        <v>3.5907298181774371E-2</v>
      </c>
      <c r="N26" s="78">
        <f t="shared" si="5"/>
        <v>-2.1422104093115991E-2</v>
      </c>
      <c r="O26" s="78">
        <f t="shared" si="6"/>
        <v>0.25191880684512113</v>
      </c>
      <c r="P26" s="43"/>
      <c r="Q26" s="78">
        <f t="shared" si="0"/>
        <v>8.9768245454436124E-2</v>
      </c>
      <c r="R26" s="78">
        <f t="shared" si="1"/>
        <v>0.23049670275200515</v>
      </c>
      <c r="T26" s="78">
        <f t="shared" si="8"/>
        <v>0.60449323689252488</v>
      </c>
      <c r="U26" s="78">
        <f t="shared" si="8"/>
        <v>0.25537490035853527</v>
      </c>
    </row>
    <row r="27" spans="1:21" x14ac:dyDescent="0.25">
      <c r="A27" s="80">
        <v>45412</v>
      </c>
      <c r="B27" s="81">
        <v>0.4250293030214195</v>
      </c>
      <c r="C27" s="81">
        <v>0.5749706969785805</v>
      </c>
      <c r="D27" s="82">
        <v>0.4</v>
      </c>
      <c r="E27" s="82">
        <v>0.6</v>
      </c>
      <c r="F27" s="78">
        <v>-4.0668757217974205</v>
      </c>
      <c r="G27" s="78">
        <v>-2.4834195781526844</v>
      </c>
      <c r="H27" s="78">
        <f t="shared" si="2"/>
        <v>-3.1564348392509913</v>
      </c>
      <c r="I27" s="78">
        <v>-4.0845049452488809</v>
      </c>
      <c r="J27" s="78">
        <v>-0.76200000000000001</v>
      </c>
      <c r="K27" s="78">
        <f t="shared" si="3"/>
        <v>-2.0910019780995523</v>
      </c>
      <c r="L27" s="78">
        <f t="shared" si="7"/>
        <v>-4.9895989838879384E-2</v>
      </c>
      <c r="M27" s="78">
        <f t="shared" si="4"/>
        <v>-3.3263993225919594E-2</v>
      </c>
      <c r="N27" s="78">
        <f t="shared" si="5"/>
        <v>7.492936556383052E-3</v>
      </c>
      <c r="O27" s="78">
        <f t="shared" si="6"/>
        <v>-0.98976581464302293</v>
      </c>
      <c r="P27" s="43"/>
      <c r="Q27" s="78">
        <f t="shared" si="0"/>
        <v>-8.3159983064798979E-2</v>
      </c>
      <c r="R27" s="78">
        <f t="shared" si="1"/>
        <v>-0.98227287808663988</v>
      </c>
      <c r="T27" s="78">
        <f t="shared" si="8"/>
        <v>0.52133325382772588</v>
      </c>
      <c r="U27" s="78">
        <f t="shared" si="8"/>
        <v>-0.72689797772810461</v>
      </c>
    </row>
    <row r="28" spans="1:21" x14ac:dyDescent="0.25">
      <c r="A28" s="80">
        <v>45443</v>
      </c>
      <c r="B28" s="81">
        <v>0.41917835371917728</v>
      </c>
      <c r="C28" s="81">
        <v>0.58082164628082267</v>
      </c>
      <c r="D28" s="82">
        <v>0.4</v>
      </c>
      <c r="E28" s="82">
        <v>0.6</v>
      </c>
      <c r="F28" s="78">
        <v>4.9332949985009016</v>
      </c>
      <c r="G28" s="78">
        <v>1.506738347693199</v>
      </c>
      <c r="H28" s="78">
        <f t="shared" si="2"/>
        <v>2.9430767235042694</v>
      </c>
      <c r="I28" s="78">
        <v>4.9585177041654038</v>
      </c>
      <c r="J28" s="78">
        <v>0.88700000000000001</v>
      </c>
      <c r="K28" s="78">
        <f t="shared" si="3"/>
        <v>2.5156070816661615</v>
      </c>
      <c r="L28" s="78">
        <f t="shared" si="7"/>
        <v>4.6851004022625965E-2</v>
      </c>
      <c r="M28" s="78">
        <f t="shared" si="4"/>
        <v>3.1234002681750733E-2</v>
      </c>
      <c r="N28" s="78">
        <f t="shared" si="5"/>
        <v>-1.0572812236789417E-2</v>
      </c>
      <c r="O28" s="78">
        <f t="shared" si="6"/>
        <v>0.35995744737052071</v>
      </c>
      <c r="P28" s="43"/>
      <c r="Q28" s="78">
        <f t="shared" si="0"/>
        <v>7.8085006704376694E-2</v>
      </c>
      <c r="R28" s="78">
        <f t="shared" si="1"/>
        <v>0.3493846351337313</v>
      </c>
      <c r="T28" s="78">
        <f t="shared" si="8"/>
        <v>0.59941826053210256</v>
      </c>
      <c r="U28" s="78">
        <f t="shared" si="8"/>
        <v>-0.3775133425943733</v>
      </c>
    </row>
    <row r="29" spans="1:21" x14ac:dyDescent="0.25">
      <c r="A29" s="80">
        <v>45473</v>
      </c>
      <c r="B29" s="81">
        <v>0.42059236658388033</v>
      </c>
      <c r="C29" s="81">
        <v>0.57940763341611956</v>
      </c>
      <c r="D29" s="82">
        <v>0.4</v>
      </c>
      <c r="E29" s="82">
        <v>0.6</v>
      </c>
      <c r="F29" s="78">
        <v>2.9982944288332929</v>
      </c>
      <c r="G29" s="78">
        <v>0.97339066192369605</v>
      </c>
      <c r="H29" s="78">
        <f t="shared" si="2"/>
        <v>1.8250497293528174</v>
      </c>
      <c r="I29" s="78">
        <v>3.5881754199761535</v>
      </c>
      <c r="J29" s="78">
        <v>0.70099999999999996</v>
      </c>
      <c r="K29" s="78">
        <f t="shared" si="3"/>
        <v>1.8558701679904615</v>
      </c>
      <c r="L29" s="78">
        <f t="shared" si="7"/>
        <v>3.5672264784070519E-2</v>
      </c>
      <c r="M29" s="78">
        <f t="shared" si="4"/>
        <v>2.3781509856047142E-2</v>
      </c>
      <c r="N29" s="78">
        <f t="shared" si="5"/>
        <v>-0.24809944206762072</v>
      </c>
      <c r="O29" s="78">
        <f t="shared" si="6"/>
        <v>0.15782522878985908</v>
      </c>
      <c r="P29" s="43"/>
      <c r="Q29" s="78">
        <f t="shared" si="0"/>
        <v>5.9453774640117661E-2</v>
      </c>
      <c r="R29" s="78">
        <f t="shared" si="1"/>
        <v>-9.0274213277761639E-2</v>
      </c>
      <c r="T29" s="78">
        <f t="shared" si="8"/>
        <v>0.65887203517222026</v>
      </c>
      <c r="U29" s="78">
        <f t="shared" si="8"/>
        <v>-0.46778755587213494</v>
      </c>
    </row>
    <row r="30" spans="1:21" x14ac:dyDescent="0.25">
      <c r="A30" s="80">
        <v>45504</v>
      </c>
      <c r="B30" s="81">
        <v>0.42234378321714955</v>
      </c>
      <c r="C30" s="81">
        <v>0.5776562167828504</v>
      </c>
      <c r="D30" s="82">
        <v>0.4</v>
      </c>
      <c r="E30" s="82">
        <v>0.6</v>
      </c>
      <c r="F30" s="78">
        <v>1.5297327647057428</v>
      </c>
      <c r="G30" s="78">
        <v>2.7218742814829464</v>
      </c>
      <c r="H30" s="78">
        <f t="shared" si="2"/>
        <v>2.2183807231570309</v>
      </c>
      <c r="I30" s="78">
        <v>1.2172518192850557</v>
      </c>
      <c r="J30" s="78">
        <v>1.4770000000000001</v>
      </c>
      <c r="K30" s="78">
        <f t="shared" si="3"/>
        <v>1.3731007277140224</v>
      </c>
      <c r="L30" s="78">
        <f t="shared" si="7"/>
        <v>-3.4822542245662195E-3</v>
      </c>
      <c r="M30" s="78">
        <f t="shared" si="4"/>
        <v>-2.3215028163774839E-3</v>
      </c>
      <c r="N30" s="78">
        <f t="shared" si="5"/>
        <v>0.13197438467224465</v>
      </c>
      <c r="O30" s="78">
        <f t="shared" si="6"/>
        <v>0.71910936781170798</v>
      </c>
      <c r="P30" s="43"/>
      <c r="Q30" s="78">
        <f t="shared" si="0"/>
        <v>-5.803757040943703E-3</v>
      </c>
      <c r="R30" s="78">
        <f t="shared" si="1"/>
        <v>0.85108375248395263</v>
      </c>
      <c r="T30" s="78">
        <f t="shared" si="8"/>
        <v>0.65306827813127655</v>
      </c>
      <c r="U30" s="78">
        <f t="shared" si="8"/>
        <v>0.38329619661181769</v>
      </c>
    </row>
    <row r="31" spans="1:21" x14ac:dyDescent="0.25">
      <c r="A31" s="80">
        <v>45535</v>
      </c>
      <c r="B31" s="81">
        <v>0.41603403452075705</v>
      </c>
      <c r="C31" s="81">
        <v>0.58396596547924307</v>
      </c>
      <c r="D31" s="82">
        <v>0.4</v>
      </c>
      <c r="E31" s="82">
        <v>0.6</v>
      </c>
      <c r="F31" s="78">
        <v>2.5658528227547874</v>
      </c>
      <c r="G31" s="78">
        <v>1.3550118132987157</v>
      </c>
      <c r="H31" s="78">
        <f t="shared" si="2"/>
        <v>1.8587628836259116</v>
      </c>
      <c r="I31" s="78">
        <v>2.4256373790769912</v>
      </c>
      <c r="J31" s="78">
        <v>0.995</v>
      </c>
      <c r="K31" s="78">
        <f t="shared" si="3"/>
        <v>1.5672549516307965</v>
      </c>
      <c r="L31" s="78">
        <f t="shared" si="7"/>
        <v>1.3763333473683496E-2</v>
      </c>
      <c r="M31" s="78">
        <f t="shared" si="4"/>
        <v>9.1755556491222683E-3</v>
      </c>
      <c r="N31" s="78">
        <f t="shared" si="5"/>
        <v>5.8334396735391557E-2</v>
      </c>
      <c r="O31" s="78">
        <f t="shared" si="6"/>
        <v>0.2102346461369175</v>
      </c>
      <c r="P31" s="43"/>
      <c r="Q31" s="78">
        <f t="shared" si="0"/>
        <v>2.2938889122805763E-2</v>
      </c>
      <c r="R31" s="78">
        <f t="shared" si="1"/>
        <v>0.26856904287230904</v>
      </c>
      <c r="T31" s="78">
        <f t="shared" si="8"/>
        <v>0.67600716725408228</v>
      </c>
      <c r="U31" s="78">
        <f t="shared" si="8"/>
        <v>0.65186523948412667</v>
      </c>
    </row>
    <row r="32" spans="1:21" x14ac:dyDescent="0.25">
      <c r="A32" s="80">
        <v>45565</v>
      </c>
      <c r="B32" s="81">
        <v>0.41805527323040576</v>
      </c>
      <c r="C32" s="81">
        <v>0.58194472676959408</v>
      </c>
      <c r="D32" s="82">
        <v>0.4</v>
      </c>
      <c r="E32" s="82">
        <v>0.6</v>
      </c>
      <c r="F32" s="78">
        <v>2.1860936247317988</v>
      </c>
      <c r="G32" s="78">
        <v>1.1343566282498687</v>
      </c>
      <c r="H32" s="78">
        <f t="shared" si="2"/>
        <v>1.574040825680648</v>
      </c>
      <c r="I32" s="78">
        <v>2.1357000687759533</v>
      </c>
      <c r="J32" s="78">
        <v>0.877</v>
      </c>
      <c r="K32" s="78">
        <f t="shared" si="3"/>
        <v>1.3804800275103815</v>
      </c>
      <c r="L32" s="78">
        <f t="shared" si="7"/>
        <v>1.3635704194128193E-2</v>
      </c>
      <c r="M32" s="78">
        <f t="shared" si="4"/>
        <v>9.0904694627522153E-3</v>
      </c>
      <c r="N32" s="78">
        <f t="shared" si="5"/>
        <v>2.106729180417273E-2</v>
      </c>
      <c r="O32" s="78">
        <f t="shared" si="6"/>
        <v>0.14976733270921386</v>
      </c>
      <c r="P32" s="43"/>
      <c r="Q32" s="78">
        <f t="shared" si="0"/>
        <v>2.2726173656880407E-2</v>
      </c>
      <c r="R32" s="78">
        <f t="shared" si="1"/>
        <v>0.1708346245133866</v>
      </c>
      <c r="T32" s="78">
        <f t="shared" si="8"/>
        <v>0.69873334091096273</v>
      </c>
      <c r="U32" s="78">
        <f t="shared" si="8"/>
        <v>0.82269986399751327</v>
      </c>
    </row>
    <row r="33" spans="1:21" x14ac:dyDescent="0.25">
      <c r="A33" s="80">
        <v>45596</v>
      </c>
      <c r="B33" s="81">
        <v>0.42053770139024882</v>
      </c>
      <c r="C33" s="81">
        <v>0.57946229860975129</v>
      </c>
      <c r="D33" s="82">
        <v>0.4</v>
      </c>
      <c r="E33" s="82">
        <v>0.6</v>
      </c>
      <c r="F33" s="78">
        <v>-0.87823822802805207</v>
      </c>
      <c r="G33" s="78">
        <v>-2.6084577449061626</v>
      </c>
      <c r="H33" s="78">
        <f t="shared" si="2"/>
        <v>-1.8808352063776954</v>
      </c>
      <c r="I33" s="78">
        <v>-0.90680016846353106</v>
      </c>
      <c r="J33" s="78">
        <v>-1.0760000000000001</v>
      </c>
      <c r="K33" s="78">
        <f t="shared" si="3"/>
        <v>-1.0083200673854125</v>
      </c>
      <c r="L33" s="78">
        <f t="shared" si="7"/>
        <v>2.084985369225841E-3</v>
      </c>
      <c r="M33" s="78">
        <f t="shared" si="4"/>
        <v>1.3899902461505531E-3</v>
      </c>
      <c r="N33" s="78">
        <f t="shared" si="5"/>
        <v>1.2011372777981538E-2</v>
      </c>
      <c r="O33" s="78">
        <f t="shared" si="6"/>
        <v>-0.88800148738564078</v>
      </c>
      <c r="P33" s="43"/>
      <c r="Q33" s="78">
        <f t="shared" si="0"/>
        <v>3.4749756153763939E-3</v>
      </c>
      <c r="R33" s="78">
        <f t="shared" si="1"/>
        <v>-0.87599011460765919</v>
      </c>
      <c r="T33" s="78">
        <f t="shared" si="8"/>
        <v>0.70220831652633908</v>
      </c>
      <c r="U33" s="78">
        <f t="shared" si="8"/>
        <v>-5.3290250610145917E-2</v>
      </c>
    </row>
    <row r="34" spans="1:21" x14ac:dyDescent="0.25">
      <c r="A34" s="80">
        <v>45626</v>
      </c>
      <c r="B34" s="81">
        <v>0.43096524408225084</v>
      </c>
      <c r="C34" s="81">
        <v>0.5690347559177491</v>
      </c>
      <c r="D34" s="82">
        <v>0.4</v>
      </c>
      <c r="E34" s="82">
        <v>0.6</v>
      </c>
      <c r="F34" s="78">
        <v>5.9625926389178563</v>
      </c>
      <c r="G34" s="78">
        <v>0.93855450930594631</v>
      </c>
      <c r="H34" s="78">
        <f t="shared" si="2"/>
        <v>3.1037403281126781</v>
      </c>
      <c r="I34" s="78">
        <v>5.870059725910731</v>
      </c>
      <c r="J34" s="78">
        <v>0.378</v>
      </c>
      <c r="K34" s="78">
        <f t="shared" si="3"/>
        <v>2.5748238903642924</v>
      </c>
      <c r="L34" s="78">
        <f t="shared" si="7"/>
        <v>0.10203778195627519</v>
      </c>
      <c r="M34" s="78">
        <f t="shared" si="4"/>
        <v>6.8025187970850248E-2</v>
      </c>
      <c r="N34" s="78">
        <f t="shared" si="5"/>
        <v>3.9878469439757439E-2</v>
      </c>
      <c r="O34" s="78">
        <f t="shared" si="6"/>
        <v>0.31897499838150278</v>
      </c>
      <c r="P34" s="43"/>
      <c r="Q34" s="78">
        <f t="shared" si="0"/>
        <v>0.17006296992712544</v>
      </c>
      <c r="R34" s="78">
        <f t="shared" si="1"/>
        <v>0.35885346782126021</v>
      </c>
      <c r="T34" s="78">
        <f t="shared" si="8"/>
        <v>0.87227128645346452</v>
      </c>
      <c r="U34" s="78">
        <f t="shared" si="8"/>
        <v>0.30556321721111429</v>
      </c>
    </row>
    <row r="35" spans="1:21" x14ac:dyDescent="0.25">
      <c r="A35" s="80">
        <v>45657</v>
      </c>
      <c r="B35" s="81">
        <v>0.45057533614961043</v>
      </c>
      <c r="C35" s="81">
        <v>0.54942466385038957</v>
      </c>
      <c r="D35" s="82">
        <v>0.4</v>
      </c>
      <c r="E35" s="82">
        <v>0.6</v>
      </c>
      <c r="F35" s="78">
        <v>-3.1116231788159037</v>
      </c>
      <c r="G35" s="78">
        <v>-1.8203393730648516</v>
      </c>
      <c r="H35" s="78">
        <f t="shared" si="2"/>
        <v>-2.40216000790568</v>
      </c>
      <c r="I35" s="78">
        <v>-2.3838126638204926</v>
      </c>
      <c r="J35" s="78">
        <v>-6.9000000000000006E-2</v>
      </c>
      <c r="K35" s="78">
        <f t="shared" si="3"/>
        <v>-0.99492506552819704</v>
      </c>
      <c r="L35" s="78">
        <f t="shared" si="7"/>
        <v>-7.0243457157657924E-2</v>
      </c>
      <c r="M35" s="78">
        <f t="shared" si="4"/>
        <v>-4.6828971438438602E-2</v>
      </c>
      <c r="N35" s="78">
        <f t="shared" si="5"/>
        <v>-0.32793346744727842</v>
      </c>
      <c r="O35" s="78">
        <f t="shared" si="6"/>
        <v>-0.96222904633410811</v>
      </c>
      <c r="P35" s="43"/>
      <c r="Q35" s="78">
        <f t="shared" si="0"/>
        <v>-0.11707242859609653</v>
      </c>
      <c r="R35" s="78">
        <f t="shared" si="1"/>
        <v>-1.2901625137813866</v>
      </c>
      <c r="T35" s="78">
        <f t="shared" si="8"/>
        <v>0.75519885785736796</v>
      </c>
      <c r="U35" s="78">
        <f t="shared" si="8"/>
        <v>-0.98459929657027234</v>
      </c>
    </row>
    <row r="36" spans="1:21" x14ac:dyDescent="0.25">
      <c r="A36" s="80">
        <v>45688</v>
      </c>
      <c r="B36" s="81">
        <v>0.44082986985913158</v>
      </c>
      <c r="C36" s="81">
        <v>0.55917013014086836</v>
      </c>
      <c r="D36" s="82">
        <v>0.4</v>
      </c>
      <c r="E36" s="82">
        <v>0.6</v>
      </c>
      <c r="F36" s="78">
        <v>3.1120076992522954</v>
      </c>
      <c r="G36" s="78">
        <v>0.6256734914141675</v>
      </c>
      <c r="H36" s="78">
        <f t="shared" si="2"/>
        <v>1.7217238766817564</v>
      </c>
      <c r="I36" s="78">
        <v>2.7847352271019847</v>
      </c>
      <c r="J36" s="78">
        <v>0.48899999999999999</v>
      </c>
      <c r="K36" s="78">
        <f t="shared" si="3"/>
        <v>1.4072940908407938</v>
      </c>
      <c r="L36" s="78">
        <f t="shared" si="7"/>
        <v>5.6240742332158727E-2</v>
      </c>
      <c r="M36" s="78">
        <f t="shared" si="4"/>
        <v>3.74938282214392E-2</v>
      </c>
      <c r="N36" s="78">
        <f t="shared" si="5"/>
        <v>0.1442714813064977</v>
      </c>
      <c r="O36" s="78">
        <f t="shared" si="6"/>
        <v>7.6423733980866909E-2</v>
      </c>
      <c r="P36" s="43"/>
      <c r="Q36" s="78">
        <f t="shared" si="0"/>
        <v>9.3734570553597935E-2</v>
      </c>
      <c r="R36" s="78">
        <f t="shared" si="1"/>
        <v>0.2206952152873646</v>
      </c>
      <c r="T36" s="78">
        <f t="shared" si="8"/>
        <v>0.84893342841096586</v>
      </c>
      <c r="U36" s="78">
        <f t="shared" si="8"/>
        <v>-0.76390408128290777</v>
      </c>
    </row>
    <row r="37" spans="1:21" x14ac:dyDescent="0.25">
      <c r="A37" s="80">
        <v>45716</v>
      </c>
      <c r="B37" s="81">
        <v>0.42858070889280209</v>
      </c>
      <c r="C37" s="81">
        <v>0.57141929110719802</v>
      </c>
      <c r="D37" s="82">
        <v>0.4</v>
      </c>
      <c r="E37" s="82">
        <v>0.6</v>
      </c>
      <c r="F37" s="78">
        <v>-1.0909653200753326</v>
      </c>
      <c r="G37" s="78">
        <v>2.1961583932583069</v>
      </c>
      <c r="H37" s="78">
        <f t="shared" si="2"/>
        <v>0.78736058197943581</v>
      </c>
      <c r="I37" s="78">
        <v>-1.3047625793248319</v>
      </c>
      <c r="J37" s="78">
        <v>0.97699999999999998</v>
      </c>
      <c r="K37" s="78">
        <f t="shared" si="3"/>
        <v>6.4294968270067199E-2</v>
      </c>
      <c r="L37" s="78">
        <f t="shared" si="7"/>
        <v>-3.9128635225303313E-2</v>
      </c>
      <c r="M37" s="78">
        <f t="shared" si="4"/>
        <v>-2.6085756816868779E-2</v>
      </c>
      <c r="N37" s="78">
        <f t="shared" si="5"/>
        <v>9.162938092848856E-2</v>
      </c>
      <c r="O37" s="78">
        <f t="shared" si="6"/>
        <v>0.69665062482305229</v>
      </c>
      <c r="P37" s="43"/>
      <c r="Q37" s="78">
        <f t="shared" si="0"/>
        <v>-6.5214392042172095E-2</v>
      </c>
      <c r="R37" s="78">
        <f t="shared" si="1"/>
        <v>0.78828000575154089</v>
      </c>
      <c r="T37" s="78">
        <f t="shared" si="8"/>
        <v>0.78371903636879381</v>
      </c>
      <c r="U37" s="78">
        <f t="shared" si="8"/>
        <v>2.4375924468633126E-2</v>
      </c>
    </row>
    <row r="38" spans="1:21" x14ac:dyDescent="0.25">
      <c r="A38" s="80">
        <v>45747</v>
      </c>
      <c r="B38" s="81">
        <v>0.40394788139933441</v>
      </c>
      <c r="C38" s="81">
        <v>0.59605211860066565</v>
      </c>
      <c r="D38" s="82">
        <v>0.4</v>
      </c>
      <c r="E38" s="82">
        <v>0.6</v>
      </c>
      <c r="F38" s="78">
        <v>-5.0586785403706305</v>
      </c>
      <c r="G38" s="78">
        <v>0.43705991680340878</v>
      </c>
      <c r="H38" s="78">
        <f t="shared" si="2"/>
        <v>-1.7829319896968909</v>
      </c>
      <c r="I38" s="78">
        <v>-5.6344297164042159</v>
      </c>
      <c r="J38" s="78">
        <v>0.52500000000000002</v>
      </c>
      <c r="K38" s="78">
        <f t="shared" si="3"/>
        <v>-1.9387718865616863</v>
      </c>
      <c r="L38" s="78">
        <f t="shared" si="7"/>
        <v>-1.4590018804739804E-2</v>
      </c>
      <c r="M38" s="78">
        <f t="shared" si="4"/>
        <v>-9.7266792031597306E-3</v>
      </c>
      <c r="N38" s="78">
        <f t="shared" si="5"/>
        <v>0.23257346777194204</v>
      </c>
      <c r="O38" s="78">
        <f t="shared" si="6"/>
        <v>-5.2416872899247006E-2</v>
      </c>
      <c r="P38" s="43"/>
      <c r="Q38" s="78">
        <f t="shared" si="0"/>
        <v>-2.4316698007899533E-2</v>
      </c>
      <c r="R38" s="78">
        <f t="shared" si="1"/>
        <v>0.18015659487269503</v>
      </c>
      <c r="T38" s="78">
        <f t="shared" si="8"/>
        <v>0.75940233836089432</v>
      </c>
      <c r="U38" s="78">
        <f t="shared" si="8"/>
        <v>0.20453251934132816</v>
      </c>
    </row>
    <row r="39" spans="1:21" x14ac:dyDescent="0.25">
      <c r="A39" s="80">
        <v>45777</v>
      </c>
      <c r="B39" s="81">
        <v>0.41758481988553398</v>
      </c>
      <c r="C39" s="81">
        <v>0.58241518011446591</v>
      </c>
      <c r="D39" s="82">
        <v>0.4</v>
      </c>
      <c r="E39" s="82">
        <v>0.6</v>
      </c>
      <c r="F39" s="78">
        <v>1.4926421962568269E-2</v>
      </c>
      <c r="G39" s="78">
        <v>0.89787779219674901</v>
      </c>
      <c r="H39" s="78">
        <f t="shared" si="2"/>
        <v>0.52917070328982307</v>
      </c>
      <c r="I39" s="78">
        <v>-0.67814381794483836</v>
      </c>
      <c r="J39" s="78">
        <v>0.98499999999999999</v>
      </c>
      <c r="K39" s="78">
        <f t="shared" si="3"/>
        <v>0.31974247282206464</v>
      </c>
      <c r="L39" s="78">
        <f t="shared" si="7"/>
        <v>-1.7547650689379555E-2</v>
      </c>
      <c r="M39" s="78">
        <f t="shared" si="4"/>
        <v>-1.1698433792919774E-2</v>
      </c>
      <c r="N39" s="78">
        <f t="shared" si="5"/>
        <v>0.28941561129975818</v>
      </c>
      <c r="O39" s="78">
        <f t="shared" si="6"/>
        <v>-5.0741296349700343E-2</v>
      </c>
      <c r="P39" s="43"/>
      <c r="Q39" s="78">
        <f t="shared" si="0"/>
        <v>-2.9246084482299331E-2</v>
      </c>
      <c r="R39" s="78">
        <f t="shared" si="1"/>
        <v>0.23867431495005784</v>
      </c>
      <c r="T39" s="78">
        <f t="shared" si="8"/>
        <v>0.73015625387859495</v>
      </c>
      <c r="U39" s="78">
        <f t="shared" si="8"/>
        <v>0.44320683429138596</v>
      </c>
    </row>
    <row r="40" spans="1:21" x14ac:dyDescent="0.25">
      <c r="A40" s="80">
        <v>45808</v>
      </c>
      <c r="B40" s="81">
        <v>0.4134901176120489</v>
      </c>
      <c r="C40" s="81">
        <v>0.5865098823879511</v>
      </c>
      <c r="D40" s="82">
        <v>0.4</v>
      </c>
      <c r="E40" s="82">
        <v>0.6</v>
      </c>
      <c r="F40" s="78">
        <v>5.7645414707587594</v>
      </c>
      <c r="G40" s="78">
        <v>-0.90039804262792622</v>
      </c>
      <c r="H40" s="78">
        <f t="shared" si="2"/>
        <v>1.8554885806395263</v>
      </c>
      <c r="I40" s="78">
        <v>6.2945214350472716</v>
      </c>
      <c r="J40" s="78">
        <v>-0.36399999999999999</v>
      </c>
      <c r="K40" s="78">
        <f t="shared" si="3"/>
        <v>2.299408574018909</v>
      </c>
      <c r="L40" s="78">
        <f t="shared" si="7"/>
        <v>5.38945423686817E-2</v>
      </c>
      <c r="M40" s="78">
        <f t="shared" si="4"/>
        <v>3.5929694912454471E-2</v>
      </c>
      <c r="N40" s="78">
        <f t="shared" si="5"/>
        <v>-0.21914147776568635</v>
      </c>
      <c r="O40" s="78">
        <f t="shared" si="6"/>
        <v>-0.31460275289483219</v>
      </c>
      <c r="P40" s="43"/>
      <c r="Q40" s="78">
        <f t="shared" si="0"/>
        <v>8.9824237281136171E-2</v>
      </c>
      <c r="R40" s="78">
        <f t="shared" si="1"/>
        <v>-0.53374423066051857</v>
      </c>
      <c r="T40" s="78">
        <f t="shared" si="8"/>
        <v>0.81998049115973115</v>
      </c>
      <c r="U40" s="78">
        <f t="shared" si="8"/>
        <v>-9.0537396369132606E-2</v>
      </c>
    </row>
    <row r="41" spans="1:21" x14ac:dyDescent="0.25">
      <c r="A41" s="80">
        <v>45838</v>
      </c>
      <c r="B41" s="81">
        <v>0.42246652017114178</v>
      </c>
      <c r="C41" s="81">
        <v>0.57753347982885828</v>
      </c>
      <c r="D41" s="82">
        <v>0.4</v>
      </c>
      <c r="E41" s="82">
        <v>0.6</v>
      </c>
      <c r="F41" s="78">
        <v>4.8340236958318616</v>
      </c>
      <c r="G41" s="78">
        <v>1.4220101653875963</v>
      </c>
      <c r="H41" s="78">
        <f t="shared" si="2"/>
        <v>2.8634716483712372</v>
      </c>
      <c r="I41" s="78">
        <v>5.0852432307747719</v>
      </c>
      <c r="J41" s="78">
        <v>0.74199999999999999</v>
      </c>
      <c r="K41" s="78">
        <f t="shared" si="3"/>
        <v>2.4792972923099086</v>
      </c>
      <c r="L41" s="78">
        <f t="shared" si="7"/>
        <v>5.8546536991425792E-2</v>
      </c>
      <c r="M41" s="78">
        <f t="shared" si="4"/>
        <v>3.9031024660950424E-2</v>
      </c>
      <c r="N41" s="78">
        <f t="shared" si="5"/>
        <v>-0.10613184272634386</v>
      </c>
      <c r="O41" s="78">
        <f t="shared" si="6"/>
        <v>0.39272863713529593</v>
      </c>
      <c r="P41" s="43"/>
      <c r="Q41" s="78">
        <f t="shared" si="0"/>
        <v>9.7577561652376216E-2</v>
      </c>
      <c r="R41" s="78">
        <f t="shared" si="1"/>
        <v>0.28659679440895208</v>
      </c>
      <c r="T41" s="78">
        <f t="shared" si="8"/>
        <v>0.91755805281210734</v>
      </c>
      <c r="U41" s="78">
        <f t="shared" si="8"/>
        <v>0.19605939803981948</v>
      </c>
    </row>
    <row r="42" spans="1:21" x14ac:dyDescent="0.25">
      <c r="A42" s="80">
        <v>45869</v>
      </c>
      <c r="B42" s="81">
        <v>0.43037422538423492</v>
      </c>
      <c r="C42" s="81">
        <v>0.56962577461576502</v>
      </c>
      <c r="D42" s="82">
        <v>0.4</v>
      </c>
      <c r="E42" s="82">
        <v>0.6</v>
      </c>
      <c r="F42" s="78">
        <v>2.1997494225656755</v>
      </c>
      <c r="G42" s="78">
        <v>-0.38280001941938113</v>
      </c>
      <c r="H42" s="78">
        <f t="shared" si="2"/>
        <v>0.72866269619142576</v>
      </c>
      <c r="I42" s="78">
        <v>2.2442682737402015</v>
      </c>
      <c r="J42" s="78">
        <v>-0.14599999999999999</v>
      </c>
      <c r="K42" s="78">
        <f t="shared" si="3"/>
        <v>0.81010730949608067</v>
      </c>
      <c r="L42" s="78">
        <f t="shared" si="7"/>
        <v>4.3561528365222577E-2</v>
      </c>
      <c r="M42" s="78">
        <f t="shared" si="4"/>
        <v>2.9041018910148441E-2</v>
      </c>
      <c r="N42" s="78">
        <f t="shared" si="5"/>
        <v>-1.9159766089232678E-2</v>
      </c>
      <c r="O42" s="78">
        <f t="shared" si="6"/>
        <v>-0.13488739449079318</v>
      </c>
      <c r="P42" s="43"/>
      <c r="Q42" s="78">
        <f t="shared" si="0"/>
        <v>7.2602547275371021E-2</v>
      </c>
      <c r="R42" s="78">
        <f t="shared" si="1"/>
        <v>-0.15404716058002585</v>
      </c>
      <c r="T42" s="78">
        <f t="shared" si="8"/>
        <v>0.9901606000874783</v>
      </c>
      <c r="U42" s="78">
        <f t="shared" si="8"/>
        <v>4.2012237459793628E-2</v>
      </c>
    </row>
    <row r="43" spans="1:21" x14ac:dyDescent="0.25">
      <c r="A43" s="80">
        <v>45900</v>
      </c>
      <c r="B43" s="81">
        <v>0.43142284719837498</v>
      </c>
      <c r="C43" s="81">
        <v>0.56857715280162513</v>
      </c>
      <c r="D43" s="82">
        <v>0.4</v>
      </c>
      <c r="E43" s="82">
        <v>0.6</v>
      </c>
      <c r="F43" s="78">
        <v>2.071635518941223</v>
      </c>
      <c r="G43" s="78">
        <v>1.1463254097485749</v>
      </c>
      <c r="H43" s="78">
        <f t="shared" si="2"/>
        <v>1.5455253315979065</v>
      </c>
      <c r="I43" s="78">
        <v>2.0271802779652108</v>
      </c>
      <c r="J43" s="78">
        <v>1.05</v>
      </c>
      <c r="K43" s="78">
        <f t="shared" si="3"/>
        <v>1.4408721111860845</v>
      </c>
      <c r="L43" s="78">
        <f t="shared" si="7"/>
        <v>1.8423471935859827E-2</v>
      </c>
      <c r="M43" s="78">
        <f t="shared" si="4"/>
        <v>1.2282314623906516E-2</v>
      </c>
      <c r="N43" s="78">
        <f t="shared" si="5"/>
        <v>1.9179006634761034E-2</v>
      </c>
      <c r="O43" s="78">
        <f t="shared" si="6"/>
        <v>5.4768427217294587E-2</v>
      </c>
      <c r="P43" s="43"/>
      <c r="Q43" s="78">
        <f t="shared" si="0"/>
        <v>3.0705786559766343E-2</v>
      </c>
      <c r="R43" s="78">
        <f t="shared" si="1"/>
        <v>7.3947433852055627E-2</v>
      </c>
      <c r="T43" s="78">
        <f t="shared" si="8"/>
        <v>1.0208663866472447</v>
      </c>
      <c r="U43" s="78">
        <f t="shared" si="8"/>
        <v>0.11595967131184926</v>
      </c>
    </row>
    <row r="44" spans="1:21" x14ac:dyDescent="0.25">
      <c r="A44" s="80">
        <v>45930</v>
      </c>
      <c r="B44" s="81">
        <v>0.42382362746235236</v>
      </c>
      <c r="C44" s="81">
        <v>0.57617637253764764</v>
      </c>
      <c r="D44" s="82">
        <v>0.4</v>
      </c>
      <c r="E44" s="82">
        <v>0.6</v>
      </c>
      <c r="F44" s="78">
        <v>3.389203146255622</v>
      </c>
      <c r="G44" s="78">
        <v>0.9191280878354281</v>
      </c>
      <c r="H44" s="78">
        <f t="shared" si="2"/>
        <v>1.9660042591993565</v>
      </c>
      <c r="I44" s="78">
        <v>3.6499942676103134</v>
      </c>
      <c r="J44" s="78">
        <v>0.23400000000000001</v>
      </c>
      <c r="K44" s="78">
        <f t="shared" si="3"/>
        <v>1.6003977070441255</v>
      </c>
      <c r="L44" s="78">
        <f t="shared" si="7"/>
        <v>4.8828824907047527E-2</v>
      </c>
      <c r="M44" s="78">
        <f t="shared" si="4"/>
        <v>3.2552549938031694E-2</v>
      </c>
      <c r="N44" s="78">
        <f t="shared" si="5"/>
        <v>-0.11052943906251986</v>
      </c>
      <c r="O44" s="78">
        <f t="shared" si="6"/>
        <v>0.39475461637267178</v>
      </c>
      <c r="P44" s="43"/>
      <c r="Q44" s="78">
        <f t="shared" si="0"/>
        <v>8.1381374845079221E-2</v>
      </c>
      <c r="R44" s="78">
        <f t="shared" si="1"/>
        <v>0.28422517731015196</v>
      </c>
      <c r="T44" s="78">
        <f t="shared" si="8"/>
        <v>1.1022477614923238</v>
      </c>
      <c r="U44" s="78">
        <f t="shared" si="8"/>
        <v>0.40018484862200121</v>
      </c>
    </row>
    <row r="45" spans="1:21" x14ac:dyDescent="0.25">
      <c r="A45" s="80">
        <v>45961</v>
      </c>
      <c r="B45" s="81">
        <v>0.42743820970427959</v>
      </c>
      <c r="C45" s="81">
        <v>0.57256179029572052</v>
      </c>
      <c r="D45" s="82">
        <v>0.4</v>
      </c>
      <c r="E45" s="82">
        <v>0.6</v>
      </c>
      <c r="F45" s="78">
        <v>2.0024378698981971</v>
      </c>
      <c r="G45" s="78">
        <v>0.77932166954551163</v>
      </c>
      <c r="H45" s="78">
        <f t="shared" si="2"/>
        <v>1.3021282684845645</v>
      </c>
      <c r="I45" s="78">
        <v>2.3413683330185981</v>
      </c>
      <c r="J45" s="78">
        <v>0.374</v>
      </c>
      <c r="K45" s="78">
        <f t="shared" si="3"/>
        <v>1.1609473332074394</v>
      </c>
      <c r="L45" s="78">
        <f t="shared" si="7"/>
        <v>3.2388638932153928E-2</v>
      </c>
      <c r="M45" s="78">
        <f t="shared" si="4"/>
        <v>2.1592425954769203E-2</v>
      </c>
      <c r="N45" s="78">
        <f t="shared" si="5"/>
        <v>-0.14487183037042661</v>
      </c>
      <c r="O45" s="78">
        <f t="shared" si="6"/>
        <v>0.23207170076062855</v>
      </c>
      <c r="P45" s="43"/>
      <c r="Q45" s="78">
        <f t="shared" si="0"/>
        <v>5.3981064886923127E-2</v>
      </c>
      <c r="R45" s="78">
        <f t="shared" si="1"/>
        <v>8.7199870390201939E-2</v>
      </c>
      <c r="T45" s="78">
        <f t="shared" si="8"/>
        <v>1.1562288263792471</v>
      </c>
      <c r="U45" s="78">
        <f t="shared" si="8"/>
        <v>0.48738471901220315</v>
      </c>
    </row>
    <row r="46" spans="1:21" x14ac:dyDescent="0.25">
      <c r="A46" s="80">
        <v>45991</v>
      </c>
      <c r="B46" s="81">
        <v>0.42838248609659824</v>
      </c>
      <c r="C46" s="81">
        <v>0.57161751390340176</v>
      </c>
      <c r="D46" s="82">
        <v>0.4</v>
      </c>
      <c r="E46" s="82">
        <v>0.6</v>
      </c>
      <c r="F46" s="78">
        <v>0.58760961193042083</v>
      </c>
      <c r="G46" s="78">
        <v>0.59183005575983061</v>
      </c>
      <c r="H46" s="78">
        <f t="shared" si="2"/>
        <v>0.59002209153975693</v>
      </c>
      <c r="I46" s="78">
        <v>0.24509109361767167</v>
      </c>
      <c r="J46" s="78">
        <v>0.54400000000000004</v>
      </c>
      <c r="K46" s="78">
        <f t="shared" si="3"/>
        <v>0.42443643744706872</v>
      </c>
      <c r="L46" s="78">
        <f t="shared" si="7"/>
        <v>-5.0902667277274881E-3</v>
      </c>
      <c r="M46" s="78">
        <f t="shared" si="4"/>
        <v>-3.3935111518183241E-3</v>
      </c>
      <c r="N46" s="78">
        <f t="shared" si="5"/>
        <v>0.14672893440893869</v>
      </c>
      <c r="O46" s="78">
        <f t="shared" si="6"/>
        <v>2.7340497563295433E-2</v>
      </c>
      <c r="P46" s="43"/>
      <c r="Q46" s="78">
        <f t="shared" si="0"/>
        <v>-8.4837778795458126E-3</v>
      </c>
      <c r="R46" s="78">
        <f t="shared" si="1"/>
        <v>0.17406943197223412</v>
      </c>
      <c r="T46" s="78">
        <f t="shared" si="8"/>
        <v>1.1477450484997012</v>
      </c>
      <c r="U46" s="78">
        <f t="shared" si="8"/>
        <v>0.66145415098443727</v>
      </c>
    </row>
    <row r="47" spans="1:21" x14ac:dyDescent="0.25">
      <c r="A47" s="80">
        <v>46022</v>
      </c>
      <c r="B47" s="81">
        <v>0.42830937686914633</v>
      </c>
      <c r="C47" s="81">
        <v>0.57169062313085373</v>
      </c>
      <c r="D47" s="82">
        <v>0.4</v>
      </c>
      <c r="E47" s="82">
        <v>0.6</v>
      </c>
      <c r="F47" s="78">
        <v>-1.5597808426850426E-2</v>
      </c>
      <c r="G47" s="78">
        <v>-0.46967785834991704</v>
      </c>
      <c r="H47" s="78">
        <f t="shared" si="2"/>
        <v>-0.27519111511865757</v>
      </c>
      <c r="I47" s="78">
        <v>6.1205143072782915E-2</v>
      </c>
      <c r="J47" s="78">
        <v>0.193</v>
      </c>
      <c r="K47" s="78">
        <f t="shared" si="3"/>
        <v>0.14028205722911316</v>
      </c>
      <c r="L47" s="78">
        <f t="shared" si="7"/>
        <v>-2.2386181645006839E-3</v>
      </c>
      <c r="M47" s="78">
        <f t="shared" si="4"/>
        <v>-1.4924121096671198E-3</v>
      </c>
      <c r="N47" s="78">
        <f t="shared" si="5"/>
        <v>-3.2895424298519223E-2</v>
      </c>
      <c r="O47" s="78">
        <f t="shared" si="6"/>
        <v>-0.37884671777508372</v>
      </c>
      <c r="P47" s="43"/>
      <c r="Q47" s="78">
        <f t="shared" si="0"/>
        <v>-3.7310302741678037E-3</v>
      </c>
      <c r="R47" s="78">
        <f t="shared" si="1"/>
        <v>-0.41174214207360293</v>
      </c>
      <c r="T47" s="78">
        <f t="shared" si="8"/>
        <v>1.1440140182255334</v>
      </c>
      <c r="U47" s="78">
        <f t="shared" si="8"/>
        <v>0.24971200891083434</v>
      </c>
    </row>
    <row r="48" spans="1:21" x14ac:dyDescent="0.25">
      <c r="A48" s="80">
        <v>46053</v>
      </c>
      <c r="B48" s="81">
        <v>0.4294322706795819</v>
      </c>
      <c r="C48" s="81">
        <v>0.5705677293204181</v>
      </c>
      <c r="D48" s="82">
        <v>0.4</v>
      </c>
      <c r="E48" s="82">
        <v>0.6</v>
      </c>
      <c r="F48" s="78">
        <v>1.2452606938807929</v>
      </c>
      <c r="G48" s="78">
        <v>0.14119899872153696</v>
      </c>
      <c r="H48" s="78">
        <f t="shared" si="2"/>
        <v>0.61531871944412464</v>
      </c>
      <c r="I48" s="78">
        <v>1.4500228311252221</v>
      </c>
      <c r="J48" s="78">
        <v>0.16200000000000001</v>
      </c>
      <c r="K48" s="78">
        <f t="shared" si="3"/>
        <v>0.67720913245008885</v>
      </c>
      <c r="L48" s="78">
        <f t="shared" si="7"/>
        <v>2.2745661964295345E-2</v>
      </c>
      <c r="M48" s="78">
        <f t="shared" si="4"/>
        <v>1.5163774642863562E-2</v>
      </c>
      <c r="N48" s="78">
        <f t="shared" si="5"/>
        <v>-8.7931469546079444E-2</v>
      </c>
      <c r="O48" s="78">
        <f t="shared" si="6"/>
        <v>-1.1868380067043773E-2</v>
      </c>
      <c r="P48" s="43"/>
      <c r="Q48" s="78">
        <f t="shared" si="0"/>
        <v>3.7909436607158911E-2</v>
      </c>
      <c r="R48" s="78">
        <f t="shared" si="1"/>
        <v>-9.9799849613123215E-2</v>
      </c>
      <c r="T48" s="78">
        <f t="shared" si="8"/>
        <v>1.1819234548326922</v>
      </c>
      <c r="U48" s="78">
        <f t="shared" si="8"/>
        <v>0.14991215929771112</v>
      </c>
    </row>
    <row r="49" spans="1:21" x14ac:dyDescent="0.25">
      <c r="A49" s="80">
        <v>46081</v>
      </c>
      <c r="B49" s="81">
        <v>0.42270897710404604</v>
      </c>
      <c r="C49" s="81">
        <v>0.5772910228959538</v>
      </c>
      <c r="D49" s="82">
        <v>0.4</v>
      </c>
      <c r="E49" s="82">
        <v>0.6</v>
      </c>
      <c r="F49" s="78">
        <v>-0.47617535427817348</v>
      </c>
      <c r="G49" s="78">
        <v>1.995799671479894</v>
      </c>
      <c r="H49" s="78">
        <f t="shared" si="2"/>
        <v>0.95087363691495308</v>
      </c>
      <c r="I49" s="78">
        <v>-0.75998225520767793</v>
      </c>
      <c r="J49" s="78">
        <v>0.79</v>
      </c>
      <c r="K49" s="78">
        <f t="shared" si="3"/>
        <v>0.17000709791692881</v>
      </c>
      <c r="L49" s="78">
        <f t="shared" si="7"/>
        <v>-2.1119106927113256E-2</v>
      </c>
      <c r="M49" s="78">
        <f t="shared" si="4"/>
        <v>-1.407940461807561E-2</v>
      </c>
      <c r="N49" s="78">
        <f t="shared" si="5"/>
        <v>0.11996772478698016</v>
      </c>
      <c r="O49" s="78">
        <f t="shared" si="6"/>
        <v>0.69609732575623307</v>
      </c>
      <c r="P49" s="43"/>
      <c r="Q49" s="78">
        <f t="shared" si="0"/>
        <v>-3.5198511545188868E-2</v>
      </c>
      <c r="R49" s="78">
        <f t="shared" si="1"/>
        <v>0.81606505054321321</v>
      </c>
      <c r="T49" s="78">
        <f t="shared" si="8"/>
        <v>1.1467249432875033</v>
      </c>
      <c r="U49" s="78">
        <f t="shared" si="8"/>
        <v>0.96597720984092428</v>
      </c>
    </row>
    <row r="50" spans="1:21" x14ac:dyDescent="0.25">
      <c r="A50" s="80">
        <v>46112</v>
      </c>
      <c r="B50" s="81">
        <v>0.40518113141366585</v>
      </c>
      <c r="C50" s="81">
        <v>0.59481886858633415</v>
      </c>
      <c r="D50" s="82">
        <v>0.4</v>
      </c>
      <c r="E50" s="82">
        <v>0.6</v>
      </c>
      <c r="F50" s="78">
        <v>-5.0895805139985377</v>
      </c>
      <c r="G50" s="78">
        <v>-1.9681597301699698</v>
      </c>
      <c r="H50" s="78">
        <f t="shared" si="2"/>
        <v>-3.2329005349797608</v>
      </c>
      <c r="I50" s="78">
        <v>-4.9795089990733326</v>
      </c>
      <c r="J50" s="78">
        <v>-0.752</v>
      </c>
      <c r="K50" s="78">
        <f t="shared" si="3"/>
        <v>-2.4430035996293329</v>
      </c>
      <c r="L50" s="78">
        <f t="shared" si="7"/>
        <v>-1.31419678059923E-2</v>
      </c>
      <c r="M50" s="78">
        <f t="shared" si="4"/>
        <v>-8.7613118706615315E-3</v>
      </c>
      <c r="N50" s="78">
        <f t="shared" si="5"/>
        <v>-4.459890095381084E-2</v>
      </c>
      <c r="O50" s="78">
        <f t="shared" si="6"/>
        <v>-0.72339475471996284</v>
      </c>
      <c r="P50" s="43"/>
      <c r="Q50" s="78">
        <f t="shared" si="0"/>
        <v>-2.1903279676653831E-2</v>
      </c>
      <c r="R50" s="78">
        <f t="shared" si="1"/>
        <v>-0.76799365567377365</v>
      </c>
      <c r="T50" s="78">
        <f t="shared" si="8"/>
        <v>1.1248216636108495</v>
      </c>
      <c r="U50" s="78">
        <f t="shared" si="8"/>
        <v>0.19798355416715063</v>
      </c>
    </row>
    <row r="51" spans="1:21" x14ac:dyDescent="0.25">
      <c r="A51" s="80">
        <v>46142</v>
      </c>
      <c r="B51" s="81">
        <v>0.4065185123128166</v>
      </c>
      <c r="C51" s="81">
        <v>0.59348148768718345</v>
      </c>
      <c r="D51" s="82">
        <v>0.4</v>
      </c>
      <c r="E51" s="82">
        <v>0.6</v>
      </c>
      <c r="F51" s="78">
        <v>9.5612069019322821</v>
      </c>
      <c r="G51" s="78">
        <v>0.15604670434342471</v>
      </c>
      <c r="H51" s="78">
        <f t="shared" si="2"/>
        <v>3.9794184359309632</v>
      </c>
      <c r="I51" s="78">
        <v>10.492660062153389</v>
      </c>
      <c r="J51" s="78">
        <v>0.14599999999999999</v>
      </c>
      <c r="K51" s="78">
        <f t="shared" si="3"/>
        <v>4.2846640248613559</v>
      </c>
      <c r="L51" s="78">
        <f t="shared" si="7"/>
        <v>4.046689860700467E-2</v>
      </c>
      <c r="M51" s="78">
        <f t="shared" si="4"/>
        <v>2.6977932404669554E-2</v>
      </c>
      <c r="N51" s="78">
        <f t="shared" si="5"/>
        <v>-0.37865295298215601</v>
      </c>
      <c r="O51" s="78">
        <f t="shared" si="6"/>
        <v>5.9625330400889919E-3</v>
      </c>
      <c r="P51" s="43"/>
      <c r="Q51" s="78">
        <f t="shared" si="0"/>
        <v>6.7444831011674228E-2</v>
      </c>
      <c r="R51" s="78">
        <f t="shared" si="1"/>
        <v>-0.37269041994206703</v>
      </c>
      <c r="T51" s="78">
        <f t="shared" si="8"/>
        <v>1.1922664946225237</v>
      </c>
      <c r="U51" s="78">
        <f t="shared" si="8"/>
        <v>-0.1747068657749164</v>
      </c>
    </row>
    <row r="52" spans="1:21" x14ac:dyDescent="0.25">
      <c r="A52" s="80">
        <v>46173</v>
      </c>
      <c r="B52" s="81">
        <v>0.43365998056563204</v>
      </c>
      <c r="C52" s="81">
        <v>0.56634001943436796</v>
      </c>
      <c r="D52" s="82">
        <v>0.4</v>
      </c>
      <c r="E52" s="82">
        <v>0.6</v>
      </c>
      <c r="F52" s="78">
        <v>4.6771170924223764</v>
      </c>
      <c r="G52" s="78">
        <v>5.8662137457483353E-2</v>
      </c>
      <c r="H52" s="78">
        <f t="shared" si="2"/>
        <v>2.0615012234708057</v>
      </c>
      <c r="I52" s="78">
        <v>5.2633051062369729</v>
      </c>
      <c r="J52" s="78">
        <v>3.3000000000000002E-2</v>
      </c>
      <c r="K52" s="78">
        <f t="shared" si="3"/>
        <v>2.1251220424947892</v>
      </c>
      <c r="L52" s="78">
        <f t="shared" si="7"/>
        <v>0.10563118093695745</v>
      </c>
      <c r="M52" s="78">
        <f t="shared" si="4"/>
        <v>7.0420787291304979E-2</v>
      </c>
      <c r="N52" s="78">
        <f t="shared" si="5"/>
        <v>-0.25420628267864437</v>
      </c>
      <c r="O52" s="78">
        <f t="shared" si="6"/>
        <v>1.4533495426398544E-2</v>
      </c>
      <c r="P52" s="43"/>
      <c r="Q52" s="78">
        <f t="shared" si="0"/>
        <v>0.17605196822826241</v>
      </c>
      <c r="R52" s="78">
        <f t="shared" si="1"/>
        <v>-0.23967278725224583</v>
      </c>
      <c r="T52" s="78">
        <f t="shared" si="8"/>
        <v>1.3683184628507861</v>
      </c>
      <c r="U52" s="78">
        <f t="shared" si="8"/>
        <v>-0.41437965302716223</v>
      </c>
    </row>
    <row r="53" spans="1:21" x14ac:dyDescent="0.25">
      <c r="A53" s="80">
        <v>46203</v>
      </c>
      <c r="B53" s="81">
        <v>0.43873230105702749</v>
      </c>
      <c r="C53" s="81">
        <v>0.56126769894297268</v>
      </c>
      <c r="D53" s="82">
        <v>0.4</v>
      </c>
      <c r="E53" s="82">
        <v>0.6</v>
      </c>
      <c r="F53" s="78">
        <v>-0.71407374915720434</v>
      </c>
      <c r="G53" s="78">
        <v>0.11357440796696194</v>
      </c>
      <c r="H53" s="78">
        <f t="shared" si="2"/>
        <v>-0.24954157247373174</v>
      </c>
      <c r="I53" s="78">
        <v>-0.95232752792235675</v>
      </c>
      <c r="J53" s="78">
        <v>5.5E-2</v>
      </c>
      <c r="K53" s="78">
        <f t="shared" si="3"/>
        <v>-0.34793101116894276</v>
      </c>
      <c r="L53" s="78">
        <f t="shared" si="7"/>
        <v>-2.3409667844711973E-2</v>
      </c>
      <c r="M53" s="78">
        <f t="shared" si="4"/>
        <v>-1.5606445229807919E-2</v>
      </c>
      <c r="N53" s="78">
        <f t="shared" si="5"/>
        <v>0.10452962859316726</v>
      </c>
      <c r="O53" s="78">
        <f t="shared" si="6"/>
        <v>3.2875923176563654E-2</v>
      </c>
      <c r="P53" s="43"/>
      <c r="Q53" s="78">
        <f t="shared" si="0"/>
        <v>-3.9016113074519895E-2</v>
      </c>
      <c r="R53" s="78">
        <f t="shared" si="1"/>
        <v>0.1374055517697309</v>
      </c>
      <c r="T53" s="78">
        <f t="shared" si="8"/>
        <v>1.3293023497762662</v>
      </c>
      <c r="U53" s="78">
        <f t="shared" si="8"/>
        <v>-0.27697410125743133</v>
      </c>
    </row>
    <row r="54" spans="1:21" x14ac:dyDescent="0.25">
      <c r="A54" s="80">
        <v>46234</v>
      </c>
      <c r="B54" s="81">
        <v>0.43733193724599412</v>
      </c>
      <c r="C54" s="81">
        <v>0.56266806275400583</v>
      </c>
      <c r="D54" s="82">
        <v>0.4</v>
      </c>
      <c r="E54" s="82">
        <v>0.6</v>
      </c>
      <c r="F54" s="78">
        <v>8.4198750702831185E-2</v>
      </c>
      <c r="G54" s="78">
        <v>-1.0757067830616296</v>
      </c>
      <c r="H54" s="78">
        <f t="shared" si="2"/>
        <v>-0.56844304895806907</v>
      </c>
      <c r="I54" s="78">
        <v>-6.3490852249939667E-2</v>
      </c>
      <c r="J54" s="78">
        <v>-4.2000000000000003E-2</v>
      </c>
      <c r="K54" s="78">
        <f t="shared" si="3"/>
        <v>-5.0596340899975868E-2</v>
      </c>
      <c r="L54" s="78">
        <f t="shared" si="7"/>
        <v>-4.8137708853460712E-4</v>
      </c>
      <c r="M54" s="78">
        <f t="shared" si="4"/>
        <v>-3.2091805902307192E-4</v>
      </c>
      <c r="N54" s="78">
        <f t="shared" si="5"/>
        <v>6.4589380170426966E-2</v>
      </c>
      <c r="O54" s="78">
        <f t="shared" si="6"/>
        <v>-0.58163379308096241</v>
      </c>
      <c r="P54" s="43"/>
      <c r="Q54" s="78">
        <f t="shared" si="0"/>
        <v>-8.0229514755767904E-4</v>
      </c>
      <c r="R54" s="78">
        <f t="shared" si="1"/>
        <v>-0.51704441291053549</v>
      </c>
      <c r="T54" s="78">
        <f t="shared" si="8"/>
        <v>1.3285000546287085</v>
      </c>
      <c r="U54" s="78">
        <f t="shared" si="8"/>
        <v>-0.79401851416796676</v>
      </c>
    </row>
    <row r="55" spans="1:21" x14ac:dyDescent="0.25">
      <c r="A55" s="80">
        <v>46265</v>
      </c>
      <c r="B55" s="81">
        <v>0.44195220869791951</v>
      </c>
      <c r="C55" s="81">
        <v>0.55804779130208049</v>
      </c>
      <c r="D55" s="82">
        <v>0.4</v>
      </c>
      <c r="E55" s="82">
        <v>0.6</v>
      </c>
      <c r="F55" s="78">
        <v>2.6077410200902436</v>
      </c>
      <c r="G55" s="78">
        <v>0.38513534811856476</v>
      </c>
      <c r="H55" s="78">
        <f t="shared" si="2"/>
        <v>1.3674208339109717</v>
      </c>
      <c r="I55" s="78">
        <v>2.7233106370895706</v>
      </c>
      <c r="J55" s="78">
        <v>0.19700000000000001</v>
      </c>
      <c r="K55" s="78">
        <f t="shared" si="3"/>
        <v>1.2075242548358283</v>
      </c>
      <c r="L55" s="78">
        <f t="shared" si="7"/>
        <v>6.3590586649773365E-2</v>
      </c>
      <c r="M55" s="78">
        <f t="shared" si="4"/>
        <v>4.2393724433182241E-2</v>
      </c>
      <c r="N55" s="78">
        <f t="shared" si="5"/>
        <v>-5.1076247491225191E-2</v>
      </c>
      <c r="O55" s="78">
        <f t="shared" si="6"/>
        <v>0.10498851548341308</v>
      </c>
      <c r="P55" s="43"/>
      <c r="Q55" s="78">
        <f t="shared" si="0"/>
        <v>0.10598431108295561</v>
      </c>
      <c r="R55" s="78">
        <f t="shared" si="1"/>
        <v>5.3912267992187887E-2</v>
      </c>
      <c r="T55" s="78">
        <f t="shared" si="8"/>
        <v>1.4344843657116642</v>
      </c>
      <c r="U55" s="78">
        <f t="shared" si="8"/>
        <v>-0.74010624617577891</v>
      </c>
    </row>
    <row r="56" spans="1:21" x14ac:dyDescent="0.25">
      <c r="A56" s="48"/>
    </row>
    <row r="57" spans="1:21" x14ac:dyDescent="0.25">
      <c r="A57" s="48"/>
    </row>
  </sheetData>
  <mergeCells count="11">
    <mergeCell ref="F17:K17"/>
    <mergeCell ref="B17:E17"/>
    <mergeCell ref="L17:O17"/>
    <mergeCell ref="Q17:R18"/>
    <mergeCell ref="T17:U18"/>
    <mergeCell ref="L18:M18"/>
    <mergeCell ref="N18:O18"/>
    <mergeCell ref="B18:C18"/>
    <mergeCell ref="D18:E18"/>
    <mergeCell ref="F18:H18"/>
    <mergeCell ref="I18:K1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A75BE-001C-492F-AD5C-74C22639FBB9}">
  <sheetPr codeName="Sheet6"/>
  <dimension ref="A1:F34"/>
  <sheetViews>
    <sheetView workbookViewId="0">
      <selection activeCell="B3" sqref="B3:C34"/>
    </sheetView>
  </sheetViews>
  <sheetFormatPr defaultRowHeight="12.5" x14ac:dyDescent="0.25"/>
  <cols>
    <col min="1" max="1" width="20.6328125" bestFit="1" customWidth="1"/>
    <col min="2" max="3" width="12.6328125" customWidth="1"/>
  </cols>
  <sheetData>
    <row r="1" spans="1:6" ht="54" x14ac:dyDescent="0.4">
      <c r="A1" s="55"/>
      <c r="B1" s="61" t="s">
        <v>70</v>
      </c>
      <c r="C1" s="61" t="s">
        <v>71</v>
      </c>
    </row>
    <row r="2" spans="1:6" x14ac:dyDescent="0.25">
      <c r="A2" s="54"/>
    </row>
    <row r="3" spans="1:6" x14ac:dyDescent="0.25">
      <c r="A3" t="s">
        <v>106</v>
      </c>
      <c r="B3" s="38">
        <v>0.125</v>
      </c>
      <c r="C3" s="38">
        <v>0.70250000000000001</v>
      </c>
    </row>
    <row r="4" spans="1:6" ht="14.5" x14ac:dyDescent="0.25">
      <c r="A4" t="s">
        <v>107</v>
      </c>
      <c r="B4" s="38">
        <v>0.11999999999999994</v>
      </c>
      <c r="C4" s="38">
        <v>0.71399999999999997</v>
      </c>
      <c r="F4" s="65" t="s">
        <v>77</v>
      </c>
    </row>
    <row r="5" spans="1:6" ht="14.5" x14ac:dyDescent="0.25">
      <c r="A5" t="s">
        <v>108</v>
      </c>
      <c r="B5" s="38">
        <v>0.11333333333333334</v>
      </c>
      <c r="C5" s="38">
        <v>0.72383333333333333</v>
      </c>
      <c r="F5" s="65" t="s">
        <v>78</v>
      </c>
    </row>
    <row r="6" spans="1:6" x14ac:dyDescent="0.25">
      <c r="A6" t="s">
        <v>103</v>
      </c>
      <c r="B6" s="38">
        <v>7.5833333333333308E-2</v>
      </c>
      <c r="C6" s="38">
        <v>0.77983333333333338</v>
      </c>
    </row>
    <row r="7" spans="1:6" x14ac:dyDescent="0.25">
      <c r="A7" t="s">
        <v>109</v>
      </c>
      <c r="B7" s="38">
        <v>5.9166666666666645E-2</v>
      </c>
      <c r="C7" s="38">
        <v>0.80166666666666675</v>
      </c>
    </row>
    <row r="8" spans="1:6" x14ac:dyDescent="0.25">
      <c r="A8" t="s">
        <v>110</v>
      </c>
      <c r="B8" s="38">
        <v>2.8333333333333321E-2</v>
      </c>
      <c r="C8" s="38">
        <v>0.84783333333333333</v>
      </c>
    </row>
    <row r="9" spans="1:6" x14ac:dyDescent="0.25">
      <c r="A9" t="s">
        <v>111</v>
      </c>
      <c r="B9" s="38">
        <v>8.3333333333329707E-4</v>
      </c>
      <c r="C9" s="38">
        <v>0.88633333333333331</v>
      </c>
    </row>
    <row r="10" spans="1:6" x14ac:dyDescent="0.25">
      <c r="A10" t="s">
        <v>112</v>
      </c>
      <c r="B10" s="38">
        <v>-9.9999999999999534E-3</v>
      </c>
      <c r="C10" s="38">
        <v>0.89749999999999996</v>
      </c>
    </row>
    <row r="11" spans="1:6" x14ac:dyDescent="0.25">
      <c r="A11" t="s">
        <v>96</v>
      </c>
      <c r="B11" s="38">
        <v>-8.3333333333333592E-3</v>
      </c>
      <c r="C11" s="38">
        <v>0.89916666666666656</v>
      </c>
    </row>
    <row r="12" spans="1:6" x14ac:dyDescent="0.25">
      <c r="A12" t="s">
        <v>113</v>
      </c>
      <c r="B12" s="38">
        <v>-4.9999999999999989E-2</v>
      </c>
      <c r="C12" s="38">
        <v>0.95100000000000007</v>
      </c>
    </row>
    <row r="13" spans="1:6" x14ac:dyDescent="0.25">
      <c r="A13" t="s">
        <v>114</v>
      </c>
      <c r="B13" s="38">
        <v>-6.083333333333335E-2</v>
      </c>
      <c r="C13" s="38">
        <v>0.96766666666666667</v>
      </c>
    </row>
    <row r="14" spans="1:6" x14ac:dyDescent="0.25">
      <c r="A14" t="s">
        <v>102</v>
      </c>
      <c r="B14" s="38">
        <v>-0.18166666666666664</v>
      </c>
      <c r="C14" s="38">
        <v>1.1273333333333333</v>
      </c>
    </row>
    <row r="15" spans="1:6" x14ac:dyDescent="0.25">
      <c r="A15" t="s">
        <v>95</v>
      </c>
      <c r="B15" s="38">
        <v>-0.19249999999999995</v>
      </c>
      <c r="C15" s="38">
        <v>1.1385000000000001</v>
      </c>
    </row>
    <row r="16" spans="1:6" x14ac:dyDescent="0.25">
      <c r="A16" t="s">
        <v>104</v>
      </c>
      <c r="B16" s="38">
        <v>-0.22833333333333333</v>
      </c>
      <c r="C16" s="38">
        <v>1.1851666666666665</v>
      </c>
    </row>
    <row r="17" spans="1:3" x14ac:dyDescent="0.25">
      <c r="A17" t="s">
        <v>105</v>
      </c>
      <c r="B17" s="38">
        <v>0.25283333333333335</v>
      </c>
      <c r="C17" s="38">
        <v>0.4953333333333334</v>
      </c>
    </row>
    <row r="18" spans="1:3" x14ac:dyDescent="0.25">
      <c r="A18" t="s">
        <v>115</v>
      </c>
      <c r="B18" s="38">
        <v>0.26416666666666666</v>
      </c>
      <c r="C18" s="38">
        <v>0.57666666666666666</v>
      </c>
    </row>
    <row r="19" spans="1:3" x14ac:dyDescent="0.25">
      <c r="A19" t="s">
        <v>89</v>
      </c>
      <c r="B19" s="38">
        <v>0.20749999999999996</v>
      </c>
      <c r="C19" s="38">
        <v>0.63249999999999995</v>
      </c>
    </row>
    <row r="20" spans="1:3" x14ac:dyDescent="0.25">
      <c r="A20" t="s">
        <v>116</v>
      </c>
      <c r="B20" s="38">
        <v>0.15500000000000008</v>
      </c>
      <c r="C20" s="38">
        <v>0.6925</v>
      </c>
    </row>
    <row r="21" spans="1:3" x14ac:dyDescent="0.25">
      <c r="A21" t="s">
        <v>117</v>
      </c>
      <c r="B21" s="38">
        <v>0.14083333333333337</v>
      </c>
      <c r="C21" s="38">
        <v>0.69083333333333341</v>
      </c>
    </row>
    <row r="22" spans="1:3" x14ac:dyDescent="0.25">
      <c r="A22" t="s">
        <v>97</v>
      </c>
      <c r="B22" s="38">
        <v>0.11000000000000004</v>
      </c>
      <c r="C22" s="38">
        <v>0.68500000000000005</v>
      </c>
    </row>
    <row r="23" spans="1:3" x14ac:dyDescent="0.25">
      <c r="A23" t="s">
        <v>98</v>
      </c>
      <c r="B23" s="38">
        <v>-6.3333333333333297E-2</v>
      </c>
      <c r="C23" s="38">
        <v>0.97616666666666663</v>
      </c>
    </row>
    <row r="24" spans="1:3" x14ac:dyDescent="0.25">
      <c r="A24" t="s">
        <v>99</v>
      </c>
      <c r="B24" s="38">
        <v>4.1666666666666519E-3</v>
      </c>
      <c r="C24" s="38">
        <v>0.88966666666666661</v>
      </c>
    </row>
    <row r="25" spans="1:3" x14ac:dyDescent="0.25">
      <c r="A25" t="s">
        <v>100</v>
      </c>
      <c r="B25" s="38">
        <v>-2.4166666666666614E-2</v>
      </c>
      <c r="C25" s="38">
        <v>0.92733333333333334</v>
      </c>
    </row>
    <row r="26" spans="1:3" x14ac:dyDescent="0.25">
      <c r="A26" t="s">
        <v>118</v>
      </c>
      <c r="B26" s="38">
        <v>0.19616666666666666</v>
      </c>
      <c r="C26" s="38">
        <v>0.58866666666666667</v>
      </c>
    </row>
    <row r="27" spans="1:3" x14ac:dyDescent="0.25">
      <c r="A27" t="s">
        <v>119</v>
      </c>
      <c r="B27" s="38">
        <v>9.4833333333333325E-2</v>
      </c>
      <c r="C27" s="38">
        <v>0.66733333333333333</v>
      </c>
    </row>
    <row r="28" spans="1:3" x14ac:dyDescent="0.25">
      <c r="A28" t="s">
        <v>120</v>
      </c>
      <c r="B28" s="38">
        <v>0.13366666666666671</v>
      </c>
      <c r="C28" s="38">
        <v>0.67616666666666669</v>
      </c>
    </row>
    <row r="29" spans="1:3" x14ac:dyDescent="0.25">
      <c r="A29" t="s">
        <v>121</v>
      </c>
      <c r="B29" s="38">
        <v>9.5666666666666678E-2</v>
      </c>
      <c r="C29" s="38">
        <v>0.66816666666666669</v>
      </c>
    </row>
    <row r="30" spans="1:3" x14ac:dyDescent="0.25">
      <c r="A30" t="s">
        <v>94</v>
      </c>
      <c r="B30" s="38">
        <v>0.15500000000000003</v>
      </c>
      <c r="C30" s="38">
        <v>0.64250000000000007</v>
      </c>
    </row>
    <row r="31" spans="1:3" x14ac:dyDescent="0.25">
      <c r="B31" s="38"/>
      <c r="C31" s="38"/>
    </row>
    <row r="32" spans="1:3" ht="18" x14ac:dyDescent="0.4">
      <c r="A32" s="55" t="s">
        <v>101</v>
      </c>
      <c r="B32" s="38"/>
      <c r="C32" s="38"/>
    </row>
    <row r="33" spans="1:3" x14ac:dyDescent="0.25">
      <c r="A33" t="s">
        <v>72</v>
      </c>
      <c r="B33" s="38">
        <v>0.95906666666666662</v>
      </c>
      <c r="C33" s="38">
        <v>-1.887483333333333</v>
      </c>
    </row>
    <row r="34" spans="1:3" x14ac:dyDescent="0.25">
      <c r="A34" t="s">
        <v>73</v>
      </c>
      <c r="B34" s="38">
        <v>-0.21641666666666665</v>
      </c>
      <c r="C34" s="38">
        <v>1.1613333333333333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Attribution</vt:lpstr>
      <vt:lpstr>Off benchmark bets</vt:lpstr>
      <vt:lpstr>Benchmark</vt:lpstr>
      <vt:lpstr>Portfolio</vt:lpstr>
      <vt:lpstr>Attributing your portfolio</vt:lpstr>
      <vt:lpstr>Further 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Nash, Charlie</dc:creator>
  <cp:lastModifiedBy>Charlie Nash</cp:lastModifiedBy>
  <dcterms:created xsi:type="dcterms:W3CDTF">2023-04-21T10:11:47Z</dcterms:created>
  <dcterms:modified xsi:type="dcterms:W3CDTF">2026-10-16T12:59:05Z</dcterms:modified>
</cp:coreProperties>
</file>