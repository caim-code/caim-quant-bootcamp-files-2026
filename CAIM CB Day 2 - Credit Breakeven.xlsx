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CB Workshop 2026\"/>
    </mc:Choice>
  </mc:AlternateContent>
  <xr:revisionPtr revIDLastSave="0" documentId="13_ncr:1_{525C23F2-0DB8-4EA8-8E55-4ED939F15D38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Pre-GFC Average" sheetId="7" r:id="rId1"/>
    <sheet name="2008" sheetId="6" r:id="rId2"/>
  </sheets>
  <definedNames>
    <definedName name="ccy" localSheetId="1">'2008'!#REF!</definedName>
    <definedName name="ccy" localSheetId="0">'Pre-GFC Average'!#REF!</definedName>
    <definedName name="ccy">#REF!</definedName>
    <definedName name="freq" localSheetId="1">'2008'!$F$2</definedName>
    <definedName name="freq" localSheetId="0">'Pre-GFC Average'!$F$2</definedName>
    <definedName name="freq">#REF!</definedName>
    <definedName name="govrtn" localSheetId="1">'2008'!$C$12</definedName>
    <definedName name="govrtn" localSheetId="0">'Pre-GFC Average'!$C$12</definedName>
    <definedName name="govrtn">#REF!</definedName>
    <definedName name="hd" localSheetId="1">'2008'!$F$4</definedName>
    <definedName name="hd" localSheetId="0">'Pre-GFC Average'!$F$4</definedName>
    <definedName name="hd">#REF!</definedName>
    <definedName name="Horizon" localSheetId="1">'2008'!$F$3</definedName>
    <definedName name="Horizon" localSheetId="0">'Pre-GFC Average'!$F$3</definedName>
    <definedName name="Horizon">#REF!</definedName>
    <definedName name="mat" localSheetId="1">'2008'!$C$3</definedName>
    <definedName name="mat" localSheetId="0">'Pre-GFC Average'!$C$3</definedName>
    <definedName name="mat">#REF!</definedName>
    <definedName name="md" localSheetId="1">'2008'!$C$4</definedName>
    <definedName name="md" localSheetId="0">'Pre-GFC Average'!$C$4</definedName>
    <definedName name="md">#REF!</definedName>
    <definedName name="pvec" localSheetId="1">'2008'!$D$14:$J$14</definedName>
    <definedName name="pvec" localSheetId="0">'Pre-GFC Average'!$D$14:$J$14</definedName>
    <definedName name="pvec">#REF!</definedName>
    <definedName name="recovery" localSheetId="1">'2008'!$C$6</definedName>
    <definedName name="recovery" localSheetId="0">'Pre-GFC Average'!$C$6</definedName>
    <definedName name="recovery">#REF!</definedName>
    <definedName name="sd" localSheetId="1">'2008'!$C$2</definedName>
    <definedName name="sd" localSheetId="0">'Pre-GFC Average'!$C$2</definedName>
    <definedName name="sd">#REF!</definedName>
    <definedName name="Tmat" localSheetId="1">'2008'!$C$22:$I$28</definedName>
    <definedName name="Tmat" localSheetId="0">'Pre-GFC Average'!$C$22:$I$28</definedName>
    <definedName name="Tmat">#REF!</definedName>
    <definedName name="yield" localSheetId="1">'2008'!$C$5</definedName>
    <definedName name="yield" localSheetId="0">'Pre-GFC Average'!$C$5</definedName>
    <definedName name="yiel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76" i="7" l="1"/>
  <c r="J75" i="7"/>
  <c r="J74" i="7"/>
  <c r="J73" i="7"/>
  <c r="J72" i="7"/>
  <c r="J71" i="7"/>
  <c r="J70" i="7"/>
  <c r="J67" i="7"/>
  <c r="J66" i="7"/>
  <c r="J65" i="7"/>
  <c r="J64" i="7"/>
  <c r="J63" i="7"/>
  <c r="J62" i="7"/>
  <c r="J61" i="7"/>
  <c r="J58" i="7"/>
  <c r="J57" i="7"/>
  <c r="J56" i="7"/>
  <c r="J55" i="7"/>
  <c r="J54" i="7"/>
  <c r="J53" i="7"/>
  <c r="J52" i="7"/>
  <c r="J49" i="7"/>
  <c r="J48" i="7"/>
  <c r="J47" i="7"/>
  <c r="J46" i="7"/>
  <c r="J45" i="7"/>
  <c r="J44" i="7"/>
  <c r="J43" i="7"/>
  <c r="J40" i="7"/>
  <c r="T36" i="7"/>
  <c r="S36" i="7"/>
  <c r="R36" i="7"/>
  <c r="Q36" i="7"/>
  <c r="P36" i="7"/>
  <c r="O36" i="7"/>
  <c r="N36" i="7"/>
  <c r="J28" i="7"/>
  <c r="H28" i="7"/>
  <c r="G28" i="7"/>
  <c r="F28" i="7"/>
  <c r="E28" i="7"/>
  <c r="D28" i="7"/>
  <c r="C28" i="7"/>
  <c r="J27" i="7"/>
  <c r="I27" i="7"/>
  <c r="G27" i="7"/>
  <c r="F27" i="7"/>
  <c r="E27" i="7"/>
  <c r="D27" i="7"/>
  <c r="C27" i="7"/>
  <c r="J26" i="7"/>
  <c r="I26" i="7"/>
  <c r="H26" i="7"/>
  <c r="F26" i="7"/>
  <c r="E26" i="7"/>
  <c r="D26" i="7"/>
  <c r="C26" i="7"/>
  <c r="J25" i="7"/>
  <c r="I25" i="7"/>
  <c r="H25" i="7"/>
  <c r="G25" i="7"/>
  <c r="E25" i="7"/>
  <c r="D25" i="7"/>
  <c r="C25" i="7"/>
  <c r="J24" i="7"/>
  <c r="I24" i="7"/>
  <c r="H24" i="7"/>
  <c r="G24" i="7"/>
  <c r="F24" i="7"/>
  <c r="D24" i="7"/>
  <c r="C24" i="7"/>
  <c r="J23" i="7"/>
  <c r="D13" i="7" s="1" a="1"/>
  <c r="I13" i="7" s="1"/>
  <c r="I23" i="7"/>
  <c r="H23" i="7"/>
  <c r="G23" i="7"/>
  <c r="F23" i="7"/>
  <c r="E23" i="7"/>
  <c r="C23" i="7"/>
  <c r="J22" i="7"/>
  <c r="I22" i="7"/>
  <c r="H22" i="7"/>
  <c r="G22" i="7"/>
  <c r="F22" i="7"/>
  <c r="E22" i="7"/>
  <c r="D22" i="7"/>
  <c r="F4" i="7"/>
  <c r="C4" i="7"/>
  <c r="I10" i="7" s="1"/>
  <c r="H23" i="6"/>
  <c r="J76" i="6"/>
  <c r="J75" i="6"/>
  <c r="J74" i="6"/>
  <c r="J73" i="6"/>
  <c r="J72" i="6"/>
  <c r="J71" i="6"/>
  <c r="J70" i="6"/>
  <c r="J67" i="6"/>
  <c r="J66" i="6"/>
  <c r="J65" i="6"/>
  <c r="J64" i="6"/>
  <c r="J63" i="6"/>
  <c r="J62" i="6"/>
  <c r="J61" i="6"/>
  <c r="J58" i="6"/>
  <c r="J57" i="6"/>
  <c r="J56" i="6"/>
  <c r="J55" i="6"/>
  <c r="J54" i="6"/>
  <c r="J53" i="6"/>
  <c r="J52" i="6"/>
  <c r="J49" i="6"/>
  <c r="J48" i="6"/>
  <c r="J47" i="6"/>
  <c r="J46" i="6"/>
  <c r="J45" i="6"/>
  <c r="J44" i="6"/>
  <c r="J43" i="6"/>
  <c r="J40" i="6"/>
  <c r="T36" i="6"/>
  <c r="S36" i="6"/>
  <c r="R36" i="6"/>
  <c r="Q36" i="6"/>
  <c r="P36" i="6"/>
  <c r="O36" i="6"/>
  <c r="N36" i="6"/>
  <c r="J28" i="6"/>
  <c r="H28" i="6"/>
  <c r="G28" i="6"/>
  <c r="F28" i="6"/>
  <c r="E28" i="6"/>
  <c r="D28" i="6"/>
  <c r="C28" i="6"/>
  <c r="J27" i="6"/>
  <c r="I27" i="6"/>
  <c r="G27" i="6"/>
  <c r="F27" i="6"/>
  <c r="E27" i="6"/>
  <c r="D27" i="6"/>
  <c r="C27" i="6"/>
  <c r="J26" i="6"/>
  <c r="I26" i="6"/>
  <c r="H26" i="6"/>
  <c r="F26" i="6"/>
  <c r="E26" i="6"/>
  <c r="D26" i="6"/>
  <c r="C26" i="6"/>
  <c r="J25" i="6"/>
  <c r="I25" i="6"/>
  <c r="H25" i="6"/>
  <c r="G25" i="6"/>
  <c r="E25" i="6"/>
  <c r="D25" i="6"/>
  <c r="C25" i="6"/>
  <c r="J24" i="6"/>
  <c r="I24" i="6"/>
  <c r="H24" i="6"/>
  <c r="G24" i="6"/>
  <c r="F24" i="6"/>
  <c r="D24" i="6"/>
  <c r="C24" i="6"/>
  <c r="J23" i="6"/>
  <c r="I23" i="6"/>
  <c r="G23" i="6"/>
  <c r="F23" i="6"/>
  <c r="E23" i="6"/>
  <c r="C23" i="6"/>
  <c r="J22" i="6"/>
  <c r="I22" i="6"/>
  <c r="H22" i="6"/>
  <c r="G22" i="6"/>
  <c r="F22" i="6"/>
  <c r="E22" i="6"/>
  <c r="D22" i="6"/>
  <c r="D11" i="7" l="1"/>
  <c r="D13" i="6" a="1"/>
  <c r="E13" i="6" s="1"/>
  <c r="I28" i="7"/>
  <c r="F25" i="7"/>
  <c r="J13" i="7"/>
  <c r="D23" i="7"/>
  <c r="G26" i="7"/>
  <c r="H27" i="7"/>
  <c r="E24" i="7"/>
  <c r="C22" i="7"/>
  <c r="J10" i="7"/>
  <c r="C10" i="7"/>
  <c r="D10" i="7"/>
  <c r="D13" i="7"/>
  <c r="E11" i="7"/>
  <c r="E13" i="7"/>
  <c r="F10" i="7"/>
  <c r="F11" i="7"/>
  <c r="F13" i="7"/>
  <c r="C11" i="7"/>
  <c r="G10" i="7"/>
  <c r="G11" i="7"/>
  <c r="N30" i="7" s="1"/>
  <c r="G13" i="7"/>
  <c r="E10" i="7"/>
  <c r="H10" i="7"/>
  <c r="H11" i="7"/>
  <c r="H13" i="7"/>
  <c r="I11" i="7"/>
  <c r="I12" i="7" s="1"/>
  <c r="J11" i="7"/>
  <c r="C22" i="6"/>
  <c r="E24" i="6"/>
  <c r="D23" i="6"/>
  <c r="I28" i="6"/>
  <c r="G26" i="6"/>
  <c r="F25" i="6"/>
  <c r="H27" i="6"/>
  <c r="F4" i="6"/>
  <c r="C4" i="6"/>
  <c r="D12" i="7" l="1"/>
  <c r="H13" i="6"/>
  <c r="G13" i="6"/>
  <c r="D13" i="6"/>
  <c r="I13" i="6"/>
  <c r="F13" i="6"/>
  <c r="J13" i="6"/>
  <c r="J12" i="7"/>
  <c r="N29" i="7"/>
  <c r="E12" i="7"/>
  <c r="N31" i="7"/>
  <c r="H12" i="7"/>
  <c r="C12" i="7"/>
  <c r="N28" i="7"/>
  <c r="F12" i="7"/>
  <c r="G12" i="7"/>
  <c r="D11" i="6"/>
  <c r="G11" i="6"/>
  <c r="C11" i="6"/>
  <c r="J11" i="6"/>
  <c r="I11" i="6"/>
  <c r="H11" i="6"/>
  <c r="F11" i="6"/>
  <c r="E11" i="6"/>
  <c r="D10" i="6"/>
  <c r="C10" i="6"/>
  <c r="J10" i="6"/>
  <c r="H10" i="6"/>
  <c r="I10" i="6"/>
  <c r="G10" i="6"/>
  <c r="F10" i="6"/>
  <c r="E10" i="6"/>
  <c r="I14" i="7" l="1"/>
  <c r="D14" i="7"/>
  <c r="E14" i="7"/>
  <c r="J14" i="7"/>
  <c r="H14" i="7"/>
  <c r="F14" i="7"/>
  <c r="G14" i="7"/>
  <c r="D15" i="7" a="1"/>
  <c r="E12" i="6"/>
  <c r="F12" i="6"/>
  <c r="I12" i="6"/>
  <c r="H12" i="6"/>
  <c r="J12" i="6"/>
  <c r="C12" i="6"/>
  <c r="I14" i="6" s="1"/>
  <c r="N30" i="6"/>
  <c r="N31" i="6"/>
  <c r="G12" i="6"/>
  <c r="N29" i="6"/>
  <c r="N28" i="6"/>
  <c r="D12" i="6"/>
  <c r="J14" i="6" l="1"/>
  <c r="E14" i="6"/>
  <c r="E15" i="7"/>
  <c r="E16" i="7" s="1"/>
  <c r="E17" i="7" s="1"/>
  <c r="D15" i="7"/>
  <c r="D16" i="7" s="1"/>
  <c r="D17" i="7" s="1"/>
  <c r="J15" i="7"/>
  <c r="J16" i="7" s="1"/>
  <c r="J17" i="7" s="1"/>
  <c r="I15" i="7"/>
  <c r="I16" i="7" s="1"/>
  <c r="I17" i="7" s="1"/>
  <c r="F15" i="7"/>
  <c r="F16" i="7" s="1"/>
  <c r="F17" i="7" s="1"/>
  <c r="H15" i="7"/>
  <c r="H16" i="7" s="1"/>
  <c r="H17" i="7" s="1"/>
  <c r="G15" i="7"/>
  <c r="G16" i="7" s="1"/>
  <c r="G17" i="7" s="1"/>
  <c r="G14" i="6"/>
  <c r="F14" i="6"/>
  <c r="H14" i="6"/>
  <c r="D14" i="6"/>
  <c r="D15" i="6" l="1" a="1"/>
  <c r="I15" i="6" s="1"/>
  <c r="I16" i="6" s="1"/>
  <c r="I17" i="6" s="1"/>
  <c r="I18" i="6" s="1"/>
  <c r="S38" i="6" s="1"/>
  <c r="T37" i="7"/>
  <c r="J18" i="7"/>
  <c r="T38" i="7" s="1"/>
  <c r="N37" i="7"/>
  <c r="D18" i="7"/>
  <c r="N38" i="7" s="1"/>
  <c r="G18" i="7"/>
  <c r="Q38" i="7" s="1"/>
  <c r="Q37" i="7"/>
  <c r="H18" i="7"/>
  <c r="R38" i="7" s="1"/>
  <c r="R37" i="7"/>
  <c r="P37" i="7"/>
  <c r="F18" i="7"/>
  <c r="P38" i="7" s="1"/>
  <c r="I18" i="7"/>
  <c r="S38" i="7" s="1"/>
  <c r="S37" i="7"/>
  <c r="O37" i="7"/>
  <c r="E18" i="7"/>
  <c r="O38" i="7" s="1"/>
  <c r="H15" i="6" l="1"/>
  <c r="H16" i="6" s="1"/>
  <c r="H17" i="6" s="1"/>
  <c r="H18" i="6" s="1"/>
  <c r="R38" i="6" s="1"/>
  <c r="F15" i="6"/>
  <c r="F16" i="6" s="1"/>
  <c r="F17" i="6" s="1"/>
  <c r="P37" i="6" s="1"/>
  <c r="G15" i="6"/>
  <c r="G16" i="6" s="1"/>
  <c r="G17" i="6" s="1"/>
  <c r="Q37" i="6" s="1"/>
  <c r="J15" i="6"/>
  <c r="J16" i="6" s="1"/>
  <c r="J17" i="6" s="1"/>
  <c r="J18" i="6" s="1"/>
  <c r="T38" i="6" s="1"/>
  <c r="D15" i="6"/>
  <c r="D16" i="6" s="1"/>
  <c r="D17" i="6" s="1"/>
  <c r="N37" i="6" s="1"/>
  <c r="E15" i="6"/>
  <c r="E16" i="6" s="1"/>
  <c r="E17" i="6" s="1"/>
  <c r="S37" i="6"/>
  <c r="E18" i="6" l="1"/>
  <c r="O38" i="6" s="1"/>
  <c r="O37" i="6"/>
  <c r="D18" i="6"/>
  <c r="N38" i="6" s="1"/>
  <c r="T37" i="6"/>
  <c r="G18" i="6"/>
  <c r="Q38" i="6" s="1"/>
  <c r="F18" i="6"/>
  <c r="P38" i="6" s="1"/>
  <c r="R37" i="6"/>
</calcChain>
</file>

<file path=xl/sharedStrings.xml><?xml version="1.0" encoding="utf-8"?>
<sst xmlns="http://schemas.openxmlformats.org/spreadsheetml/2006/main" count="286" uniqueCount="41">
  <si>
    <t>Date</t>
  </si>
  <si>
    <t>Govt yield</t>
  </si>
  <si>
    <t>AA</t>
  </si>
  <si>
    <t>AAA</t>
  </si>
  <si>
    <t>A</t>
  </si>
  <si>
    <t>BBB</t>
  </si>
  <si>
    <t>BB</t>
  </si>
  <si>
    <t>B</t>
  </si>
  <si>
    <t>CCC</t>
  </si>
  <si>
    <t>Maturity, years</t>
  </si>
  <si>
    <t>D</t>
  </si>
  <si>
    <t>Start prices</t>
  </si>
  <si>
    <t>Govt</t>
  </si>
  <si>
    <t>Maturity date</t>
  </si>
  <si>
    <t>%</t>
  </si>
  <si>
    <t>Govt spreads, bp</t>
  </si>
  <si>
    <t>Frequency</t>
  </si>
  <si>
    <t>Horizon</t>
  </si>
  <si>
    <t>months</t>
  </si>
  <si>
    <t>Horizon date</t>
  </si>
  <si>
    <t>Returns, %</t>
  </si>
  <si>
    <t>p*</t>
  </si>
  <si>
    <t>Default rates</t>
  </si>
  <si>
    <t>Transition matrix, scaled to horizon</t>
  </si>
  <si>
    <t>Annual transition matrix</t>
  </si>
  <si>
    <t>q</t>
  </si>
  <si>
    <t>B'even spreads</t>
  </si>
  <si>
    <t>B'even yields</t>
  </si>
  <si>
    <t>Average 1920 - 1996</t>
  </si>
  <si>
    <t>No transitions</t>
  </si>
  <si>
    <t>End prices + cpn</t>
  </si>
  <si>
    <t>Recovery PV</t>
  </si>
  <si>
    <t>Moody's end-2008</t>
  </si>
  <si>
    <t>B'even cushion</t>
  </si>
  <si>
    <t>Returns of BBB bond if</t>
  </si>
  <si>
    <t>upgrade to A</t>
  </si>
  <si>
    <t>upgrade to AA</t>
  </si>
  <si>
    <t>unchanged at BBB</t>
  </si>
  <si>
    <t>downgraded to BB</t>
  </si>
  <si>
    <t>Ave. 1970 - 2010</t>
  </si>
  <si>
    <t>Input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</si>
</sst>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0"/>
      <name val="Arial"/>
    </font>
    <font>
      <sz val="10"/>
      <name val="Arial"/>
      <family val="2"/>
    </font>
    <font>
      <sz val="10"/>
      <color theme="6" tint="-0.249977111117893"/>
      <name val="Source Sans CAIM"/>
    </font>
    <font>
      <sz val="10"/>
      <name val="Source Sans CAIM"/>
    </font>
    <font>
      <b/>
      <sz val="10"/>
      <color theme="6" tint="-0.249977111117893"/>
      <name val="Source Sans CAIM"/>
    </font>
    <font>
      <sz val="10"/>
      <color theme="0"/>
      <name val="Source Sans CAIM"/>
    </font>
    <font>
      <sz val="10"/>
      <color theme="5"/>
      <name val="Source Sans CAIM"/>
    </font>
    <font>
      <b/>
      <sz val="10"/>
      <name val="Source Sans CAIM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1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10" fontId="3" fillId="0" borderId="0" xfId="1" applyNumberFormat="1" applyFont="1"/>
    <xf numFmtId="0" fontId="3" fillId="0" borderId="0" xfId="0" applyFont="1" applyAlignment="1">
      <alignment horizontal="right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0" fontId="2" fillId="3" borderId="0" xfId="0" applyFont="1" applyFill="1"/>
    <xf numFmtId="1" fontId="2" fillId="3" borderId="0" xfId="0" applyNumberFormat="1" applyFont="1" applyFill="1"/>
    <xf numFmtId="164" fontId="2" fillId="3" borderId="0" xfId="0" applyNumberFormat="1" applyFont="1" applyFill="1"/>
    <xf numFmtId="2" fontId="2" fillId="3" borderId="0" xfId="0" applyNumberFormat="1" applyFont="1" applyFill="1"/>
    <xf numFmtId="1" fontId="4" fillId="3" borderId="0" xfId="0" applyNumberFormat="1" applyFont="1" applyFill="1"/>
    <xf numFmtId="10" fontId="2" fillId="3" borderId="0" xfId="1" applyNumberFormat="1" applyFont="1" applyFill="1"/>
    <xf numFmtId="9" fontId="2" fillId="3" borderId="0" xfId="1" applyFont="1" applyFill="1"/>
    <xf numFmtId="1" fontId="2" fillId="3" borderId="0" xfId="0" applyNumberFormat="1" applyFont="1" applyFill="1" applyAlignment="1">
      <alignment horizontal="right"/>
    </xf>
    <xf numFmtId="0" fontId="7" fillId="0" borderId="0" xfId="0" applyFont="1"/>
    <xf numFmtId="0" fontId="4" fillId="3" borderId="0" xfId="0" applyFont="1" applyFill="1"/>
    <xf numFmtId="15" fontId="6" fillId="4" borderId="0" xfId="0" applyNumberFormat="1" applyFont="1" applyFill="1"/>
    <xf numFmtId="1" fontId="6" fillId="4" borderId="0" xfId="0" applyNumberFormat="1" applyFont="1" applyFill="1"/>
    <xf numFmtId="2" fontId="6" fillId="4" borderId="0" xfId="0" applyNumberFormat="1" applyFont="1" applyFill="1"/>
    <xf numFmtId="0" fontId="6" fillId="4" borderId="0" xfId="0" applyFont="1" applyFill="1"/>
    <xf numFmtId="0" fontId="2" fillId="4" borderId="0" xfId="0" applyFont="1" applyFill="1"/>
    <xf numFmtId="1" fontId="2" fillId="4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ECE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5489136428807755E-2"/>
          <c:y val="0.12485994120826249"/>
          <c:w val="0.85484953012630116"/>
          <c:h val="0.74915964724958084"/>
        </c:manualLayout>
      </c:layout>
      <c:lineChart>
        <c:grouping val="standard"/>
        <c:varyColors val="0"/>
        <c:ser>
          <c:idx val="1"/>
          <c:order val="0"/>
          <c:tx>
            <c:v>Breakeven</c:v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square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  <a:prstDash val="solid"/>
              </a:ln>
            </c:spPr>
          </c:marker>
          <c:cat>
            <c:strRef>
              <c:f>'Pre-GFC Average'!$D$8:$J$8</c:f>
              <c:strCache>
                <c:ptCount val="7"/>
                <c:pt idx="0">
                  <c:v>AAA</c:v>
                </c:pt>
                <c:pt idx="1">
                  <c:v>AA</c:v>
                </c:pt>
                <c:pt idx="2">
                  <c:v>A</c:v>
                </c:pt>
                <c:pt idx="3">
                  <c:v>BBB</c:v>
                </c:pt>
                <c:pt idx="4">
                  <c:v>BB</c:v>
                </c:pt>
                <c:pt idx="5">
                  <c:v>B</c:v>
                </c:pt>
                <c:pt idx="6">
                  <c:v>CCC</c:v>
                </c:pt>
              </c:strCache>
            </c:strRef>
          </c:cat>
          <c:val>
            <c:numRef>
              <c:f>'Pre-GFC Average'!$D$17:$J$17</c:f>
              <c:numCache>
                <c:formatCode>0</c:formatCode>
                <c:ptCount val="7"/>
                <c:pt idx="0">
                  <c:v>18.383735529669298</c:v>
                </c:pt>
                <c:pt idx="1">
                  <c:v>49.482213697864367</c:v>
                </c:pt>
                <c:pt idx="2">
                  <c:v>80.207463068496224</c:v>
                </c:pt>
                <c:pt idx="3">
                  <c:v>112.02595935382701</c:v>
                </c:pt>
                <c:pt idx="4">
                  <c:v>250.38016330392568</c:v>
                </c:pt>
                <c:pt idx="5">
                  <c:v>368.42790753796714</c:v>
                </c:pt>
                <c:pt idx="6">
                  <c:v>893.50290756277889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69-4B57-90EC-97FADF72FCED}"/>
            </c:ext>
          </c:extLst>
        </c:ser>
        <c:ser>
          <c:idx val="0"/>
          <c:order val="1"/>
          <c:tx>
            <c:v>Spot</c:v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'Pre-GFC Average'!$D$8:$J$8</c:f>
              <c:strCache>
                <c:ptCount val="7"/>
                <c:pt idx="0">
                  <c:v>AAA</c:v>
                </c:pt>
                <c:pt idx="1">
                  <c:v>AA</c:v>
                </c:pt>
                <c:pt idx="2">
                  <c:v>A</c:v>
                </c:pt>
                <c:pt idx="3">
                  <c:v>BBB</c:v>
                </c:pt>
                <c:pt idx="4">
                  <c:v>BB</c:v>
                </c:pt>
                <c:pt idx="5">
                  <c:v>B</c:v>
                </c:pt>
                <c:pt idx="6">
                  <c:v>CCC</c:v>
                </c:pt>
              </c:strCache>
            </c:strRef>
          </c:cat>
          <c:val>
            <c:numRef>
              <c:f>'Pre-GFC Average'!$D$9:$J$9</c:f>
              <c:numCache>
                <c:formatCode>0</c:formatCode>
                <c:ptCount val="7"/>
                <c:pt idx="0">
                  <c:v>18</c:v>
                </c:pt>
                <c:pt idx="1">
                  <c:v>43</c:v>
                </c:pt>
                <c:pt idx="2">
                  <c:v>68</c:v>
                </c:pt>
                <c:pt idx="3">
                  <c:v>100</c:v>
                </c:pt>
                <c:pt idx="4">
                  <c:v>218</c:v>
                </c:pt>
                <c:pt idx="5">
                  <c:v>360</c:v>
                </c:pt>
                <c:pt idx="6">
                  <c:v>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69-4B57-90EC-97FADF72F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386816"/>
        <c:axId val="72388992"/>
      </c:lineChart>
      <c:catAx>
        <c:axId val="7238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Source Sans CAIM"/>
                <a:ea typeface="Arial"/>
                <a:cs typeface="Arial"/>
              </a:defRPr>
            </a:pPr>
            <a:endParaRPr lang="en-US"/>
          </a:p>
        </c:txPr>
        <c:crossAx val="72388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388992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lgDash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Source Sans CAIM"/>
                <a:ea typeface="Source Sans CAIM Book" panose="020B0303030403020204" pitchFamily="34" charset="0"/>
                <a:cs typeface="Arial"/>
              </a:defRPr>
            </a:pPr>
            <a:endParaRPr lang="en-US"/>
          </a:p>
        </c:txPr>
        <c:crossAx val="723868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704285049707973"/>
          <c:y val="0.14131407992605569"/>
          <c:w val="0.22573363431151242"/>
          <c:h val="0.14510749924203545"/>
        </c:manualLayout>
      </c:layout>
      <c:overlay val="0"/>
      <c:spPr>
        <a:solidFill>
          <a:schemeClr val="tx1">
            <a:lumMod val="10000"/>
            <a:lumOff val="90000"/>
          </a:schemeClr>
        </a:solidFill>
        <a:ln w="3175">
          <a:noFill/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Source Sans CAIM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10000"/>
        <a:lumOff val="90000"/>
      </a:schemeClr>
    </a:solidFill>
    <a:ln w="3175">
      <a:noFill/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44" r="0.75000000000000244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73405262737552"/>
          <c:y val="0.12485994120826249"/>
          <c:w val="0.84760461392773334"/>
          <c:h val="0.74915964724958084"/>
        </c:manualLayout>
      </c:layout>
      <c:lineChart>
        <c:grouping val="standard"/>
        <c:varyColors val="0"/>
        <c:ser>
          <c:idx val="1"/>
          <c:order val="0"/>
          <c:tx>
            <c:v>Breakeven</c:v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square"/>
            <c:size val="6"/>
            <c:spPr>
              <a:solidFill>
                <a:schemeClr val="accent2"/>
              </a:solidFill>
              <a:ln>
                <a:solidFill>
                  <a:schemeClr val="accent2"/>
                </a:solidFill>
                <a:prstDash val="solid"/>
              </a:ln>
            </c:spPr>
          </c:marker>
          <c:cat>
            <c:strRef>
              <c:f>'2008'!$D$8:$J$8</c:f>
              <c:strCache>
                <c:ptCount val="7"/>
                <c:pt idx="0">
                  <c:v>AAA</c:v>
                </c:pt>
                <c:pt idx="1">
                  <c:v>AA</c:v>
                </c:pt>
                <c:pt idx="2">
                  <c:v>A</c:v>
                </c:pt>
                <c:pt idx="3">
                  <c:v>BBB</c:v>
                </c:pt>
                <c:pt idx="4">
                  <c:v>BB</c:v>
                </c:pt>
                <c:pt idx="5">
                  <c:v>B</c:v>
                </c:pt>
                <c:pt idx="6">
                  <c:v>CCC</c:v>
                </c:pt>
              </c:strCache>
            </c:strRef>
          </c:cat>
          <c:val>
            <c:numRef>
              <c:f>'2008'!$D$17:$J$17</c:f>
              <c:numCache>
                <c:formatCode>0</c:formatCode>
                <c:ptCount val="7"/>
                <c:pt idx="0">
                  <c:v>18.239157480920465</c:v>
                </c:pt>
                <c:pt idx="1">
                  <c:v>50.59548758756884</c:v>
                </c:pt>
                <c:pt idx="2">
                  <c:v>83.06172300105797</c:v>
                </c:pt>
                <c:pt idx="3">
                  <c:v>115.99910248340875</c:v>
                </c:pt>
                <c:pt idx="4">
                  <c:v>252.18227887206038</c:v>
                </c:pt>
                <c:pt idx="5">
                  <c:v>352.45232412219485</c:v>
                </c:pt>
                <c:pt idx="6">
                  <c:v>539.45783832541827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D-4970-856C-606A4D510F1B}"/>
            </c:ext>
          </c:extLst>
        </c:ser>
        <c:ser>
          <c:idx val="0"/>
          <c:order val="1"/>
          <c:tx>
            <c:v>Spot</c:v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'2008'!$D$8:$J$8</c:f>
              <c:strCache>
                <c:ptCount val="7"/>
                <c:pt idx="0">
                  <c:v>AAA</c:v>
                </c:pt>
                <c:pt idx="1">
                  <c:v>AA</c:v>
                </c:pt>
                <c:pt idx="2">
                  <c:v>A</c:v>
                </c:pt>
                <c:pt idx="3">
                  <c:v>BBB</c:v>
                </c:pt>
                <c:pt idx="4">
                  <c:v>BB</c:v>
                </c:pt>
                <c:pt idx="5">
                  <c:v>B</c:v>
                </c:pt>
                <c:pt idx="6">
                  <c:v>CCC</c:v>
                </c:pt>
              </c:strCache>
            </c:strRef>
          </c:cat>
          <c:val>
            <c:numRef>
              <c:f>'2008'!$D$9:$J$9</c:f>
              <c:numCache>
                <c:formatCode>0</c:formatCode>
                <c:ptCount val="7"/>
                <c:pt idx="0">
                  <c:v>18</c:v>
                </c:pt>
                <c:pt idx="1">
                  <c:v>43</c:v>
                </c:pt>
                <c:pt idx="2">
                  <c:v>68</c:v>
                </c:pt>
                <c:pt idx="3">
                  <c:v>100</c:v>
                </c:pt>
                <c:pt idx="4">
                  <c:v>218</c:v>
                </c:pt>
                <c:pt idx="5">
                  <c:v>360</c:v>
                </c:pt>
                <c:pt idx="6">
                  <c:v>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D-4970-856C-606A4D510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386816"/>
        <c:axId val="72388992"/>
      </c:lineChart>
      <c:catAx>
        <c:axId val="7238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Source Sans CAIM"/>
                <a:ea typeface="Arial"/>
                <a:cs typeface="Arial"/>
              </a:defRPr>
            </a:pPr>
            <a:endParaRPr lang="en-US"/>
          </a:p>
        </c:txPr>
        <c:crossAx val="72388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2388992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lgDash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Source Sans CAIM"/>
                <a:ea typeface="Source Sans CAIM Book" panose="020B0303030403020204" pitchFamily="34" charset="0"/>
                <a:cs typeface="Arial"/>
              </a:defRPr>
            </a:pPr>
            <a:endParaRPr lang="en-US"/>
          </a:p>
        </c:txPr>
        <c:crossAx val="723868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704285049707973"/>
          <c:y val="0.14131407992605569"/>
          <c:w val="0.22573363431151242"/>
          <c:h val="0.14510749924203545"/>
        </c:manualLayout>
      </c:layout>
      <c:overlay val="0"/>
      <c:spPr>
        <a:solidFill>
          <a:schemeClr val="tx1">
            <a:lumMod val="10000"/>
            <a:lumOff val="90000"/>
          </a:schemeClr>
        </a:solidFill>
        <a:ln w="3175">
          <a:noFill/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Source Sans CAIM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10000"/>
        <a:lumOff val="90000"/>
      </a:schemeClr>
    </a:solidFill>
    <a:ln w="3175">
      <a:noFill/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44" r="0.75000000000000244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3174</xdr:colOff>
      <xdr:row>6</xdr:row>
      <xdr:rowOff>152400</xdr:rowOff>
    </xdr:from>
    <xdr:to>
      <xdr:col>19</xdr:col>
      <xdr:colOff>114300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CA8F5-914B-4A76-8701-CDB19D7862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6402</xdr:colOff>
      <xdr:row>39</xdr:row>
      <xdr:rowOff>89647</xdr:rowOff>
    </xdr:from>
    <xdr:to>
      <xdr:col>19</xdr:col>
      <xdr:colOff>591179</xdr:colOff>
      <xdr:row>59</xdr:row>
      <xdr:rowOff>142881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6019BB-74EC-1A4B-9AED-77DC22AEA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2318" y="6332925"/>
          <a:ext cx="5758693" cy="3254914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0.05913</cdr:x>
      <cdr:y>0.01976</cdr:y>
    </cdr:from>
    <cdr:to>
      <cdr:x>0.1212</cdr:x>
      <cdr:y>0.08346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0958" y="56956"/>
          <a:ext cx="326417" cy="1836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925" b="0" i="0" u="none" strike="noStrike" baseline="0">
              <a:solidFill>
                <a:srgbClr val="000000"/>
              </a:solidFill>
              <a:latin typeface="Source Sans CAIM"/>
              <a:cs typeface="Arial"/>
            </a:rPr>
            <a:t>bp</a:t>
          </a:r>
        </a:p>
      </cdr:txBody>
    </cdr:sp>
  </cdr:relSizeAnchor>
  <cdr:relSizeAnchor xmlns:cdr="http://schemas.openxmlformats.org/drawingml/2006/chartDrawing">
    <cdr:from>
      <cdr:x>0.7583</cdr:x>
      <cdr:y>0.04505</cdr:y>
    </cdr:from>
    <cdr:to>
      <cdr:x>0.94817</cdr:x>
      <cdr:y>0.11045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10095" y="130760"/>
          <a:ext cx="803000" cy="1852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Source Sans CAIM"/>
              <a:cs typeface="Arial"/>
            </a:rPr>
            <a:t>Govt</a:t>
          </a: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900" b="0" i="0" u="none" strike="noStrike" baseline="0">
              <a:solidFill>
                <a:srgbClr val="000000"/>
              </a:solidFill>
              <a:latin typeface="Source Sans CAIM"/>
              <a:cs typeface="Arial"/>
            </a:rPr>
            <a:t>spreads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3174</xdr:colOff>
      <xdr:row>6</xdr:row>
      <xdr:rowOff>152400</xdr:rowOff>
    </xdr:from>
    <xdr:to>
      <xdr:col>19</xdr:col>
      <xdr:colOff>114300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527958</xdr:colOff>
      <xdr:row>39</xdr:row>
      <xdr:rowOff>136072</xdr:rowOff>
    </xdr:from>
    <xdr:to>
      <xdr:col>19</xdr:col>
      <xdr:colOff>457351</xdr:colOff>
      <xdr:row>60</xdr:row>
      <xdr:rowOff>76286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A000B7-EDFB-7163-2734-D52746C5C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8415" y="6291943"/>
          <a:ext cx="5758693" cy="3254914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0.0704</cdr:x>
      <cdr:y>0.01682</cdr:y>
    </cdr:from>
    <cdr:to>
      <cdr:x>0.13247</cdr:x>
      <cdr:y>0.08052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0898" y="50800"/>
          <a:ext cx="262499" cy="18042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925" b="0" i="0" u="none" strike="noStrike" baseline="0">
              <a:solidFill>
                <a:srgbClr val="000000"/>
              </a:solidFill>
              <a:latin typeface="Arial"/>
              <a:cs typeface="Arial"/>
            </a:rPr>
            <a:t>bp</a:t>
          </a:r>
        </a:p>
      </cdr:txBody>
    </cdr:sp>
  </cdr:relSizeAnchor>
  <cdr:relSizeAnchor xmlns:cdr="http://schemas.openxmlformats.org/drawingml/2006/chartDrawing">
    <cdr:from>
      <cdr:x>0.7583</cdr:x>
      <cdr:y>0.04505</cdr:y>
    </cdr:from>
    <cdr:to>
      <cdr:x>0.94817</cdr:x>
      <cdr:y>0.11045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10095" y="130760"/>
          <a:ext cx="803000" cy="1852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Govt spreads</a:t>
          </a:r>
        </a:p>
      </cdr:txBody>
    </cdr:sp>
  </cdr:relSizeAnchor>
</c:userShapes>
</file>

<file path=xl/theme/theme1.xml><?xml version="1.0" encoding="utf-8"?>
<a:theme xmlns:a="http://schemas.openxmlformats.org/drawingml/2006/main" name="CAIM">
  <a:themeElements>
    <a:clrScheme name="CAIM">
      <a:dk1>
        <a:srgbClr val="2C2824"/>
      </a:dk1>
      <a:lt1>
        <a:srgbClr val="FFFFFF"/>
      </a:lt1>
      <a:dk2>
        <a:srgbClr val="D12E28"/>
      </a:dk2>
      <a:lt2>
        <a:srgbClr val="69B578"/>
      </a:lt2>
      <a:accent1>
        <a:srgbClr val="28264B"/>
      </a:accent1>
      <a:accent2>
        <a:srgbClr val="9A221D"/>
      </a:accent2>
      <a:accent3>
        <a:srgbClr val="707070"/>
      </a:accent3>
      <a:accent4>
        <a:srgbClr val="548BE9"/>
      </a:accent4>
      <a:accent5>
        <a:srgbClr val="82ACB3"/>
      </a:accent5>
      <a:accent6>
        <a:srgbClr val="E6BE8A"/>
      </a:accent6>
      <a:hlink>
        <a:srgbClr val="675D54"/>
      </a:hlink>
      <a:folHlink>
        <a:srgbClr val="9E938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23EB-E155-4F8A-B237-23A6606AE3BF}">
  <dimension ref="B2:T76"/>
  <sheetViews>
    <sheetView showGridLines="0" tabSelected="1" zoomScale="85" zoomScaleNormal="85" workbookViewId="0">
      <selection activeCell="O30" sqref="O30"/>
    </sheetView>
  </sheetViews>
  <sheetFormatPr defaultColWidth="9.15234375" defaultRowHeight="12.45"/>
  <cols>
    <col min="1" max="1" width="4.3828125" style="2" customWidth="1"/>
    <col min="2" max="2" width="18.3828125" style="2" customWidth="1"/>
    <col min="3" max="4" width="13" style="2" customWidth="1"/>
    <col min="5" max="10" width="13.3046875" style="2" customWidth="1"/>
    <col min="11" max="16384" width="9.15234375" style="2"/>
  </cols>
  <sheetData>
    <row r="2" spans="2:10">
      <c r="B2" s="7" t="s">
        <v>0</v>
      </c>
      <c r="C2" s="17">
        <v>46324</v>
      </c>
      <c r="D2" s="1"/>
      <c r="E2" s="7" t="s">
        <v>16</v>
      </c>
      <c r="F2" s="20">
        <v>2</v>
      </c>
      <c r="G2" s="1"/>
      <c r="H2" s="20" t="s">
        <v>40</v>
      </c>
      <c r="I2" s="20"/>
      <c r="J2" s="1"/>
    </row>
    <row r="3" spans="2:10">
      <c r="B3" s="7" t="s">
        <v>9</v>
      </c>
      <c r="C3" s="18">
        <v>5</v>
      </c>
      <c r="D3" s="1"/>
      <c r="E3" s="7" t="s">
        <v>17</v>
      </c>
      <c r="F3" s="20">
        <v>12</v>
      </c>
      <c r="G3" s="1" t="s">
        <v>18</v>
      </c>
      <c r="H3" s="1"/>
      <c r="I3" s="1"/>
      <c r="J3" s="1"/>
    </row>
    <row r="4" spans="2:10">
      <c r="B4" s="7" t="s">
        <v>13</v>
      </c>
      <c r="C4" s="17">
        <f>DATE(YEAR(sd)+mat,MONTH(sd),DAY(sd))</f>
        <v>48150</v>
      </c>
      <c r="D4" s="1"/>
      <c r="E4" s="7" t="s">
        <v>19</v>
      </c>
      <c r="F4" s="17">
        <f>DATE(YEAR(sd),MONTH(sd)+Horizon, DAY(sd))</f>
        <v>46689</v>
      </c>
      <c r="G4" s="1"/>
      <c r="H4" s="1"/>
      <c r="I4" s="1"/>
      <c r="J4" s="1"/>
    </row>
    <row r="5" spans="2:10">
      <c r="B5" s="7" t="s">
        <v>1</v>
      </c>
      <c r="C5" s="19">
        <v>5.04</v>
      </c>
      <c r="D5" s="1" t="s">
        <v>14</v>
      </c>
      <c r="H5" s="1"/>
      <c r="I5" s="1"/>
      <c r="J5" s="1"/>
    </row>
    <row r="6" spans="2:10">
      <c r="B6" s="7" t="s">
        <v>31</v>
      </c>
      <c r="C6" s="18">
        <v>25</v>
      </c>
      <c r="D6" s="1" t="s">
        <v>14</v>
      </c>
      <c r="E6" s="1"/>
      <c r="F6" s="1"/>
      <c r="G6" s="1"/>
      <c r="H6" s="1"/>
      <c r="I6" s="1"/>
      <c r="J6" s="1"/>
    </row>
    <row r="7" spans="2:10">
      <c r="B7" s="1"/>
      <c r="C7" s="1"/>
      <c r="D7" s="1"/>
      <c r="E7" s="1"/>
      <c r="F7" s="1"/>
      <c r="G7" s="1"/>
      <c r="H7" s="1"/>
      <c r="I7" s="1"/>
      <c r="J7" s="1"/>
    </row>
    <row r="8" spans="2:10">
      <c r="B8" s="5"/>
      <c r="C8" s="6" t="s">
        <v>12</v>
      </c>
      <c r="D8" s="6" t="s">
        <v>3</v>
      </c>
      <c r="E8" s="6" t="s">
        <v>2</v>
      </c>
      <c r="F8" s="6" t="s">
        <v>4</v>
      </c>
      <c r="G8" s="6" t="s">
        <v>5</v>
      </c>
      <c r="H8" s="6" t="s">
        <v>6</v>
      </c>
      <c r="I8" s="6" t="s">
        <v>7</v>
      </c>
      <c r="J8" s="6" t="s">
        <v>8</v>
      </c>
    </row>
    <row r="9" spans="2:10">
      <c r="B9" s="7" t="s">
        <v>15</v>
      </c>
      <c r="C9" s="21">
        <v>0</v>
      </c>
      <c r="D9" s="22">
        <v>18</v>
      </c>
      <c r="E9" s="22">
        <v>43</v>
      </c>
      <c r="F9" s="22">
        <v>68</v>
      </c>
      <c r="G9" s="22">
        <v>100</v>
      </c>
      <c r="H9" s="22">
        <v>218</v>
      </c>
      <c r="I9" s="22">
        <v>360</v>
      </c>
      <c r="J9" s="22">
        <v>890</v>
      </c>
    </row>
    <row r="10" spans="2:10">
      <c r="B10" s="7" t="s">
        <v>11</v>
      </c>
      <c r="C10" s="9">
        <f t="shared" ref="C10:J10" si="0">PRICE(sd,md,yield/100,(yield+C$9/100)/100,100,freq)</f>
        <v>100.00000000000011</v>
      </c>
      <c r="D10" s="9">
        <f t="shared" si="0"/>
        <v>99.216772693403598</v>
      </c>
      <c r="E10" s="9">
        <f t="shared" si="0"/>
        <v>98.140951908678488</v>
      </c>
      <c r="F10" s="9">
        <f t="shared" si="0"/>
        <v>97.078898730864239</v>
      </c>
      <c r="G10" s="9">
        <f t="shared" si="0"/>
        <v>95.739248579164638</v>
      </c>
      <c r="H10" s="9">
        <f t="shared" si="0"/>
        <v>90.984953182475735</v>
      </c>
      <c r="I10" s="9">
        <f t="shared" si="0"/>
        <v>85.630211061855249</v>
      </c>
      <c r="J10" s="9">
        <f t="shared" si="0"/>
        <v>68.701673318270551</v>
      </c>
    </row>
    <row r="11" spans="2:10">
      <c r="B11" s="7" t="s">
        <v>30</v>
      </c>
      <c r="C11" s="9">
        <f t="shared" ref="C11:J11" si="1">PRICE(hd,md,yield/100, (yield+C$9/100)/100,100, freq)+((1+yield/(freq*100))^freq-1)*Horizon*100/12</f>
        <v>105.10350400000006</v>
      </c>
      <c r="D11" s="9">
        <f t="shared" si="1"/>
        <v>104.46120768572571</v>
      </c>
      <c r="E11" s="9">
        <f t="shared" si="1"/>
        <v>103.57725561828228</v>
      </c>
      <c r="F11" s="9">
        <f t="shared" si="1"/>
        <v>102.70265039427555</v>
      </c>
      <c r="G11" s="9">
        <f t="shared" si="1"/>
        <v>101.59661721762032</v>
      </c>
      <c r="H11" s="9">
        <f t="shared" si="1"/>
        <v>97.645171303087395</v>
      </c>
      <c r="I11" s="9">
        <f t="shared" si="1"/>
        <v>93.143107822691576</v>
      </c>
      <c r="J11" s="9">
        <f t="shared" si="1"/>
        <v>78.500305490968202</v>
      </c>
    </row>
    <row r="12" spans="2:10">
      <c r="B12" s="7" t="s">
        <v>20</v>
      </c>
      <c r="C12" s="9">
        <f t="shared" ref="C12:J12" si="2">100*(C11/C10-1)</f>
        <v>5.1035039999999476</v>
      </c>
      <c r="D12" s="9">
        <f t="shared" si="2"/>
        <v>5.2858350961770162</v>
      </c>
      <c r="E12" s="9">
        <f t="shared" si="2"/>
        <v>5.5392816188112315</v>
      </c>
      <c r="F12" s="9">
        <f t="shared" si="2"/>
        <v>5.792970189126545</v>
      </c>
      <c r="G12" s="9">
        <f t="shared" si="2"/>
        <v>6.1180432532979001</v>
      </c>
      <c r="H12" s="9">
        <f t="shared" si="2"/>
        <v>7.320131392774587</v>
      </c>
      <c r="I12" s="9">
        <f t="shared" si="2"/>
        <v>8.7736520413447927</v>
      </c>
      <c r="J12" s="9">
        <f t="shared" si="2"/>
        <v>14.262581534665175</v>
      </c>
    </row>
    <row r="13" spans="2:10">
      <c r="B13" s="7" t="s">
        <v>22</v>
      </c>
      <c r="C13" s="9"/>
      <c r="D13" s="9">
        <f t="array" ref="D13:J13">TRANSPOSE(J22:J28)</f>
        <v>0</v>
      </c>
      <c r="E13" s="9">
        <v>6.9999999999992291E-4</v>
      </c>
      <c r="F13" s="9">
        <v>1.2999999999999678E-3</v>
      </c>
      <c r="G13" s="9">
        <v>3.0999999999999917E-3</v>
      </c>
      <c r="H13" s="9">
        <v>1.2299999999999978E-2</v>
      </c>
      <c r="I13" s="9">
        <v>3.8700000000000068E-2</v>
      </c>
      <c r="J13" s="9">
        <v>0.13819999999999999</v>
      </c>
    </row>
    <row r="14" spans="2:10">
      <c r="B14" s="16" t="s">
        <v>21</v>
      </c>
      <c r="C14" s="7"/>
      <c r="D14" s="10">
        <f t="shared" ref="D14:J14" si="3">D10*(1+govrtn/100)-((yield*Horizon/12)*(1-D13)+D13*recovery)</f>
        <v>99.240304656482294</v>
      </c>
      <c r="E14" s="10">
        <f t="shared" si="3"/>
        <v>98.095607314975922</v>
      </c>
      <c r="F14" s="10">
        <f t="shared" si="3"/>
        <v>96.967376210749791</v>
      </c>
      <c r="G14" s="10">
        <f t="shared" si="3"/>
        <v>95.523428959972193</v>
      </c>
      <c r="H14" s="10">
        <f t="shared" si="3"/>
        <v>90.342865907541466</v>
      </c>
      <c r="I14" s="10">
        <f t="shared" si="3"/>
        <v>84.187900308605421</v>
      </c>
      <c r="J14" s="10">
        <f t="shared" si="3"/>
        <v>64.409393964135376</v>
      </c>
    </row>
    <row r="15" spans="2:10">
      <c r="B15" s="16" t="s">
        <v>25</v>
      </c>
      <c r="C15" s="7"/>
      <c r="D15" s="10">
        <f t="array" ref="D15:J15">TRANSPOSE(MMULT(MINVERSE(Tmat),TRANSPOSE(pvec)))</f>
        <v>99.344064312360999</v>
      </c>
      <c r="E15" s="10">
        <v>98.246083444090445</v>
      </c>
      <c r="F15" s="10">
        <v>97.175440688342974</v>
      </c>
      <c r="G15" s="10">
        <v>96.081318205171669</v>
      </c>
      <c r="H15" s="10">
        <v>91.491312329782403</v>
      </c>
      <c r="I15" s="10">
        <v>87.780727277435702</v>
      </c>
      <c r="J15" s="10">
        <v>73.310224812751073</v>
      </c>
    </row>
    <row r="16" spans="2:10">
      <c r="B16" s="7" t="s">
        <v>27</v>
      </c>
      <c r="C16" s="7"/>
      <c r="D16" s="10">
        <f t="shared" ref="D16:J16" si="4">100*YIELD(hd,md,yield/100,D$15,100,freq)</f>
        <v>5.223837355296693</v>
      </c>
      <c r="E16" s="10">
        <f t="shared" si="4"/>
        <v>5.5348221369786437</v>
      </c>
      <c r="F16" s="10">
        <f t="shared" si="4"/>
        <v>5.8420746306849622</v>
      </c>
      <c r="G16" s="10">
        <f t="shared" si="4"/>
        <v>6.16025959353827</v>
      </c>
      <c r="H16" s="10">
        <f t="shared" si="4"/>
        <v>7.5438016330392568</v>
      </c>
      <c r="I16" s="10">
        <f t="shared" si="4"/>
        <v>8.7242790753796715</v>
      </c>
      <c r="J16" s="10">
        <f t="shared" si="4"/>
        <v>13.975029075627788</v>
      </c>
    </row>
    <row r="17" spans="2:14">
      <c r="B17" s="7" t="s">
        <v>26</v>
      </c>
      <c r="C17" s="7"/>
      <c r="D17" s="8">
        <f t="shared" ref="D17:J17" si="5">100*(D16-yield)</f>
        <v>18.383735529669298</v>
      </c>
      <c r="E17" s="8">
        <f t="shared" si="5"/>
        <v>49.482213697864367</v>
      </c>
      <c r="F17" s="8">
        <f t="shared" si="5"/>
        <v>80.207463068496224</v>
      </c>
      <c r="G17" s="8">
        <f t="shared" si="5"/>
        <v>112.02595935382701</v>
      </c>
      <c r="H17" s="8">
        <f t="shared" si="5"/>
        <v>250.38016330392568</v>
      </c>
      <c r="I17" s="8">
        <f t="shared" si="5"/>
        <v>368.42790753796714</v>
      </c>
      <c r="J17" s="8">
        <f t="shared" si="5"/>
        <v>893.50290756277889</v>
      </c>
    </row>
    <row r="18" spans="2:14">
      <c r="B18" s="7" t="s">
        <v>33</v>
      </c>
      <c r="C18" s="7"/>
      <c r="D18" s="11">
        <f t="shared" ref="D18:J18" si="6">D17-D9</f>
        <v>0.38373552966929836</v>
      </c>
      <c r="E18" s="11">
        <f t="shared" si="6"/>
        <v>6.482213697864367</v>
      </c>
      <c r="F18" s="11">
        <f t="shared" si="6"/>
        <v>12.207463068496224</v>
      </c>
      <c r="G18" s="11">
        <f t="shared" si="6"/>
        <v>12.025959353827005</v>
      </c>
      <c r="H18" s="11">
        <f t="shared" si="6"/>
        <v>32.380163303925684</v>
      </c>
      <c r="I18" s="11">
        <f t="shared" si="6"/>
        <v>8.427907537967144</v>
      </c>
      <c r="J18" s="11">
        <f t="shared" si="6"/>
        <v>3.502907562778887</v>
      </c>
    </row>
    <row r="19" spans="2:14">
      <c r="B19" s="1"/>
      <c r="C19" s="1"/>
      <c r="D19" s="1"/>
      <c r="E19" s="1"/>
      <c r="F19" s="1"/>
      <c r="G19" s="1"/>
      <c r="H19" s="1"/>
      <c r="I19" s="1"/>
      <c r="J19" s="1"/>
    </row>
    <row r="20" spans="2:14">
      <c r="B20" s="1" t="s">
        <v>23</v>
      </c>
      <c r="C20" s="1"/>
      <c r="D20" s="1"/>
      <c r="E20" s="1"/>
      <c r="F20" s="1"/>
      <c r="G20" s="1"/>
      <c r="H20" s="1"/>
      <c r="I20" s="1"/>
      <c r="J20" s="1"/>
    </row>
    <row r="21" spans="2:14">
      <c r="B21" s="5"/>
      <c r="C21" s="6" t="s">
        <v>3</v>
      </c>
      <c r="D21" s="6" t="s">
        <v>2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10</v>
      </c>
    </row>
    <row r="22" spans="2:14">
      <c r="B22" s="5" t="s">
        <v>3</v>
      </c>
      <c r="C22" s="12">
        <f>1-SUM(D22:J22)</f>
        <v>0.92179999999999995</v>
      </c>
      <c r="D22" s="12">
        <f t="shared" ref="D22:J22" si="7">D33*Horizon/12</f>
        <v>6.5100000000000005E-2</v>
      </c>
      <c r="E22" s="12">
        <f t="shared" si="7"/>
        <v>1.04E-2</v>
      </c>
      <c r="F22" s="12">
        <f t="shared" si="7"/>
        <v>2.5000000000000001E-3</v>
      </c>
      <c r="G22" s="12">
        <f t="shared" si="7"/>
        <v>2.0000000000000001E-4</v>
      </c>
      <c r="H22" s="12">
        <f t="shared" si="7"/>
        <v>0</v>
      </c>
      <c r="I22" s="12">
        <f t="shared" si="7"/>
        <v>0</v>
      </c>
      <c r="J22" s="12">
        <f t="shared" si="7"/>
        <v>0</v>
      </c>
    </row>
    <row r="23" spans="2:14">
      <c r="B23" s="5" t="s">
        <v>2</v>
      </c>
      <c r="C23" s="12">
        <f t="shared" ref="C23:C28" si="8">C34*Horizon/12</f>
        <v>1.29E-2</v>
      </c>
      <c r="D23" s="12">
        <f>1-(SUM($C23:C23)+SUM(E23:$J23))</f>
        <v>0.91620000000000013</v>
      </c>
      <c r="E23" s="12">
        <f t="shared" ref="E23:J23" si="9">E34*Horizon/12</f>
        <v>6.1100000000000008E-2</v>
      </c>
      <c r="F23" s="12">
        <f t="shared" si="9"/>
        <v>7.0000000000000001E-3</v>
      </c>
      <c r="G23" s="12">
        <f t="shared" si="9"/>
        <v>1.8000000000000002E-3</v>
      </c>
      <c r="H23" s="12">
        <f>H34*Horizon/12</f>
        <v>2.9999999999999997E-4</v>
      </c>
      <c r="I23" s="12">
        <f t="shared" si="9"/>
        <v>0</v>
      </c>
      <c r="J23" s="12">
        <f t="shared" si="9"/>
        <v>6.9999999999992291E-4</v>
      </c>
    </row>
    <row r="24" spans="2:14">
      <c r="B24" s="5" t="s">
        <v>4</v>
      </c>
      <c r="C24" s="12">
        <f t="shared" si="8"/>
        <v>8.0000000000000004E-4</v>
      </c>
      <c r="D24" s="12">
        <f>D35*Horizon/12</f>
        <v>2.5000000000000005E-2</v>
      </c>
      <c r="E24" s="12">
        <f>1-(SUM($C24:D24)+SUM(F24:$J24))</f>
        <v>0.91360000000000008</v>
      </c>
      <c r="F24" s="12">
        <f>F35*Horizon/12</f>
        <v>5.11E-2</v>
      </c>
      <c r="G24" s="12">
        <f>G35*Horizon/12</f>
        <v>6.8999999999999999E-3</v>
      </c>
      <c r="H24" s="12">
        <f>H35*Horizon/12</f>
        <v>1.1000000000000001E-3</v>
      </c>
      <c r="I24" s="12">
        <f t="shared" ref="I24:J27" si="10">I35*Horizon/12</f>
        <v>2.0000000000000001E-4</v>
      </c>
      <c r="J24" s="12">
        <f t="shared" si="10"/>
        <v>1.2999999999999678E-3</v>
      </c>
    </row>
    <row r="25" spans="2:14">
      <c r="B25" s="5" t="s">
        <v>5</v>
      </c>
      <c r="C25" s="12">
        <f t="shared" si="8"/>
        <v>4.0000000000000002E-4</v>
      </c>
      <c r="D25" s="12">
        <f>D36*Horizon/12</f>
        <v>2.6999999999999997E-3</v>
      </c>
      <c r="E25" s="12">
        <f>E36*Horizon/12</f>
        <v>4.2199999999999994E-2</v>
      </c>
      <c r="F25" s="12">
        <f>1-(SUM($C25:E25)+SUM(G25:$J25))</f>
        <v>0.89160000000000006</v>
      </c>
      <c r="G25" s="12">
        <f>G36*Horizon/12</f>
        <v>5.2499999999999998E-2</v>
      </c>
      <c r="H25" s="12">
        <f>H36*Horizon/12</f>
        <v>6.7999999999999996E-3</v>
      </c>
      <c r="I25" s="12">
        <f t="shared" si="10"/>
        <v>6.9999999999999999E-4</v>
      </c>
      <c r="J25" s="12">
        <f t="shared" si="10"/>
        <v>3.0999999999999917E-3</v>
      </c>
    </row>
    <row r="26" spans="2:14">
      <c r="B26" s="5" t="s">
        <v>6</v>
      </c>
      <c r="C26" s="12">
        <f t="shared" si="8"/>
        <v>2.0000000000000001E-4</v>
      </c>
      <c r="D26" s="12">
        <f>D37*Horizon/12</f>
        <v>9.0000000000000008E-4</v>
      </c>
      <c r="E26" s="12">
        <f>E37*Horizon/12</f>
        <v>4.4000000000000003E-3</v>
      </c>
      <c r="F26" s="12">
        <f>F37*Horizon/12</f>
        <v>5.11E-2</v>
      </c>
      <c r="G26" s="12">
        <f>1-(SUM($C26:F26)+SUM(H26:$J26))</f>
        <v>0.87080000000000002</v>
      </c>
      <c r="H26" s="12">
        <f>H37*Horizon/12</f>
        <v>5.57E-2</v>
      </c>
      <c r="I26" s="12">
        <f t="shared" si="10"/>
        <v>4.5999999999999999E-3</v>
      </c>
      <c r="J26" s="12">
        <f t="shared" si="10"/>
        <v>1.2299999999999978E-2</v>
      </c>
    </row>
    <row r="27" spans="2:14">
      <c r="B27" s="5" t="s">
        <v>7</v>
      </c>
      <c r="C27" s="12">
        <f t="shared" si="8"/>
        <v>0</v>
      </c>
      <c r="D27" s="12">
        <f>D38*Horizon/12</f>
        <v>4.0000000000000002E-4</v>
      </c>
      <c r="E27" s="12">
        <f>E38*Horizon/12</f>
        <v>1.4E-3</v>
      </c>
      <c r="F27" s="12">
        <f>F38*Horizon/12</f>
        <v>6.8999999999999999E-3</v>
      </c>
      <c r="G27" s="12">
        <f>G38*Horizon/12</f>
        <v>6.5199999999999994E-2</v>
      </c>
      <c r="H27" s="12">
        <f>1-(SUM($C27:G27)+SUM(I27:$J27))</f>
        <v>0.85199999999999987</v>
      </c>
      <c r="I27" s="12">
        <f t="shared" si="10"/>
        <v>3.5400000000000001E-2</v>
      </c>
      <c r="J27" s="12">
        <f t="shared" si="10"/>
        <v>3.8700000000000068E-2</v>
      </c>
      <c r="L27" s="15" t="s">
        <v>34</v>
      </c>
    </row>
    <row r="28" spans="2:14">
      <c r="B28" s="5" t="s">
        <v>8</v>
      </c>
      <c r="C28" s="12">
        <f t="shared" si="8"/>
        <v>0</v>
      </c>
      <c r="D28" s="12">
        <f>D39*Horizon/12</f>
        <v>2.0000000000000001E-4</v>
      </c>
      <c r="E28" s="12">
        <f>E39*Horizon/12</f>
        <v>4.0000000000000002E-4</v>
      </c>
      <c r="F28" s="12">
        <f>F39*Horizon/12</f>
        <v>3.7000000000000002E-3</v>
      </c>
      <c r="G28" s="12">
        <f>G39*Horizon/12</f>
        <v>1.4500000000000001E-2</v>
      </c>
      <c r="H28" s="12">
        <f>H39*Horizon/12</f>
        <v>0.06</v>
      </c>
      <c r="I28" s="12">
        <f>1-(SUM($C28:H28)+SUM(J28:$J28))</f>
        <v>0.78300000000000003</v>
      </c>
      <c r="J28" s="12">
        <f>J39*Horizon/12</f>
        <v>0.13819999999999999</v>
      </c>
      <c r="L28" s="2" t="s">
        <v>35</v>
      </c>
      <c r="N28" s="3">
        <f>F11/G10-1</f>
        <v>7.2732990058440139E-2</v>
      </c>
    </row>
    <row r="29" spans="2:14">
      <c r="B29" s="5" t="s">
        <v>10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1</v>
      </c>
      <c r="L29" s="2" t="s">
        <v>36</v>
      </c>
      <c r="N29" s="3">
        <f>E11/G10-1</f>
        <v>8.1868274040573619E-2</v>
      </c>
    </row>
    <row r="30" spans="2:14">
      <c r="L30" s="2" t="s">
        <v>37</v>
      </c>
      <c r="N30" s="3">
        <f>G11/G10-1</f>
        <v>6.1180432532979001E-2</v>
      </c>
    </row>
    <row r="31" spans="2:14">
      <c r="B31" s="2" t="s">
        <v>24</v>
      </c>
      <c r="L31" s="2" t="s">
        <v>38</v>
      </c>
      <c r="N31" s="3">
        <f>H11/G10-1</f>
        <v>1.990743349470514E-2</v>
      </c>
    </row>
    <row r="32" spans="2:14">
      <c r="B32" s="5"/>
      <c r="C32" s="6" t="s">
        <v>3</v>
      </c>
      <c r="D32" s="6" t="s">
        <v>2</v>
      </c>
      <c r="E32" s="6" t="s">
        <v>4</v>
      </c>
      <c r="F32" s="6" t="s">
        <v>5</v>
      </c>
      <c r="G32" s="6" t="s">
        <v>6</v>
      </c>
      <c r="H32" s="6" t="s">
        <v>7</v>
      </c>
      <c r="I32" s="6" t="s">
        <v>8</v>
      </c>
      <c r="J32" s="6" t="s">
        <v>10</v>
      </c>
    </row>
    <row r="33" spans="2:20">
      <c r="B33" s="5" t="s">
        <v>3</v>
      </c>
      <c r="C33" s="12">
        <v>0.92179999999999995</v>
      </c>
      <c r="D33" s="12">
        <v>6.5100000000000005E-2</v>
      </c>
      <c r="E33" s="12">
        <v>1.04E-2</v>
      </c>
      <c r="F33" s="12">
        <v>2.5000000000000001E-3</v>
      </c>
      <c r="G33" s="12">
        <v>2.0000000000000001E-4</v>
      </c>
      <c r="H33" s="12">
        <v>0</v>
      </c>
      <c r="I33" s="12">
        <v>0</v>
      </c>
      <c r="J33" s="12">
        <v>0</v>
      </c>
    </row>
    <row r="34" spans="2:20">
      <c r="B34" s="5" t="s">
        <v>2</v>
      </c>
      <c r="C34" s="12">
        <v>1.29E-2</v>
      </c>
      <c r="D34" s="12">
        <v>0.91620000000000001</v>
      </c>
      <c r="E34" s="12">
        <v>6.1100000000000002E-2</v>
      </c>
      <c r="F34" s="12">
        <v>7.0000000000000001E-3</v>
      </c>
      <c r="G34" s="12">
        <v>1.8E-3</v>
      </c>
      <c r="H34" s="12">
        <v>2.9999999999999997E-4</v>
      </c>
      <c r="I34" s="12">
        <v>0</v>
      </c>
      <c r="J34" s="12">
        <v>6.9999999999992291E-4</v>
      </c>
    </row>
    <row r="35" spans="2:20">
      <c r="B35" s="5" t="s">
        <v>4</v>
      </c>
      <c r="C35" s="12">
        <v>8.0000000000000004E-4</v>
      </c>
      <c r="D35" s="12">
        <v>2.5000000000000001E-2</v>
      </c>
      <c r="E35" s="12">
        <v>0.91359999999999997</v>
      </c>
      <c r="F35" s="12">
        <v>5.11E-2</v>
      </c>
      <c r="G35" s="12">
        <v>6.8999999999999999E-3</v>
      </c>
      <c r="H35" s="12">
        <v>1.1000000000000001E-3</v>
      </c>
      <c r="I35" s="12">
        <v>2.0000000000000001E-4</v>
      </c>
      <c r="J35" s="12">
        <v>1.2999999999999678E-3</v>
      </c>
      <c r="M35" s="4"/>
      <c r="N35" s="6" t="s">
        <v>3</v>
      </c>
      <c r="O35" s="6" t="s">
        <v>2</v>
      </c>
      <c r="P35" s="6" t="s">
        <v>4</v>
      </c>
      <c r="Q35" s="6" t="s">
        <v>5</v>
      </c>
      <c r="R35" s="6" t="s">
        <v>6</v>
      </c>
      <c r="S35" s="6" t="s">
        <v>7</v>
      </c>
      <c r="T35" s="6" t="s">
        <v>8</v>
      </c>
    </row>
    <row r="36" spans="2:20">
      <c r="B36" s="5" t="s">
        <v>5</v>
      </c>
      <c r="C36" s="12">
        <v>4.0000000000000002E-4</v>
      </c>
      <c r="D36" s="12">
        <v>2.7000000000000001E-3</v>
      </c>
      <c r="E36" s="12">
        <v>4.2200000000000001E-2</v>
      </c>
      <c r="F36" s="12">
        <v>0.89159999999999995</v>
      </c>
      <c r="G36" s="12">
        <v>5.2499999999999998E-2</v>
      </c>
      <c r="H36" s="12">
        <v>6.7999999999999996E-3</v>
      </c>
      <c r="I36" s="12">
        <v>6.9999999999999999E-4</v>
      </c>
      <c r="J36" s="12">
        <v>3.0999999999999917E-3</v>
      </c>
      <c r="L36" s="2" t="s">
        <v>15</v>
      </c>
      <c r="N36" s="14">
        <f>D9</f>
        <v>18</v>
      </c>
      <c r="O36" s="14">
        <f t="shared" ref="O36:T36" si="11">E9</f>
        <v>43</v>
      </c>
      <c r="P36" s="14">
        <f t="shared" si="11"/>
        <v>68</v>
      </c>
      <c r="Q36" s="14">
        <f t="shared" si="11"/>
        <v>100</v>
      </c>
      <c r="R36" s="14">
        <f t="shared" si="11"/>
        <v>218</v>
      </c>
      <c r="S36" s="14">
        <f t="shared" si="11"/>
        <v>360</v>
      </c>
      <c r="T36" s="14">
        <f t="shared" si="11"/>
        <v>890</v>
      </c>
    </row>
    <row r="37" spans="2:20">
      <c r="B37" s="5" t="s">
        <v>6</v>
      </c>
      <c r="C37" s="12">
        <v>2.0000000000000001E-4</v>
      </c>
      <c r="D37" s="12">
        <v>8.9999999999999998E-4</v>
      </c>
      <c r="E37" s="12">
        <v>4.4000000000000003E-3</v>
      </c>
      <c r="F37" s="12">
        <v>5.11E-2</v>
      </c>
      <c r="G37" s="12">
        <v>0.87080000000000002</v>
      </c>
      <c r="H37" s="12">
        <v>5.57E-2</v>
      </c>
      <c r="I37" s="12">
        <v>4.5999999999999999E-3</v>
      </c>
      <c r="J37" s="12">
        <v>1.2299999999999978E-2</v>
      </c>
      <c r="L37" s="2" t="s">
        <v>26</v>
      </c>
      <c r="N37" s="8">
        <f>D17</f>
        <v>18.383735529669298</v>
      </c>
      <c r="O37" s="8">
        <f t="shared" ref="O37:T38" si="12">E17</f>
        <v>49.482213697864367</v>
      </c>
      <c r="P37" s="8">
        <f t="shared" si="12"/>
        <v>80.207463068496224</v>
      </c>
      <c r="Q37" s="8">
        <f t="shared" si="12"/>
        <v>112.02595935382701</v>
      </c>
      <c r="R37" s="8">
        <f t="shared" si="12"/>
        <v>250.38016330392568</v>
      </c>
      <c r="S37" s="8">
        <f t="shared" si="12"/>
        <v>368.42790753796714</v>
      </c>
      <c r="T37" s="8">
        <f t="shared" si="12"/>
        <v>893.50290756277889</v>
      </c>
    </row>
    <row r="38" spans="2:20">
      <c r="B38" s="5" t="s">
        <v>7</v>
      </c>
      <c r="C38" s="12">
        <v>0</v>
      </c>
      <c r="D38" s="12">
        <v>4.0000000000000002E-4</v>
      </c>
      <c r="E38" s="12">
        <v>1.4E-3</v>
      </c>
      <c r="F38" s="12">
        <v>6.8999999999999999E-3</v>
      </c>
      <c r="G38" s="12">
        <v>6.5199999999999994E-2</v>
      </c>
      <c r="H38" s="12">
        <v>0.85199999999999998</v>
      </c>
      <c r="I38" s="12">
        <v>3.5400000000000001E-2</v>
      </c>
      <c r="J38" s="12">
        <v>3.8700000000000068E-2</v>
      </c>
      <c r="L38" s="2" t="s">
        <v>33</v>
      </c>
      <c r="N38" s="11">
        <f>D18</f>
        <v>0.38373552966929836</v>
      </c>
      <c r="O38" s="11">
        <f t="shared" si="12"/>
        <v>6.482213697864367</v>
      </c>
      <c r="P38" s="11">
        <f t="shared" si="12"/>
        <v>12.207463068496224</v>
      </c>
      <c r="Q38" s="11">
        <f t="shared" si="12"/>
        <v>12.025959353827005</v>
      </c>
      <c r="R38" s="11">
        <f t="shared" si="12"/>
        <v>32.380163303925684</v>
      </c>
      <c r="S38" s="11">
        <f t="shared" si="12"/>
        <v>8.427907537967144</v>
      </c>
      <c r="T38" s="11">
        <f t="shared" si="12"/>
        <v>3.502907562778887</v>
      </c>
    </row>
    <row r="39" spans="2:20">
      <c r="B39" s="5" t="s">
        <v>8</v>
      </c>
      <c r="C39" s="12">
        <v>0</v>
      </c>
      <c r="D39" s="12">
        <v>2.0000000000000001E-4</v>
      </c>
      <c r="E39" s="12">
        <v>4.0000000000000002E-4</v>
      </c>
      <c r="F39" s="12">
        <v>3.7000000000000002E-3</v>
      </c>
      <c r="G39" s="12">
        <v>1.4500000000000001E-2</v>
      </c>
      <c r="H39" s="12">
        <v>0.06</v>
      </c>
      <c r="I39" s="12">
        <v>0.78300000000000003</v>
      </c>
      <c r="J39" s="12">
        <v>0.13819999999999999</v>
      </c>
    </row>
    <row r="40" spans="2:20">
      <c r="B40" s="5" t="s">
        <v>10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f t="shared" ref="J40" si="13">1-SUM(C40:I40)</f>
        <v>1</v>
      </c>
    </row>
    <row r="42" spans="2:20">
      <c r="B42" s="5" t="s">
        <v>28</v>
      </c>
      <c r="C42" s="6" t="s">
        <v>3</v>
      </c>
      <c r="D42" s="6" t="s">
        <v>2</v>
      </c>
      <c r="E42" s="6" t="s">
        <v>4</v>
      </c>
      <c r="F42" s="6" t="s">
        <v>5</v>
      </c>
      <c r="G42" s="6" t="s">
        <v>6</v>
      </c>
      <c r="H42" s="6" t="s">
        <v>7</v>
      </c>
      <c r="I42" s="6" t="s">
        <v>8</v>
      </c>
      <c r="J42" s="6" t="s">
        <v>10</v>
      </c>
    </row>
    <row r="43" spans="2:20">
      <c r="B43" s="5" t="s">
        <v>3</v>
      </c>
      <c r="C43" s="12">
        <v>0.92179999999999995</v>
      </c>
      <c r="D43" s="12">
        <v>6.5100000000000005E-2</v>
      </c>
      <c r="E43" s="12">
        <v>1.04E-2</v>
      </c>
      <c r="F43" s="12">
        <v>2.5000000000000001E-3</v>
      </c>
      <c r="G43" s="12">
        <v>2.0000000000000001E-4</v>
      </c>
      <c r="H43" s="12">
        <v>0</v>
      </c>
      <c r="I43" s="12">
        <v>0</v>
      </c>
      <c r="J43" s="12">
        <f t="shared" ref="J43:J49" si="14">1-SUM(C43:I43)</f>
        <v>0</v>
      </c>
    </row>
    <row r="44" spans="2:20">
      <c r="B44" s="5" t="s">
        <v>2</v>
      </c>
      <c r="C44" s="12">
        <v>1.29E-2</v>
      </c>
      <c r="D44" s="12">
        <v>0.91620000000000001</v>
      </c>
      <c r="E44" s="12">
        <v>6.1100000000000002E-2</v>
      </c>
      <c r="F44" s="12">
        <v>7.0000000000000001E-3</v>
      </c>
      <c r="G44" s="12">
        <v>1.8E-3</v>
      </c>
      <c r="H44" s="12">
        <v>2.9999999999999997E-4</v>
      </c>
      <c r="I44" s="12">
        <v>0</v>
      </c>
      <c r="J44" s="12">
        <f t="shared" si="14"/>
        <v>6.9999999999992291E-4</v>
      </c>
    </row>
    <row r="45" spans="2:20">
      <c r="B45" s="5" t="s">
        <v>4</v>
      </c>
      <c r="C45" s="12">
        <v>8.0000000000000004E-4</v>
      </c>
      <c r="D45" s="12">
        <v>2.5000000000000001E-2</v>
      </c>
      <c r="E45" s="12">
        <v>0.91359999999999997</v>
      </c>
      <c r="F45" s="12">
        <v>5.11E-2</v>
      </c>
      <c r="G45" s="12">
        <v>6.8999999999999999E-3</v>
      </c>
      <c r="H45" s="12">
        <v>1.1000000000000001E-3</v>
      </c>
      <c r="I45" s="12">
        <v>2.0000000000000001E-4</v>
      </c>
      <c r="J45" s="12">
        <f t="shared" si="14"/>
        <v>1.2999999999999678E-3</v>
      </c>
    </row>
    <row r="46" spans="2:20">
      <c r="B46" s="5" t="s">
        <v>5</v>
      </c>
      <c r="C46" s="12">
        <v>4.0000000000000002E-4</v>
      </c>
      <c r="D46" s="12">
        <v>2.7000000000000001E-3</v>
      </c>
      <c r="E46" s="12">
        <v>4.2200000000000001E-2</v>
      </c>
      <c r="F46" s="12">
        <v>0.89159999999999995</v>
      </c>
      <c r="G46" s="12">
        <v>5.2499999999999998E-2</v>
      </c>
      <c r="H46" s="12">
        <v>6.7999999999999996E-3</v>
      </c>
      <c r="I46" s="12">
        <v>6.9999999999999999E-4</v>
      </c>
      <c r="J46" s="12">
        <f t="shared" si="14"/>
        <v>3.0999999999999917E-3</v>
      </c>
    </row>
    <row r="47" spans="2:20">
      <c r="B47" s="5" t="s">
        <v>6</v>
      </c>
      <c r="C47" s="12">
        <v>2.0000000000000001E-4</v>
      </c>
      <c r="D47" s="12">
        <v>8.9999999999999998E-4</v>
      </c>
      <c r="E47" s="12">
        <v>4.4000000000000003E-3</v>
      </c>
      <c r="F47" s="12">
        <v>5.11E-2</v>
      </c>
      <c r="G47" s="12">
        <v>0.87080000000000002</v>
      </c>
      <c r="H47" s="12">
        <v>5.57E-2</v>
      </c>
      <c r="I47" s="12">
        <v>4.5999999999999999E-3</v>
      </c>
      <c r="J47" s="12">
        <f t="shared" si="14"/>
        <v>1.2299999999999978E-2</v>
      </c>
    </row>
    <row r="48" spans="2:20">
      <c r="B48" s="5" t="s">
        <v>7</v>
      </c>
      <c r="C48" s="12">
        <v>0</v>
      </c>
      <c r="D48" s="12">
        <v>4.0000000000000002E-4</v>
      </c>
      <c r="E48" s="12">
        <v>1.4E-3</v>
      </c>
      <c r="F48" s="12">
        <v>6.8999999999999999E-3</v>
      </c>
      <c r="G48" s="12">
        <v>6.5199999999999994E-2</v>
      </c>
      <c r="H48" s="12">
        <v>0.85199999999999998</v>
      </c>
      <c r="I48" s="12">
        <v>3.5400000000000001E-2</v>
      </c>
      <c r="J48" s="12">
        <f t="shared" si="14"/>
        <v>3.8700000000000068E-2</v>
      </c>
    </row>
    <row r="49" spans="2:10">
      <c r="B49" s="5" t="s">
        <v>8</v>
      </c>
      <c r="C49" s="12">
        <v>0</v>
      </c>
      <c r="D49" s="12">
        <v>2.0000000000000001E-4</v>
      </c>
      <c r="E49" s="12">
        <v>4.0000000000000002E-4</v>
      </c>
      <c r="F49" s="12">
        <v>3.7000000000000002E-3</v>
      </c>
      <c r="G49" s="12">
        <v>1.4500000000000001E-2</v>
      </c>
      <c r="H49" s="12">
        <v>0.06</v>
      </c>
      <c r="I49" s="12">
        <v>0.78300000000000003</v>
      </c>
      <c r="J49" s="12">
        <f t="shared" si="14"/>
        <v>0.13819999999999999</v>
      </c>
    </row>
    <row r="50" spans="2:10">
      <c r="B50" s="5"/>
      <c r="C50" s="13"/>
      <c r="D50" s="13"/>
      <c r="E50" s="13"/>
      <c r="F50" s="13"/>
      <c r="G50" s="13"/>
      <c r="H50" s="13"/>
      <c r="I50" s="13"/>
      <c r="J50" s="13"/>
    </row>
    <row r="51" spans="2:10">
      <c r="B51" s="5" t="s">
        <v>32</v>
      </c>
      <c r="C51" s="6" t="s">
        <v>3</v>
      </c>
      <c r="D51" s="6" t="s">
        <v>2</v>
      </c>
      <c r="E51" s="6" t="s">
        <v>4</v>
      </c>
      <c r="F51" s="6" t="s">
        <v>5</v>
      </c>
      <c r="G51" s="6" t="s">
        <v>6</v>
      </c>
      <c r="H51" s="6" t="s">
        <v>7</v>
      </c>
      <c r="I51" s="6" t="s">
        <v>8</v>
      </c>
      <c r="J51" s="6" t="s">
        <v>10</v>
      </c>
    </row>
    <row r="52" spans="2:10">
      <c r="B52" s="5" t="s">
        <v>3</v>
      </c>
      <c r="C52" s="12">
        <v>0.91400625897274368</v>
      </c>
      <c r="D52" s="12">
        <v>7.8681277821960119E-2</v>
      </c>
      <c r="E52" s="12">
        <v>6.7134196093822616E-3</v>
      </c>
      <c r="F52" s="12">
        <v>2.6853678437529046E-4</v>
      </c>
      <c r="G52" s="12">
        <v>2.8919346009646666E-4</v>
      </c>
      <c r="H52" s="12">
        <v>2.0656675721176191E-5</v>
      </c>
      <c r="I52" s="12">
        <v>2.0656675721176191E-5</v>
      </c>
      <c r="J52" s="12">
        <f t="shared" ref="J52:J58" si="15">1-SUM(C52:I52)</f>
        <v>0</v>
      </c>
    </row>
    <row r="53" spans="2:10">
      <c r="B53" s="5" t="s">
        <v>2</v>
      </c>
      <c r="C53" s="12">
        <v>1.0984975658888703E-2</v>
      </c>
      <c r="D53" s="12">
        <v>0.91087166358905491</v>
      </c>
      <c r="E53" s="12">
        <v>7.4250881316098707E-2</v>
      </c>
      <c r="F53" s="12">
        <v>3.0216551955682394E-3</v>
      </c>
      <c r="G53" s="12">
        <v>4.4065804935370159E-4</v>
      </c>
      <c r="H53" s="12">
        <v>1.6786973308712441E-4</v>
      </c>
      <c r="I53" s="12">
        <v>9.4426724861507494E-5</v>
      </c>
      <c r="J53" s="12">
        <f t="shared" si="15"/>
        <v>1.6786973308724473E-4</v>
      </c>
    </row>
    <row r="54" spans="2:10">
      <c r="B54" s="5" t="s">
        <v>4</v>
      </c>
      <c r="C54" s="12">
        <v>6.893166365525813E-4</v>
      </c>
      <c r="D54" s="12">
        <v>2.9577950222983485E-2</v>
      </c>
      <c r="E54" s="12">
        <v>0.91150636573469668</v>
      </c>
      <c r="F54" s="12">
        <v>5.1813633847535699E-2</v>
      </c>
      <c r="G54" s="12">
        <v>4.9401025619601651E-3</v>
      </c>
      <c r="H54" s="12">
        <v>8.9820046581093912E-4</v>
      </c>
      <c r="I54" s="12">
        <v>3.2376993535045481E-4</v>
      </c>
      <c r="J54" s="12">
        <f t="shared" si="15"/>
        <v>2.5066059511003047E-4</v>
      </c>
    </row>
    <row r="55" spans="2:10">
      <c r="B55" s="5" t="s">
        <v>5</v>
      </c>
      <c r="C55" s="12">
        <v>4.5389771467778536E-4</v>
      </c>
      <c r="D55" s="12">
        <v>2.0161503140338839E-3</v>
      </c>
      <c r="E55" s="12">
        <v>5.0519871219718154E-2</v>
      </c>
      <c r="F55" s="12">
        <v>0.8907162083707183</v>
      </c>
      <c r="G55" s="12">
        <v>4.3964743758906424E-2</v>
      </c>
      <c r="H55" s="12">
        <v>8.244049189845358E-3</v>
      </c>
      <c r="I55" s="12">
        <v>2.3644904206470683E-3</v>
      </c>
      <c r="J55" s="12">
        <f t="shared" si="15"/>
        <v>1.7205890114531108E-3</v>
      </c>
    </row>
    <row r="56" spans="2:10">
      <c r="B56" s="5" t="s">
        <v>6</v>
      </c>
      <c r="C56" s="12">
        <v>8.7955582430872419E-5</v>
      </c>
      <c r="D56" s="12">
        <v>6.1568907701610692E-4</v>
      </c>
      <c r="E56" s="12">
        <v>4.3428068825243256E-3</v>
      </c>
      <c r="F56" s="12">
        <v>6.2426474630311701E-2</v>
      </c>
      <c r="G56" s="12">
        <v>0.83617173327469629</v>
      </c>
      <c r="H56" s="12">
        <v>7.7730745973283499E-2</v>
      </c>
      <c r="I56" s="12">
        <v>6.7066131603540228E-3</v>
      </c>
      <c r="J56" s="12">
        <f t="shared" si="15"/>
        <v>1.1917981419383161E-2</v>
      </c>
    </row>
    <row r="57" spans="2:10">
      <c r="B57" s="5" t="s">
        <v>7</v>
      </c>
      <c r="C57" s="12">
        <v>1.2307554600787685E-4</v>
      </c>
      <c r="D57" s="12">
        <v>4.1398138202649481E-4</v>
      </c>
      <c r="E57" s="12">
        <v>1.488095238095238E-3</v>
      </c>
      <c r="F57" s="12">
        <v>3.8712853562477617E-3</v>
      </c>
      <c r="G57" s="12">
        <v>5.6323845327604725E-2</v>
      </c>
      <c r="H57" s="12">
        <v>0.82729144289294665</v>
      </c>
      <c r="I57" s="12">
        <v>6.3887397064088788E-2</v>
      </c>
      <c r="J57" s="12">
        <f t="shared" si="15"/>
        <v>4.6600877192982448E-2</v>
      </c>
    </row>
    <row r="58" spans="2:10">
      <c r="B58" s="5" t="s">
        <v>8</v>
      </c>
      <c r="C58" s="12">
        <v>0</v>
      </c>
      <c r="D58" s="12">
        <v>1.5360166362417217E-4</v>
      </c>
      <c r="E58" s="12">
        <v>2.1858698284978346E-4</v>
      </c>
      <c r="F58" s="12">
        <v>1.3115218970987008E-3</v>
      </c>
      <c r="G58" s="12">
        <v>4.8148213789884738E-3</v>
      </c>
      <c r="H58" s="12">
        <v>6.9227088244155757E-2</v>
      </c>
      <c r="I58" s="12">
        <v>0.66932515699862349</v>
      </c>
      <c r="J58" s="12">
        <f t="shared" si="15"/>
        <v>0.25494922283465959</v>
      </c>
    </row>
    <row r="59" spans="2:10">
      <c r="B59" s="5"/>
      <c r="C59" s="13"/>
      <c r="D59" s="13"/>
      <c r="E59" s="13"/>
      <c r="F59" s="13"/>
      <c r="G59" s="13"/>
      <c r="H59" s="13"/>
      <c r="I59" s="13"/>
      <c r="J59" s="13"/>
    </row>
    <row r="60" spans="2:10">
      <c r="B60" s="5" t="s">
        <v>29</v>
      </c>
      <c r="C60" s="6" t="s">
        <v>3</v>
      </c>
      <c r="D60" s="6" t="s">
        <v>2</v>
      </c>
      <c r="E60" s="6" t="s">
        <v>4</v>
      </c>
      <c r="F60" s="6" t="s">
        <v>5</v>
      </c>
      <c r="G60" s="6" t="s">
        <v>6</v>
      </c>
      <c r="H60" s="6" t="s">
        <v>7</v>
      </c>
      <c r="I60" s="6" t="s">
        <v>8</v>
      </c>
      <c r="J60" s="6" t="s">
        <v>10</v>
      </c>
    </row>
    <row r="61" spans="2:10">
      <c r="B61" s="5" t="s">
        <v>3</v>
      </c>
      <c r="C61" s="12">
        <v>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f t="shared" ref="J61:J67" si="16">1-SUM(C61:I61)</f>
        <v>0</v>
      </c>
    </row>
    <row r="62" spans="2:10">
      <c r="B62" s="5" t="s">
        <v>2</v>
      </c>
      <c r="C62" s="12">
        <v>0</v>
      </c>
      <c r="D62" s="12">
        <v>1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f t="shared" si="16"/>
        <v>0</v>
      </c>
    </row>
    <row r="63" spans="2:10">
      <c r="B63" s="5" t="s">
        <v>4</v>
      </c>
      <c r="C63" s="12">
        <v>0</v>
      </c>
      <c r="D63" s="12">
        <v>0</v>
      </c>
      <c r="E63" s="12">
        <v>1</v>
      </c>
      <c r="F63" s="12">
        <v>0</v>
      </c>
      <c r="G63" s="12">
        <v>0</v>
      </c>
      <c r="H63" s="12">
        <v>0</v>
      </c>
      <c r="I63" s="12">
        <v>0</v>
      </c>
      <c r="J63" s="12">
        <f t="shared" si="16"/>
        <v>0</v>
      </c>
    </row>
    <row r="64" spans="2:10">
      <c r="B64" s="5" t="s">
        <v>5</v>
      </c>
      <c r="C64" s="12">
        <v>0</v>
      </c>
      <c r="D64" s="12">
        <v>0</v>
      </c>
      <c r="E64" s="12">
        <v>0</v>
      </c>
      <c r="F64" s="12">
        <v>1</v>
      </c>
      <c r="G64" s="12">
        <v>0</v>
      </c>
      <c r="H64" s="12">
        <v>0</v>
      </c>
      <c r="I64" s="12">
        <v>0</v>
      </c>
      <c r="J64" s="12">
        <f t="shared" si="16"/>
        <v>0</v>
      </c>
    </row>
    <row r="65" spans="2:10">
      <c r="B65" s="5" t="s">
        <v>6</v>
      </c>
      <c r="C65" s="12">
        <v>0</v>
      </c>
      <c r="D65" s="12">
        <v>0</v>
      </c>
      <c r="E65" s="12">
        <v>0</v>
      </c>
      <c r="F65" s="12">
        <v>0</v>
      </c>
      <c r="G65" s="12">
        <v>1</v>
      </c>
      <c r="H65" s="12">
        <v>0</v>
      </c>
      <c r="I65" s="12">
        <v>0</v>
      </c>
      <c r="J65" s="12">
        <f t="shared" si="16"/>
        <v>0</v>
      </c>
    </row>
    <row r="66" spans="2:10">
      <c r="B66" s="5" t="s">
        <v>7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1</v>
      </c>
      <c r="I66" s="12">
        <v>0</v>
      </c>
      <c r="J66" s="12">
        <f t="shared" si="16"/>
        <v>0</v>
      </c>
    </row>
    <row r="67" spans="2:10">
      <c r="B67" s="5" t="s">
        <v>8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1</v>
      </c>
      <c r="J67" s="12">
        <f t="shared" si="16"/>
        <v>0</v>
      </c>
    </row>
    <row r="68" spans="2:10">
      <c r="B68" s="5"/>
      <c r="C68" s="13"/>
      <c r="D68" s="13"/>
      <c r="E68" s="13"/>
      <c r="F68" s="13"/>
      <c r="G68" s="13"/>
      <c r="H68" s="13"/>
      <c r="I68" s="13"/>
      <c r="J68" s="13"/>
    </row>
    <row r="69" spans="2:10">
      <c r="B69" s="5" t="s">
        <v>39</v>
      </c>
      <c r="C69" s="6" t="s">
        <v>3</v>
      </c>
      <c r="D69" s="6" t="s">
        <v>2</v>
      </c>
      <c r="E69" s="6" t="s">
        <v>4</v>
      </c>
      <c r="F69" s="6" t="s">
        <v>5</v>
      </c>
      <c r="G69" s="6" t="s">
        <v>6</v>
      </c>
      <c r="H69" s="6" t="s">
        <v>7</v>
      </c>
      <c r="I69" s="6" t="s">
        <v>8</v>
      </c>
      <c r="J69" s="6" t="s">
        <v>10</v>
      </c>
    </row>
    <row r="70" spans="2:10">
      <c r="B70" s="5" t="s">
        <v>3</v>
      </c>
      <c r="C70" s="12">
        <v>0.90439999999999998</v>
      </c>
      <c r="D70" s="12">
        <v>8.9399999999999993E-2</v>
      </c>
      <c r="E70" s="12">
        <v>6.1999999999999998E-3</v>
      </c>
      <c r="F70" s="12">
        <v>0</v>
      </c>
      <c r="G70" s="12">
        <v>0</v>
      </c>
      <c r="H70" s="12">
        <v>0</v>
      </c>
      <c r="I70" s="12">
        <v>0</v>
      </c>
      <c r="J70" s="12">
        <f>1-SUM(C70:I70)</f>
        <v>0</v>
      </c>
    </row>
    <row r="71" spans="2:10">
      <c r="B71" s="5" t="s">
        <v>2</v>
      </c>
      <c r="C71" s="12">
        <v>1.03E-2</v>
      </c>
      <c r="D71" s="12">
        <v>0.90139999999999998</v>
      </c>
      <c r="E71" s="12">
        <v>8.43E-2</v>
      </c>
      <c r="F71" s="12">
        <v>4.0000000000000001E-3</v>
      </c>
      <c r="G71" s="12">
        <v>0</v>
      </c>
      <c r="H71" s="12">
        <v>0</v>
      </c>
      <c r="I71" s="12">
        <v>0</v>
      </c>
      <c r="J71" s="12">
        <f t="shared" ref="J71:J76" si="17">1-SUM(C71:I71)</f>
        <v>0</v>
      </c>
    </row>
    <row r="72" spans="2:10">
      <c r="B72" s="5" t="s">
        <v>4</v>
      </c>
      <c r="C72" s="12">
        <v>1E-3</v>
      </c>
      <c r="D72" s="12">
        <v>2.8000000000000001E-2</v>
      </c>
      <c r="E72" s="12">
        <v>0.90900000000000003</v>
      </c>
      <c r="F72" s="12">
        <v>5.5E-2</v>
      </c>
      <c r="G72" s="12">
        <v>5.0000000000000001E-3</v>
      </c>
      <c r="H72" s="12">
        <v>1E-3</v>
      </c>
      <c r="I72" s="12">
        <v>0</v>
      </c>
      <c r="J72" s="12">
        <f t="shared" si="17"/>
        <v>9.9999999999988987E-4</v>
      </c>
    </row>
    <row r="73" spans="2:10">
      <c r="B73" s="5" t="s">
        <v>5</v>
      </c>
      <c r="C73" s="12">
        <v>0</v>
      </c>
      <c r="D73" s="12">
        <v>2E-3</v>
      </c>
      <c r="E73" s="12">
        <v>4.8000000000000001E-2</v>
      </c>
      <c r="F73" s="12">
        <v>0.89400000000000002</v>
      </c>
      <c r="G73" s="12">
        <v>4.3999999999999997E-2</v>
      </c>
      <c r="H73" s="12">
        <v>8.0000000000000002E-3</v>
      </c>
      <c r="I73" s="12">
        <v>2E-3</v>
      </c>
      <c r="J73" s="12">
        <f t="shared" si="17"/>
        <v>1.9999999999998908E-3</v>
      </c>
    </row>
    <row r="74" spans="2:10">
      <c r="B74" s="5" t="s">
        <v>6</v>
      </c>
      <c r="C74" s="12">
        <v>0</v>
      </c>
      <c r="D74" s="12">
        <v>1E-3</v>
      </c>
      <c r="E74" s="12">
        <v>4.0000000000000001E-3</v>
      </c>
      <c r="F74" s="12">
        <v>6.2E-2</v>
      </c>
      <c r="G74" s="12">
        <v>0.83399999999999996</v>
      </c>
      <c r="H74" s="12">
        <v>0.08</v>
      </c>
      <c r="I74" s="12">
        <v>7.0000000000000001E-3</v>
      </c>
      <c r="J74" s="12">
        <f t="shared" si="17"/>
        <v>1.2000000000000011E-2</v>
      </c>
    </row>
    <row r="75" spans="2:10">
      <c r="B75" s="5" t="s">
        <v>7</v>
      </c>
      <c r="C75" s="12">
        <v>0</v>
      </c>
      <c r="D75" s="12">
        <v>0</v>
      </c>
      <c r="E75" s="12">
        <v>1E-3</v>
      </c>
      <c r="F75" s="12">
        <v>4.0000000000000001E-3</v>
      </c>
      <c r="G75" s="12">
        <v>5.3400000000000003E-2</v>
      </c>
      <c r="H75" s="12">
        <v>0.82240000000000002</v>
      </c>
      <c r="I75" s="12">
        <v>7.1999999999999995E-2</v>
      </c>
      <c r="J75" s="12">
        <f t="shared" si="17"/>
        <v>4.720000000000002E-2</v>
      </c>
    </row>
    <row r="76" spans="2:10">
      <c r="B76" s="5" t="s">
        <v>8</v>
      </c>
      <c r="C76" s="12">
        <v>0</v>
      </c>
      <c r="D76" s="12">
        <v>0</v>
      </c>
      <c r="E76" s="12">
        <v>0</v>
      </c>
      <c r="F76" s="12">
        <v>2E-3</v>
      </c>
      <c r="G76" s="12">
        <v>5.0000000000000001E-3</v>
      </c>
      <c r="H76" s="12">
        <v>9.4E-2</v>
      </c>
      <c r="I76" s="12">
        <v>0.73099999999999998</v>
      </c>
      <c r="J76" s="12">
        <f t="shared" si="17"/>
        <v>0.16800000000000004</v>
      </c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B2:T76"/>
  <sheetViews>
    <sheetView showGridLines="0" topLeftCell="B7" zoomScale="85" zoomScaleNormal="85" workbookViewId="0">
      <selection activeCell="P29" sqref="P29"/>
    </sheetView>
  </sheetViews>
  <sheetFormatPr defaultColWidth="9.15234375" defaultRowHeight="12.45"/>
  <cols>
    <col min="1" max="1" width="4.3828125" style="2" customWidth="1"/>
    <col min="2" max="2" width="18.3828125" style="2" customWidth="1"/>
    <col min="3" max="4" width="13" style="2" customWidth="1"/>
    <col min="5" max="10" width="13.3046875" style="2" customWidth="1"/>
    <col min="11" max="16384" width="9.15234375" style="2"/>
  </cols>
  <sheetData>
    <row r="2" spans="2:10">
      <c r="B2" s="7" t="s">
        <v>0</v>
      </c>
      <c r="C2" s="17">
        <v>46324</v>
      </c>
      <c r="D2" s="1"/>
      <c r="E2" s="7" t="s">
        <v>16</v>
      </c>
      <c r="F2" s="20">
        <v>2</v>
      </c>
      <c r="G2" s="1"/>
      <c r="H2" s="20" t="s">
        <v>40</v>
      </c>
      <c r="I2" s="20"/>
      <c r="J2" s="1"/>
    </row>
    <row r="3" spans="2:10">
      <c r="B3" s="7" t="s">
        <v>9</v>
      </c>
      <c r="C3" s="18">
        <v>5</v>
      </c>
      <c r="D3" s="1"/>
      <c r="E3" s="7" t="s">
        <v>17</v>
      </c>
      <c r="F3" s="20">
        <v>12</v>
      </c>
      <c r="G3" s="1" t="s">
        <v>18</v>
      </c>
      <c r="H3" s="1"/>
      <c r="I3" s="1"/>
      <c r="J3" s="1"/>
    </row>
    <row r="4" spans="2:10">
      <c r="B4" s="7" t="s">
        <v>13</v>
      </c>
      <c r="C4" s="17">
        <f>DATE(YEAR(sd)+mat,MONTH(sd),DAY(sd))</f>
        <v>48150</v>
      </c>
      <c r="D4" s="1"/>
      <c r="E4" s="7" t="s">
        <v>19</v>
      </c>
      <c r="F4" s="17">
        <f>DATE(YEAR(sd),MONTH(sd)+Horizon, DAY(sd))</f>
        <v>46689</v>
      </c>
      <c r="G4" s="1"/>
      <c r="H4" s="1"/>
      <c r="I4" s="1"/>
      <c r="J4" s="1"/>
    </row>
    <row r="5" spans="2:10">
      <c r="B5" s="7" t="s">
        <v>1</v>
      </c>
      <c r="C5" s="19">
        <v>5.04</v>
      </c>
      <c r="D5" s="1" t="s">
        <v>14</v>
      </c>
      <c r="H5" s="1"/>
      <c r="I5" s="1"/>
      <c r="J5" s="1"/>
    </row>
    <row r="6" spans="2:10">
      <c r="B6" s="7" t="s">
        <v>31</v>
      </c>
      <c r="C6" s="18">
        <v>25</v>
      </c>
      <c r="D6" s="1" t="s">
        <v>14</v>
      </c>
      <c r="E6" s="1"/>
      <c r="F6" s="1"/>
      <c r="G6" s="1"/>
      <c r="H6" s="1"/>
      <c r="I6" s="1"/>
      <c r="J6" s="1"/>
    </row>
    <row r="7" spans="2:10">
      <c r="B7" s="1"/>
      <c r="C7" s="1"/>
      <c r="D7" s="1"/>
      <c r="E7" s="1"/>
      <c r="F7" s="1"/>
      <c r="G7" s="1"/>
      <c r="H7" s="1"/>
      <c r="I7" s="1"/>
      <c r="J7" s="1"/>
    </row>
    <row r="8" spans="2:10">
      <c r="B8" s="5"/>
      <c r="C8" s="6" t="s">
        <v>12</v>
      </c>
      <c r="D8" s="6" t="s">
        <v>3</v>
      </c>
      <c r="E8" s="6" t="s">
        <v>2</v>
      </c>
      <c r="F8" s="6" t="s">
        <v>4</v>
      </c>
      <c r="G8" s="6" t="s">
        <v>5</v>
      </c>
      <c r="H8" s="6" t="s">
        <v>6</v>
      </c>
      <c r="I8" s="6" t="s">
        <v>7</v>
      </c>
      <c r="J8" s="6" t="s">
        <v>8</v>
      </c>
    </row>
    <row r="9" spans="2:10">
      <c r="B9" s="7" t="s">
        <v>15</v>
      </c>
      <c r="C9" s="21">
        <v>0</v>
      </c>
      <c r="D9" s="22">
        <v>18</v>
      </c>
      <c r="E9" s="22">
        <v>43</v>
      </c>
      <c r="F9" s="22">
        <v>68</v>
      </c>
      <c r="G9" s="22">
        <v>100</v>
      </c>
      <c r="H9" s="22">
        <v>218</v>
      </c>
      <c r="I9" s="22">
        <v>360</v>
      </c>
      <c r="J9" s="22">
        <v>890</v>
      </c>
    </row>
    <row r="10" spans="2:10">
      <c r="B10" s="7" t="s">
        <v>11</v>
      </c>
      <c r="C10" s="9">
        <f t="shared" ref="C10:J10" si="0">PRICE(sd,md,yield/100,(yield+C$9/100)/100,100,freq)</f>
        <v>100.00000000000011</v>
      </c>
      <c r="D10" s="9">
        <f t="shared" si="0"/>
        <v>99.216772693403598</v>
      </c>
      <c r="E10" s="9">
        <f t="shared" si="0"/>
        <v>98.140951908678488</v>
      </c>
      <c r="F10" s="9">
        <f t="shared" si="0"/>
        <v>97.078898730864239</v>
      </c>
      <c r="G10" s="9">
        <f t="shared" si="0"/>
        <v>95.739248579164638</v>
      </c>
      <c r="H10" s="9">
        <f t="shared" si="0"/>
        <v>90.984953182475735</v>
      </c>
      <c r="I10" s="9">
        <f t="shared" si="0"/>
        <v>85.630211061855249</v>
      </c>
      <c r="J10" s="9">
        <f t="shared" si="0"/>
        <v>68.701673318270551</v>
      </c>
    </row>
    <row r="11" spans="2:10">
      <c r="B11" s="7" t="s">
        <v>30</v>
      </c>
      <c r="C11" s="9">
        <f t="shared" ref="C11:J11" si="1">PRICE(hd,md,yield/100, (yield+C$9/100)/100,100, freq)+((1+yield/(freq*100))^freq-1)*Horizon*100/12</f>
        <v>105.10350400000006</v>
      </c>
      <c r="D11" s="9">
        <f t="shared" si="1"/>
        <v>104.46120768572571</v>
      </c>
      <c r="E11" s="9">
        <f t="shared" si="1"/>
        <v>103.57725561828228</v>
      </c>
      <c r="F11" s="9">
        <f t="shared" si="1"/>
        <v>102.70265039427555</v>
      </c>
      <c r="G11" s="9">
        <f t="shared" si="1"/>
        <v>101.59661721762032</v>
      </c>
      <c r="H11" s="9">
        <f t="shared" si="1"/>
        <v>97.645171303087395</v>
      </c>
      <c r="I11" s="9">
        <f t="shared" si="1"/>
        <v>93.143107822691576</v>
      </c>
      <c r="J11" s="9">
        <f t="shared" si="1"/>
        <v>78.500305490968202</v>
      </c>
    </row>
    <row r="12" spans="2:10">
      <c r="B12" s="7" t="s">
        <v>20</v>
      </c>
      <c r="C12" s="9">
        <f t="shared" ref="C12:J12" si="2">100*(C11/C10-1)</f>
        <v>5.1035039999999476</v>
      </c>
      <c r="D12" s="9">
        <f t="shared" si="2"/>
        <v>5.2858350961770162</v>
      </c>
      <c r="E12" s="9">
        <f t="shared" si="2"/>
        <v>5.5392816188112315</v>
      </c>
      <c r="F12" s="9">
        <f t="shared" si="2"/>
        <v>5.792970189126545</v>
      </c>
      <c r="G12" s="9">
        <f t="shared" si="2"/>
        <v>6.1180432532979001</v>
      </c>
      <c r="H12" s="9">
        <f t="shared" si="2"/>
        <v>7.320131392774587</v>
      </c>
      <c r="I12" s="9">
        <f t="shared" si="2"/>
        <v>8.7736520413447927</v>
      </c>
      <c r="J12" s="9">
        <f t="shared" si="2"/>
        <v>14.262581534665175</v>
      </c>
    </row>
    <row r="13" spans="2:10">
      <c r="B13" s="7" t="s">
        <v>22</v>
      </c>
      <c r="C13" s="9"/>
      <c r="D13" s="9">
        <f t="array" ref="D13:J13">TRANSPOSE(J22:J28)</f>
        <v>0</v>
      </c>
      <c r="E13" s="9">
        <v>1.6786973308724473E-4</v>
      </c>
      <c r="F13" s="9">
        <v>2.5066059511003047E-4</v>
      </c>
      <c r="G13" s="9">
        <v>1.7205890114531108E-3</v>
      </c>
      <c r="H13" s="9">
        <v>1.1917981419383161E-2</v>
      </c>
      <c r="I13" s="9">
        <v>4.6600877192982448E-2</v>
      </c>
      <c r="J13" s="9">
        <v>0.25494922283465959</v>
      </c>
    </row>
    <row r="14" spans="2:10">
      <c r="B14" s="16" t="s">
        <v>21</v>
      </c>
      <c r="C14" s="7"/>
      <c r="D14" s="10">
        <f t="shared" ref="D14:J14" si="3">D10*(1+govrtn/100)-((yield*Horizon/12)*(1-D13)+D13*recovery)</f>
        <v>99.240304656482294</v>
      </c>
      <c r="E14" s="10">
        <f t="shared" si="3"/>
        <v>98.106228635103506</v>
      </c>
      <c r="F14" s="10">
        <f t="shared" si="3"/>
        <v>96.988321025271404</v>
      </c>
      <c r="G14" s="10">
        <f t="shared" si="3"/>
        <v>95.550962003303596</v>
      </c>
      <c r="H14" s="10">
        <f t="shared" si="3"/>
        <v>90.350490998410578</v>
      </c>
      <c r="I14" s="10">
        <f t="shared" si="3"/>
        <v>84.030198799833499</v>
      </c>
      <c r="J14" s="10">
        <f t="shared" si="3"/>
        <v>62.079079476355574</v>
      </c>
    </row>
    <row r="15" spans="2:10">
      <c r="B15" s="16" t="s">
        <v>25</v>
      </c>
      <c r="C15" s="7"/>
      <c r="D15" s="10">
        <f t="array" ref="D15:J15">TRANSPOSE(MMULT(MINVERSE(Tmat),TRANSPOSE(pvec)))</f>
        <v>99.349202877595232</v>
      </c>
      <c r="E15" s="10">
        <v>98.207046147339909</v>
      </c>
      <c r="F15" s="10">
        <v>97.07668915845467</v>
      </c>
      <c r="G15" s="10">
        <v>95.945729596630372</v>
      </c>
      <c r="H15" s="10">
        <v>91.433274159712582</v>
      </c>
      <c r="I15" s="10">
        <v>88.272217973319741</v>
      </c>
      <c r="J15" s="10">
        <v>82.718953560254207</v>
      </c>
    </row>
    <row r="16" spans="2:10">
      <c r="B16" s="7" t="s">
        <v>27</v>
      </c>
      <c r="C16" s="7"/>
      <c r="D16" s="10">
        <f t="shared" ref="D16:J16" si="4">100*YIELD(hd,md,yield/100,D$15,100,freq)</f>
        <v>5.2223915748092047</v>
      </c>
      <c r="E16" s="10">
        <f t="shared" si="4"/>
        <v>5.5459548758756885</v>
      </c>
      <c r="F16" s="10">
        <f t="shared" si="4"/>
        <v>5.8706172300105797</v>
      </c>
      <c r="G16" s="10">
        <f t="shared" si="4"/>
        <v>6.1999910248340875</v>
      </c>
      <c r="H16" s="10">
        <f t="shared" si="4"/>
        <v>7.5618227887206038</v>
      </c>
      <c r="I16" s="10">
        <f t="shared" si="4"/>
        <v>8.5645232412219485</v>
      </c>
      <c r="J16" s="10">
        <f t="shared" si="4"/>
        <v>10.434578383254182</v>
      </c>
    </row>
    <row r="17" spans="2:14">
      <c r="B17" s="7" t="s">
        <v>26</v>
      </c>
      <c r="C17" s="7"/>
      <c r="D17" s="8">
        <f t="shared" ref="D17:J17" si="5">100*(D16-yield)</f>
        <v>18.239157480920465</v>
      </c>
      <c r="E17" s="8">
        <f t="shared" si="5"/>
        <v>50.59548758756884</v>
      </c>
      <c r="F17" s="8">
        <f t="shared" si="5"/>
        <v>83.06172300105797</v>
      </c>
      <c r="G17" s="8">
        <f t="shared" si="5"/>
        <v>115.99910248340875</v>
      </c>
      <c r="H17" s="8">
        <f t="shared" si="5"/>
        <v>252.18227887206038</v>
      </c>
      <c r="I17" s="8">
        <f t="shared" si="5"/>
        <v>352.45232412219485</v>
      </c>
      <c r="J17" s="8">
        <f t="shared" si="5"/>
        <v>539.45783832541827</v>
      </c>
    </row>
    <row r="18" spans="2:14">
      <c r="B18" s="7" t="s">
        <v>33</v>
      </c>
      <c r="C18" s="7"/>
      <c r="D18" s="11">
        <f t="shared" ref="D18:J18" si="6">D17-D9</f>
        <v>0.23915748092046485</v>
      </c>
      <c r="E18" s="11">
        <f t="shared" si="6"/>
        <v>7.5954875875688401</v>
      </c>
      <c r="F18" s="11">
        <f t="shared" si="6"/>
        <v>15.06172300105797</v>
      </c>
      <c r="G18" s="11">
        <f t="shared" si="6"/>
        <v>15.999102483408748</v>
      </c>
      <c r="H18" s="11">
        <f t="shared" si="6"/>
        <v>34.18227887206038</v>
      </c>
      <c r="I18" s="11">
        <f t="shared" si="6"/>
        <v>-7.5476758778051476</v>
      </c>
      <c r="J18" s="11">
        <f t="shared" si="6"/>
        <v>-350.54216167458173</v>
      </c>
    </row>
    <row r="19" spans="2:14">
      <c r="B19" s="1"/>
      <c r="C19" s="1"/>
      <c r="D19" s="1"/>
      <c r="E19" s="1"/>
      <c r="F19" s="1"/>
      <c r="G19" s="1"/>
      <c r="H19" s="1"/>
      <c r="I19" s="1"/>
      <c r="J19" s="1"/>
    </row>
    <row r="20" spans="2:14">
      <c r="B20" s="1" t="s">
        <v>23</v>
      </c>
      <c r="C20" s="1"/>
      <c r="D20" s="1"/>
      <c r="E20" s="1"/>
      <c r="F20" s="1"/>
      <c r="G20" s="1"/>
      <c r="H20" s="1"/>
      <c r="I20" s="1"/>
      <c r="J20" s="1"/>
    </row>
    <row r="21" spans="2:14">
      <c r="B21" s="5"/>
      <c r="C21" s="6" t="s">
        <v>3</v>
      </c>
      <c r="D21" s="6" t="s">
        <v>2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10</v>
      </c>
    </row>
    <row r="22" spans="2:14">
      <c r="B22" s="5" t="s">
        <v>3</v>
      </c>
      <c r="C22" s="12">
        <f>1-SUM(D22:J22)</f>
        <v>0.91400625897274346</v>
      </c>
      <c r="D22" s="12">
        <f t="shared" ref="D22:J22" si="7">D33*Horizon/12</f>
        <v>7.8681277821960119E-2</v>
      </c>
      <c r="E22" s="12">
        <f t="shared" si="7"/>
        <v>6.7134196093822616E-3</v>
      </c>
      <c r="F22" s="12">
        <f t="shared" si="7"/>
        <v>2.6853678437529046E-4</v>
      </c>
      <c r="G22" s="12">
        <f t="shared" si="7"/>
        <v>2.8919346009646666E-4</v>
      </c>
      <c r="H22" s="12">
        <f t="shared" si="7"/>
        <v>2.0656675721176187E-5</v>
      </c>
      <c r="I22" s="12">
        <f t="shared" si="7"/>
        <v>2.0656675721176187E-5</v>
      </c>
      <c r="J22" s="12">
        <f t="shared" si="7"/>
        <v>0</v>
      </c>
    </row>
    <row r="23" spans="2:14">
      <c r="B23" s="5" t="s">
        <v>2</v>
      </c>
      <c r="C23" s="12">
        <f t="shared" ref="C23:C28" si="8">C34*Horizon/12</f>
        <v>1.0984975658888703E-2</v>
      </c>
      <c r="D23" s="12">
        <f>1-(SUM($C23:C23)+SUM(E23:$J23))</f>
        <v>0.9108716635890548</v>
      </c>
      <c r="E23" s="12">
        <f t="shared" ref="E23:J23" si="9">E34*Horizon/12</f>
        <v>7.4250881316098707E-2</v>
      </c>
      <c r="F23" s="12">
        <f t="shared" si="9"/>
        <v>3.0216551955682389E-3</v>
      </c>
      <c r="G23" s="12">
        <f t="shared" si="9"/>
        <v>4.4065804935370154E-4</v>
      </c>
      <c r="H23" s="12">
        <f>H34*Horizon/12</f>
        <v>1.6786973308712441E-4</v>
      </c>
      <c r="I23" s="12">
        <f t="shared" si="9"/>
        <v>9.4426724861507494E-5</v>
      </c>
      <c r="J23" s="12">
        <f t="shared" si="9"/>
        <v>1.6786973308724473E-4</v>
      </c>
    </row>
    <row r="24" spans="2:14">
      <c r="B24" s="5" t="s">
        <v>4</v>
      </c>
      <c r="C24" s="12">
        <f t="shared" si="8"/>
        <v>6.893166365525813E-4</v>
      </c>
      <c r="D24" s="12">
        <f>D35*Horizon/12</f>
        <v>2.9577950222983485E-2</v>
      </c>
      <c r="E24" s="12">
        <f>1-(SUM($C24:D24)+SUM(F24:$J24))</f>
        <v>0.91150636573469668</v>
      </c>
      <c r="F24" s="12">
        <f>F35*Horizon/12</f>
        <v>5.1813633847535699E-2</v>
      </c>
      <c r="G24" s="12">
        <f>G35*Horizon/12</f>
        <v>4.9401025619601651E-3</v>
      </c>
      <c r="H24" s="12">
        <f>H35*Horizon/12</f>
        <v>8.9820046581093901E-4</v>
      </c>
      <c r="I24" s="12">
        <f t="shared" ref="I24:J27" si="10">I35*Horizon/12</f>
        <v>3.2376993535045481E-4</v>
      </c>
      <c r="J24" s="12">
        <f t="shared" si="10"/>
        <v>2.5066059511003047E-4</v>
      </c>
    </row>
    <row r="25" spans="2:14">
      <c r="B25" s="5" t="s">
        <v>5</v>
      </c>
      <c r="C25" s="12">
        <f t="shared" si="8"/>
        <v>4.5389771467778541E-4</v>
      </c>
      <c r="D25" s="12">
        <f>D36*Horizon/12</f>
        <v>2.0161503140338839E-3</v>
      </c>
      <c r="E25" s="12">
        <f>E36*Horizon/12</f>
        <v>5.0519871219718154E-2</v>
      </c>
      <c r="F25" s="12">
        <f>1-(SUM($C25:E25)+SUM(G25:$J25))</f>
        <v>0.89071620837071819</v>
      </c>
      <c r="G25" s="12">
        <f>G36*Horizon/12</f>
        <v>4.3964743758906431E-2</v>
      </c>
      <c r="H25" s="12">
        <f>H36*Horizon/12</f>
        <v>8.244049189845358E-3</v>
      </c>
      <c r="I25" s="12">
        <f t="shared" si="10"/>
        <v>2.3644904206470683E-3</v>
      </c>
      <c r="J25" s="12">
        <f t="shared" si="10"/>
        <v>1.7205890114531108E-3</v>
      </c>
    </row>
    <row r="26" spans="2:14">
      <c r="B26" s="5" t="s">
        <v>6</v>
      </c>
      <c r="C26" s="12">
        <f t="shared" si="8"/>
        <v>8.7955582430872419E-5</v>
      </c>
      <c r="D26" s="12">
        <f>D37*Horizon/12</f>
        <v>6.1568907701610692E-4</v>
      </c>
      <c r="E26" s="12">
        <f>E37*Horizon/12</f>
        <v>4.3428068825243256E-3</v>
      </c>
      <c r="F26" s="12">
        <f>F37*Horizon/12</f>
        <v>6.2426474630311701E-2</v>
      </c>
      <c r="G26" s="12">
        <f>1-(SUM($C26:F26)+SUM(H26:$J26))</f>
        <v>0.83617173327469629</v>
      </c>
      <c r="H26" s="12">
        <f>H37*Horizon/12</f>
        <v>7.7730745973283499E-2</v>
      </c>
      <c r="I26" s="12">
        <f t="shared" si="10"/>
        <v>6.7066131603540228E-3</v>
      </c>
      <c r="J26" s="12">
        <f t="shared" si="10"/>
        <v>1.1917981419383161E-2</v>
      </c>
    </row>
    <row r="27" spans="2:14">
      <c r="B27" s="5" t="s">
        <v>7</v>
      </c>
      <c r="C27" s="12">
        <f t="shared" si="8"/>
        <v>1.2307554600787685E-4</v>
      </c>
      <c r="D27" s="12">
        <f>D38*Horizon/12</f>
        <v>4.1398138202649481E-4</v>
      </c>
      <c r="E27" s="12">
        <f>E38*Horizon/12</f>
        <v>1.488095238095238E-3</v>
      </c>
      <c r="F27" s="12">
        <f>F38*Horizon/12</f>
        <v>3.8712853562477612E-3</v>
      </c>
      <c r="G27" s="12">
        <f>G38*Horizon/12</f>
        <v>5.6323845327604725E-2</v>
      </c>
      <c r="H27" s="12">
        <f>1-(SUM($C27:G27)+SUM(I27:$J27))</f>
        <v>0.82729144289294665</v>
      </c>
      <c r="I27" s="12">
        <f t="shared" si="10"/>
        <v>6.3887397064088788E-2</v>
      </c>
      <c r="J27" s="12">
        <f t="shared" si="10"/>
        <v>4.6600877192982448E-2</v>
      </c>
      <c r="L27" s="15" t="s">
        <v>34</v>
      </c>
    </row>
    <row r="28" spans="2:14">
      <c r="B28" s="5" t="s">
        <v>8</v>
      </c>
      <c r="C28" s="12">
        <f t="shared" si="8"/>
        <v>0</v>
      </c>
      <c r="D28" s="12">
        <f>D39*Horizon/12</f>
        <v>1.5360166362417217E-4</v>
      </c>
      <c r="E28" s="12">
        <f>E39*Horizon/12</f>
        <v>2.1858698284978346E-4</v>
      </c>
      <c r="F28" s="12">
        <f>F39*Horizon/12</f>
        <v>1.3115218970987011E-3</v>
      </c>
      <c r="G28" s="12">
        <f>G39*Horizon/12</f>
        <v>4.8148213789884738E-3</v>
      </c>
      <c r="H28" s="12">
        <f>H39*Horizon/12</f>
        <v>6.9227088244155757E-2</v>
      </c>
      <c r="I28" s="12">
        <f>1-(SUM($C28:H28)+SUM(J28:$J28))</f>
        <v>0.66932515699862349</v>
      </c>
      <c r="J28" s="12">
        <f>J39*Horizon/12</f>
        <v>0.25494922283465959</v>
      </c>
      <c r="L28" s="2" t="s">
        <v>35</v>
      </c>
      <c r="N28" s="3">
        <f>F11/G10-1</f>
        <v>7.2732990058440139E-2</v>
      </c>
    </row>
    <row r="29" spans="2:14">
      <c r="B29" s="5" t="s">
        <v>10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1</v>
      </c>
      <c r="L29" s="2" t="s">
        <v>36</v>
      </c>
      <c r="N29" s="3">
        <f>E11/G10-1</f>
        <v>8.1868274040573619E-2</v>
      </c>
    </row>
    <row r="30" spans="2:14">
      <c r="L30" s="2" t="s">
        <v>37</v>
      </c>
      <c r="N30" s="3">
        <f>G11/G10-1</f>
        <v>6.1180432532979001E-2</v>
      </c>
    </row>
    <row r="31" spans="2:14">
      <c r="B31" s="2" t="s">
        <v>24</v>
      </c>
      <c r="L31" s="2" t="s">
        <v>38</v>
      </c>
      <c r="N31" s="3">
        <f>H11/G10-1</f>
        <v>1.990743349470514E-2</v>
      </c>
    </row>
    <row r="32" spans="2:14">
      <c r="B32" s="5"/>
      <c r="C32" s="6" t="s">
        <v>3</v>
      </c>
      <c r="D32" s="6" t="s">
        <v>2</v>
      </c>
      <c r="E32" s="6" t="s">
        <v>4</v>
      </c>
      <c r="F32" s="6" t="s">
        <v>5</v>
      </c>
      <c r="G32" s="6" t="s">
        <v>6</v>
      </c>
      <c r="H32" s="6" t="s">
        <v>7</v>
      </c>
      <c r="I32" s="6" t="s">
        <v>8</v>
      </c>
      <c r="J32" s="6" t="s">
        <v>10</v>
      </c>
    </row>
    <row r="33" spans="2:20">
      <c r="B33" s="5" t="s">
        <v>3</v>
      </c>
      <c r="C33" s="12">
        <v>0.91400625897274368</v>
      </c>
      <c r="D33" s="12">
        <v>7.8681277821960119E-2</v>
      </c>
      <c r="E33" s="12">
        <v>6.7134196093822616E-3</v>
      </c>
      <c r="F33" s="12">
        <v>2.6853678437529046E-4</v>
      </c>
      <c r="G33" s="12">
        <v>2.8919346009646666E-4</v>
      </c>
      <c r="H33" s="12">
        <v>2.0656675721176191E-5</v>
      </c>
      <c r="I33" s="12">
        <v>2.0656675721176191E-5</v>
      </c>
      <c r="J33" s="12">
        <v>0</v>
      </c>
    </row>
    <row r="34" spans="2:20">
      <c r="B34" s="5" t="s">
        <v>2</v>
      </c>
      <c r="C34" s="12">
        <v>1.0984975658888703E-2</v>
      </c>
      <c r="D34" s="12">
        <v>0.91087166358905491</v>
      </c>
      <c r="E34" s="12">
        <v>7.4250881316098707E-2</v>
      </c>
      <c r="F34" s="12">
        <v>3.0216551955682394E-3</v>
      </c>
      <c r="G34" s="12">
        <v>4.4065804935370159E-4</v>
      </c>
      <c r="H34" s="12">
        <v>1.6786973308712441E-4</v>
      </c>
      <c r="I34" s="12">
        <v>9.4426724861507494E-5</v>
      </c>
      <c r="J34" s="12">
        <v>1.6786973308724473E-4</v>
      </c>
    </row>
    <row r="35" spans="2:20">
      <c r="B35" s="5" t="s">
        <v>4</v>
      </c>
      <c r="C35" s="12">
        <v>6.893166365525813E-4</v>
      </c>
      <c r="D35" s="12">
        <v>2.9577950222983485E-2</v>
      </c>
      <c r="E35" s="12">
        <v>0.91150636573469668</v>
      </c>
      <c r="F35" s="12">
        <v>5.1813633847535699E-2</v>
      </c>
      <c r="G35" s="12">
        <v>4.9401025619601651E-3</v>
      </c>
      <c r="H35" s="12">
        <v>8.9820046581093912E-4</v>
      </c>
      <c r="I35" s="12">
        <v>3.2376993535045481E-4</v>
      </c>
      <c r="J35" s="12">
        <v>2.5066059511003047E-4</v>
      </c>
      <c r="M35" s="4"/>
      <c r="N35" s="6" t="s">
        <v>3</v>
      </c>
      <c r="O35" s="6" t="s">
        <v>2</v>
      </c>
      <c r="P35" s="6" t="s">
        <v>4</v>
      </c>
      <c r="Q35" s="6" t="s">
        <v>5</v>
      </c>
      <c r="R35" s="6" t="s">
        <v>6</v>
      </c>
      <c r="S35" s="6" t="s">
        <v>7</v>
      </c>
      <c r="T35" s="6" t="s">
        <v>8</v>
      </c>
    </row>
    <row r="36" spans="2:20">
      <c r="B36" s="5" t="s">
        <v>5</v>
      </c>
      <c r="C36" s="12">
        <v>4.5389771467778536E-4</v>
      </c>
      <c r="D36" s="12">
        <v>2.0161503140338839E-3</v>
      </c>
      <c r="E36" s="12">
        <v>5.0519871219718154E-2</v>
      </c>
      <c r="F36" s="12">
        <v>0.8907162083707183</v>
      </c>
      <c r="G36" s="12">
        <v>4.3964743758906424E-2</v>
      </c>
      <c r="H36" s="12">
        <v>8.244049189845358E-3</v>
      </c>
      <c r="I36" s="12">
        <v>2.3644904206470683E-3</v>
      </c>
      <c r="J36" s="12">
        <v>1.7205890114531108E-3</v>
      </c>
      <c r="L36" s="2" t="s">
        <v>15</v>
      </c>
      <c r="N36" s="14">
        <f>D9</f>
        <v>18</v>
      </c>
      <c r="O36" s="14">
        <f t="shared" ref="O36:T36" si="11">E9</f>
        <v>43</v>
      </c>
      <c r="P36" s="14">
        <f t="shared" si="11"/>
        <v>68</v>
      </c>
      <c r="Q36" s="14">
        <f t="shared" si="11"/>
        <v>100</v>
      </c>
      <c r="R36" s="14">
        <f t="shared" si="11"/>
        <v>218</v>
      </c>
      <c r="S36" s="14">
        <f t="shared" si="11"/>
        <v>360</v>
      </c>
      <c r="T36" s="14">
        <f t="shared" si="11"/>
        <v>890</v>
      </c>
    </row>
    <row r="37" spans="2:20">
      <c r="B37" s="5" t="s">
        <v>6</v>
      </c>
      <c r="C37" s="12">
        <v>8.7955582430872419E-5</v>
      </c>
      <c r="D37" s="12">
        <v>6.1568907701610692E-4</v>
      </c>
      <c r="E37" s="12">
        <v>4.3428068825243256E-3</v>
      </c>
      <c r="F37" s="12">
        <v>6.2426474630311701E-2</v>
      </c>
      <c r="G37" s="12">
        <v>0.83617173327469629</v>
      </c>
      <c r="H37" s="12">
        <v>7.7730745973283499E-2</v>
      </c>
      <c r="I37" s="12">
        <v>6.7066131603540228E-3</v>
      </c>
      <c r="J37" s="12">
        <v>1.1917981419383161E-2</v>
      </c>
      <c r="L37" s="2" t="s">
        <v>26</v>
      </c>
      <c r="N37" s="8">
        <f>D17</f>
        <v>18.239157480920465</v>
      </c>
      <c r="O37" s="8">
        <f t="shared" ref="O37:T38" si="12">E17</f>
        <v>50.59548758756884</v>
      </c>
      <c r="P37" s="8">
        <f t="shared" si="12"/>
        <v>83.06172300105797</v>
      </c>
      <c r="Q37" s="8">
        <f t="shared" si="12"/>
        <v>115.99910248340875</v>
      </c>
      <c r="R37" s="8">
        <f t="shared" si="12"/>
        <v>252.18227887206038</v>
      </c>
      <c r="S37" s="8">
        <f t="shared" si="12"/>
        <v>352.45232412219485</v>
      </c>
      <c r="T37" s="8">
        <f t="shared" si="12"/>
        <v>539.45783832541827</v>
      </c>
    </row>
    <row r="38" spans="2:20">
      <c r="B38" s="5" t="s">
        <v>7</v>
      </c>
      <c r="C38" s="12">
        <v>1.2307554600787685E-4</v>
      </c>
      <c r="D38" s="12">
        <v>4.1398138202649481E-4</v>
      </c>
      <c r="E38" s="12">
        <v>1.488095238095238E-3</v>
      </c>
      <c r="F38" s="12">
        <v>3.8712853562477617E-3</v>
      </c>
      <c r="G38" s="12">
        <v>5.6323845327604725E-2</v>
      </c>
      <c r="H38" s="12">
        <v>0.82729144289294665</v>
      </c>
      <c r="I38" s="12">
        <v>6.3887397064088788E-2</v>
      </c>
      <c r="J38" s="12">
        <v>4.6600877192982448E-2</v>
      </c>
      <c r="L38" s="2" t="s">
        <v>33</v>
      </c>
      <c r="N38" s="11">
        <f>D18</f>
        <v>0.23915748092046485</v>
      </c>
      <c r="O38" s="11">
        <f t="shared" si="12"/>
        <v>7.5954875875688401</v>
      </c>
      <c r="P38" s="11">
        <f t="shared" si="12"/>
        <v>15.06172300105797</v>
      </c>
      <c r="Q38" s="11">
        <f t="shared" si="12"/>
        <v>15.999102483408748</v>
      </c>
      <c r="R38" s="11">
        <f t="shared" si="12"/>
        <v>34.18227887206038</v>
      </c>
      <c r="S38" s="11">
        <f t="shared" si="12"/>
        <v>-7.5476758778051476</v>
      </c>
      <c r="T38" s="11">
        <f t="shared" si="12"/>
        <v>-350.54216167458173</v>
      </c>
    </row>
    <row r="39" spans="2:20">
      <c r="B39" s="5" t="s">
        <v>8</v>
      </c>
      <c r="C39" s="12">
        <v>0</v>
      </c>
      <c r="D39" s="12">
        <v>1.5360166362417217E-4</v>
      </c>
      <c r="E39" s="12">
        <v>2.1858698284978346E-4</v>
      </c>
      <c r="F39" s="12">
        <v>1.3115218970987008E-3</v>
      </c>
      <c r="G39" s="12">
        <v>4.8148213789884738E-3</v>
      </c>
      <c r="H39" s="12">
        <v>6.9227088244155757E-2</v>
      </c>
      <c r="I39" s="12">
        <v>0.66932515699862349</v>
      </c>
      <c r="J39" s="12">
        <v>0.25494922283465959</v>
      </c>
    </row>
    <row r="40" spans="2:20">
      <c r="B40" s="5" t="s">
        <v>10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f t="shared" ref="J40" si="13">1-SUM(C40:I40)</f>
        <v>1</v>
      </c>
    </row>
    <row r="42" spans="2:20">
      <c r="B42" s="5" t="s">
        <v>28</v>
      </c>
      <c r="C42" s="6" t="s">
        <v>3</v>
      </c>
      <c r="D42" s="6" t="s">
        <v>2</v>
      </c>
      <c r="E42" s="6" t="s">
        <v>4</v>
      </c>
      <c r="F42" s="6" t="s">
        <v>5</v>
      </c>
      <c r="G42" s="6" t="s">
        <v>6</v>
      </c>
      <c r="H42" s="6" t="s">
        <v>7</v>
      </c>
      <c r="I42" s="6" t="s">
        <v>8</v>
      </c>
      <c r="J42" s="6" t="s">
        <v>10</v>
      </c>
    </row>
    <row r="43" spans="2:20">
      <c r="B43" s="5" t="s">
        <v>3</v>
      </c>
      <c r="C43" s="12">
        <v>0.92179999999999995</v>
      </c>
      <c r="D43" s="12">
        <v>6.5100000000000005E-2</v>
      </c>
      <c r="E43" s="12">
        <v>1.04E-2</v>
      </c>
      <c r="F43" s="12">
        <v>2.5000000000000001E-3</v>
      </c>
      <c r="G43" s="12">
        <v>2.0000000000000001E-4</v>
      </c>
      <c r="H43" s="12">
        <v>0</v>
      </c>
      <c r="I43" s="12">
        <v>0</v>
      </c>
      <c r="J43" s="12">
        <f t="shared" ref="J43:J49" si="14">1-SUM(C43:I43)</f>
        <v>0</v>
      </c>
    </row>
    <row r="44" spans="2:20">
      <c r="B44" s="5" t="s">
        <v>2</v>
      </c>
      <c r="C44" s="12">
        <v>1.29E-2</v>
      </c>
      <c r="D44" s="12">
        <v>0.91620000000000001</v>
      </c>
      <c r="E44" s="12">
        <v>6.1100000000000002E-2</v>
      </c>
      <c r="F44" s="12">
        <v>7.0000000000000001E-3</v>
      </c>
      <c r="G44" s="12">
        <v>1.8E-3</v>
      </c>
      <c r="H44" s="12">
        <v>2.9999999999999997E-4</v>
      </c>
      <c r="I44" s="12">
        <v>0</v>
      </c>
      <c r="J44" s="12">
        <f t="shared" si="14"/>
        <v>6.9999999999992291E-4</v>
      </c>
    </row>
    <row r="45" spans="2:20">
      <c r="B45" s="5" t="s">
        <v>4</v>
      </c>
      <c r="C45" s="12">
        <v>8.0000000000000004E-4</v>
      </c>
      <c r="D45" s="12">
        <v>2.5000000000000001E-2</v>
      </c>
      <c r="E45" s="12">
        <v>0.91359999999999997</v>
      </c>
      <c r="F45" s="12">
        <v>5.11E-2</v>
      </c>
      <c r="G45" s="12">
        <v>6.8999999999999999E-3</v>
      </c>
      <c r="H45" s="12">
        <v>1.1000000000000001E-3</v>
      </c>
      <c r="I45" s="12">
        <v>2.0000000000000001E-4</v>
      </c>
      <c r="J45" s="12">
        <f t="shared" si="14"/>
        <v>1.2999999999999678E-3</v>
      </c>
    </row>
    <row r="46" spans="2:20">
      <c r="B46" s="5" t="s">
        <v>5</v>
      </c>
      <c r="C46" s="12">
        <v>4.0000000000000002E-4</v>
      </c>
      <c r="D46" s="12">
        <v>2.7000000000000001E-3</v>
      </c>
      <c r="E46" s="12">
        <v>4.2200000000000001E-2</v>
      </c>
      <c r="F46" s="12">
        <v>0.89159999999999995</v>
      </c>
      <c r="G46" s="12">
        <v>5.2499999999999998E-2</v>
      </c>
      <c r="H46" s="12">
        <v>6.7999999999999996E-3</v>
      </c>
      <c r="I46" s="12">
        <v>6.9999999999999999E-4</v>
      </c>
      <c r="J46" s="12">
        <f t="shared" si="14"/>
        <v>3.0999999999999917E-3</v>
      </c>
    </row>
    <row r="47" spans="2:20">
      <c r="B47" s="5" t="s">
        <v>6</v>
      </c>
      <c r="C47" s="12">
        <v>2.0000000000000001E-4</v>
      </c>
      <c r="D47" s="12">
        <v>8.9999999999999998E-4</v>
      </c>
      <c r="E47" s="12">
        <v>4.4000000000000003E-3</v>
      </c>
      <c r="F47" s="12">
        <v>5.11E-2</v>
      </c>
      <c r="G47" s="12">
        <v>0.87080000000000002</v>
      </c>
      <c r="H47" s="12">
        <v>5.57E-2</v>
      </c>
      <c r="I47" s="12">
        <v>4.5999999999999999E-3</v>
      </c>
      <c r="J47" s="12">
        <f t="shared" si="14"/>
        <v>1.2299999999999978E-2</v>
      </c>
    </row>
    <row r="48" spans="2:20">
      <c r="B48" s="5" t="s">
        <v>7</v>
      </c>
      <c r="C48" s="12">
        <v>0</v>
      </c>
      <c r="D48" s="12">
        <v>4.0000000000000002E-4</v>
      </c>
      <c r="E48" s="12">
        <v>1.4E-3</v>
      </c>
      <c r="F48" s="12">
        <v>6.8999999999999999E-3</v>
      </c>
      <c r="G48" s="12">
        <v>6.5199999999999994E-2</v>
      </c>
      <c r="H48" s="12">
        <v>0.85199999999999998</v>
      </c>
      <c r="I48" s="12">
        <v>3.5400000000000001E-2</v>
      </c>
      <c r="J48" s="12">
        <f t="shared" si="14"/>
        <v>3.8700000000000068E-2</v>
      </c>
    </row>
    <row r="49" spans="2:10">
      <c r="B49" s="5" t="s">
        <v>8</v>
      </c>
      <c r="C49" s="12">
        <v>0</v>
      </c>
      <c r="D49" s="12">
        <v>2.0000000000000001E-4</v>
      </c>
      <c r="E49" s="12">
        <v>4.0000000000000002E-4</v>
      </c>
      <c r="F49" s="12">
        <v>3.7000000000000002E-3</v>
      </c>
      <c r="G49" s="12">
        <v>1.4500000000000001E-2</v>
      </c>
      <c r="H49" s="12">
        <v>0.06</v>
      </c>
      <c r="I49" s="12">
        <v>0.78300000000000003</v>
      </c>
      <c r="J49" s="12">
        <f t="shared" si="14"/>
        <v>0.13819999999999999</v>
      </c>
    </row>
    <row r="50" spans="2:10">
      <c r="B50" s="5"/>
      <c r="C50" s="13"/>
      <c r="D50" s="13"/>
      <c r="E50" s="13"/>
      <c r="F50" s="13"/>
      <c r="G50" s="13"/>
      <c r="H50" s="13"/>
      <c r="I50" s="13"/>
      <c r="J50" s="13"/>
    </row>
    <row r="51" spans="2:10">
      <c r="B51" s="5" t="s">
        <v>32</v>
      </c>
      <c r="C51" s="6" t="s">
        <v>3</v>
      </c>
      <c r="D51" s="6" t="s">
        <v>2</v>
      </c>
      <c r="E51" s="6" t="s">
        <v>4</v>
      </c>
      <c r="F51" s="6" t="s">
        <v>5</v>
      </c>
      <c r="G51" s="6" t="s">
        <v>6</v>
      </c>
      <c r="H51" s="6" t="s">
        <v>7</v>
      </c>
      <c r="I51" s="6" t="s">
        <v>8</v>
      </c>
      <c r="J51" s="6" t="s">
        <v>10</v>
      </c>
    </row>
    <row r="52" spans="2:10">
      <c r="B52" s="5" t="s">
        <v>3</v>
      </c>
      <c r="C52" s="12">
        <v>0.91400625897274368</v>
      </c>
      <c r="D52" s="12">
        <v>7.8681277821960119E-2</v>
      </c>
      <c r="E52" s="12">
        <v>6.7134196093822616E-3</v>
      </c>
      <c r="F52" s="12">
        <v>2.6853678437529046E-4</v>
      </c>
      <c r="G52" s="12">
        <v>2.8919346009646666E-4</v>
      </c>
      <c r="H52" s="12">
        <v>2.0656675721176191E-5</v>
      </c>
      <c r="I52" s="12">
        <v>2.0656675721176191E-5</v>
      </c>
      <c r="J52" s="12">
        <f t="shared" ref="J52:J58" si="15">1-SUM(C52:I52)</f>
        <v>0</v>
      </c>
    </row>
    <row r="53" spans="2:10">
      <c r="B53" s="5" t="s">
        <v>2</v>
      </c>
      <c r="C53" s="12">
        <v>1.0984975658888703E-2</v>
      </c>
      <c r="D53" s="12">
        <v>0.91087166358905491</v>
      </c>
      <c r="E53" s="12">
        <v>7.4250881316098707E-2</v>
      </c>
      <c r="F53" s="12">
        <v>3.0216551955682394E-3</v>
      </c>
      <c r="G53" s="12">
        <v>4.4065804935370159E-4</v>
      </c>
      <c r="H53" s="12">
        <v>1.6786973308712441E-4</v>
      </c>
      <c r="I53" s="12">
        <v>9.4426724861507494E-5</v>
      </c>
      <c r="J53" s="12">
        <f t="shared" si="15"/>
        <v>1.6786973308724473E-4</v>
      </c>
    </row>
    <row r="54" spans="2:10">
      <c r="B54" s="5" t="s">
        <v>4</v>
      </c>
      <c r="C54" s="12">
        <v>6.893166365525813E-4</v>
      </c>
      <c r="D54" s="12">
        <v>2.9577950222983485E-2</v>
      </c>
      <c r="E54" s="12">
        <v>0.91150636573469668</v>
      </c>
      <c r="F54" s="12">
        <v>5.1813633847535699E-2</v>
      </c>
      <c r="G54" s="12">
        <v>4.9401025619601651E-3</v>
      </c>
      <c r="H54" s="12">
        <v>8.9820046581093912E-4</v>
      </c>
      <c r="I54" s="12">
        <v>3.2376993535045481E-4</v>
      </c>
      <c r="J54" s="12">
        <f t="shared" si="15"/>
        <v>2.5066059511003047E-4</v>
      </c>
    </row>
    <row r="55" spans="2:10">
      <c r="B55" s="5" t="s">
        <v>5</v>
      </c>
      <c r="C55" s="12">
        <v>4.5389771467778536E-4</v>
      </c>
      <c r="D55" s="12">
        <v>2.0161503140338839E-3</v>
      </c>
      <c r="E55" s="12">
        <v>5.0519871219718154E-2</v>
      </c>
      <c r="F55" s="12">
        <v>0.8907162083707183</v>
      </c>
      <c r="G55" s="12">
        <v>4.3964743758906424E-2</v>
      </c>
      <c r="H55" s="12">
        <v>8.244049189845358E-3</v>
      </c>
      <c r="I55" s="12">
        <v>2.3644904206470683E-3</v>
      </c>
      <c r="J55" s="12">
        <f t="shared" si="15"/>
        <v>1.7205890114531108E-3</v>
      </c>
    </row>
    <row r="56" spans="2:10">
      <c r="B56" s="5" t="s">
        <v>6</v>
      </c>
      <c r="C56" s="12">
        <v>8.7955582430872419E-5</v>
      </c>
      <c r="D56" s="12">
        <v>6.1568907701610692E-4</v>
      </c>
      <c r="E56" s="12">
        <v>4.3428068825243256E-3</v>
      </c>
      <c r="F56" s="12">
        <v>6.2426474630311701E-2</v>
      </c>
      <c r="G56" s="12">
        <v>0.83617173327469629</v>
      </c>
      <c r="H56" s="12">
        <v>7.7730745973283499E-2</v>
      </c>
      <c r="I56" s="12">
        <v>6.7066131603540228E-3</v>
      </c>
      <c r="J56" s="12">
        <f t="shared" si="15"/>
        <v>1.1917981419383161E-2</v>
      </c>
    </row>
    <row r="57" spans="2:10">
      <c r="B57" s="5" t="s">
        <v>7</v>
      </c>
      <c r="C57" s="12">
        <v>1.2307554600787685E-4</v>
      </c>
      <c r="D57" s="12">
        <v>4.1398138202649481E-4</v>
      </c>
      <c r="E57" s="12">
        <v>1.488095238095238E-3</v>
      </c>
      <c r="F57" s="12">
        <v>3.8712853562477617E-3</v>
      </c>
      <c r="G57" s="12">
        <v>5.6323845327604725E-2</v>
      </c>
      <c r="H57" s="12">
        <v>0.82729144289294665</v>
      </c>
      <c r="I57" s="12">
        <v>6.3887397064088788E-2</v>
      </c>
      <c r="J57" s="12">
        <f t="shared" si="15"/>
        <v>4.6600877192982448E-2</v>
      </c>
    </row>
    <row r="58" spans="2:10">
      <c r="B58" s="5" t="s">
        <v>8</v>
      </c>
      <c r="C58" s="12">
        <v>0</v>
      </c>
      <c r="D58" s="12">
        <v>1.5360166362417217E-4</v>
      </c>
      <c r="E58" s="12">
        <v>2.1858698284978346E-4</v>
      </c>
      <c r="F58" s="12">
        <v>1.3115218970987008E-3</v>
      </c>
      <c r="G58" s="12">
        <v>4.8148213789884738E-3</v>
      </c>
      <c r="H58" s="12">
        <v>6.9227088244155757E-2</v>
      </c>
      <c r="I58" s="12">
        <v>0.66932515699862349</v>
      </c>
      <c r="J58" s="12">
        <f t="shared" si="15"/>
        <v>0.25494922283465959</v>
      </c>
    </row>
    <row r="59" spans="2:10">
      <c r="B59" s="5"/>
      <c r="C59" s="13"/>
      <c r="D59" s="13"/>
      <c r="E59" s="13"/>
      <c r="F59" s="13"/>
      <c r="G59" s="13"/>
      <c r="H59" s="13"/>
      <c r="I59" s="13"/>
      <c r="J59" s="13"/>
    </row>
    <row r="60" spans="2:10">
      <c r="B60" s="5" t="s">
        <v>29</v>
      </c>
      <c r="C60" s="6" t="s">
        <v>3</v>
      </c>
      <c r="D60" s="6" t="s">
        <v>2</v>
      </c>
      <c r="E60" s="6" t="s">
        <v>4</v>
      </c>
      <c r="F60" s="6" t="s">
        <v>5</v>
      </c>
      <c r="G60" s="6" t="s">
        <v>6</v>
      </c>
      <c r="H60" s="6" t="s">
        <v>7</v>
      </c>
      <c r="I60" s="6" t="s">
        <v>8</v>
      </c>
      <c r="J60" s="6" t="s">
        <v>10</v>
      </c>
    </row>
    <row r="61" spans="2:10">
      <c r="B61" s="5" t="s">
        <v>3</v>
      </c>
      <c r="C61" s="12">
        <v>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f t="shared" ref="J61:J67" si="16">1-SUM(C61:I61)</f>
        <v>0</v>
      </c>
    </row>
    <row r="62" spans="2:10">
      <c r="B62" s="5" t="s">
        <v>2</v>
      </c>
      <c r="C62" s="12">
        <v>0</v>
      </c>
      <c r="D62" s="12">
        <v>1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f t="shared" si="16"/>
        <v>0</v>
      </c>
    </row>
    <row r="63" spans="2:10">
      <c r="B63" s="5" t="s">
        <v>4</v>
      </c>
      <c r="C63" s="12">
        <v>0</v>
      </c>
      <c r="D63" s="12">
        <v>0</v>
      </c>
      <c r="E63" s="12">
        <v>1</v>
      </c>
      <c r="F63" s="12">
        <v>0</v>
      </c>
      <c r="G63" s="12">
        <v>0</v>
      </c>
      <c r="H63" s="12">
        <v>0</v>
      </c>
      <c r="I63" s="12">
        <v>0</v>
      </c>
      <c r="J63" s="12">
        <f t="shared" si="16"/>
        <v>0</v>
      </c>
    </row>
    <row r="64" spans="2:10">
      <c r="B64" s="5" t="s">
        <v>5</v>
      </c>
      <c r="C64" s="12">
        <v>0</v>
      </c>
      <c r="D64" s="12">
        <v>0</v>
      </c>
      <c r="E64" s="12">
        <v>0</v>
      </c>
      <c r="F64" s="12">
        <v>1</v>
      </c>
      <c r="G64" s="12">
        <v>0</v>
      </c>
      <c r="H64" s="12">
        <v>0</v>
      </c>
      <c r="I64" s="12">
        <v>0</v>
      </c>
      <c r="J64" s="12">
        <f t="shared" si="16"/>
        <v>0</v>
      </c>
    </row>
    <row r="65" spans="2:10">
      <c r="B65" s="5" t="s">
        <v>6</v>
      </c>
      <c r="C65" s="12">
        <v>0</v>
      </c>
      <c r="D65" s="12">
        <v>0</v>
      </c>
      <c r="E65" s="12">
        <v>0</v>
      </c>
      <c r="F65" s="12">
        <v>0</v>
      </c>
      <c r="G65" s="12">
        <v>1</v>
      </c>
      <c r="H65" s="12">
        <v>0</v>
      </c>
      <c r="I65" s="12">
        <v>0</v>
      </c>
      <c r="J65" s="12">
        <f t="shared" si="16"/>
        <v>0</v>
      </c>
    </row>
    <row r="66" spans="2:10">
      <c r="B66" s="5" t="s">
        <v>7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1</v>
      </c>
      <c r="I66" s="12">
        <v>0</v>
      </c>
      <c r="J66" s="12">
        <f t="shared" si="16"/>
        <v>0</v>
      </c>
    </row>
    <row r="67" spans="2:10">
      <c r="B67" s="5" t="s">
        <v>8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1</v>
      </c>
      <c r="J67" s="12">
        <f t="shared" si="16"/>
        <v>0</v>
      </c>
    </row>
    <row r="68" spans="2:10">
      <c r="B68" s="5"/>
      <c r="C68" s="13"/>
      <c r="D68" s="13"/>
      <c r="E68" s="13"/>
      <c r="F68" s="13"/>
      <c r="G68" s="13"/>
      <c r="H68" s="13"/>
      <c r="I68" s="13"/>
      <c r="J68" s="13"/>
    </row>
    <row r="69" spans="2:10">
      <c r="B69" s="5" t="s">
        <v>39</v>
      </c>
      <c r="C69" s="6" t="s">
        <v>3</v>
      </c>
      <c r="D69" s="6" t="s">
        <v>2</v>
      </c>
      <c r="E69" s="6" t="s">
        <v>4</v>
      </c>
      <c r="F69" s="6" t="s">
        <v>5</v>
      </c>
      <c r="G69" s="6" t="s">
        <v>6</v>
      </c>
      <c r="H69" s="6" t="s">
        <v>7</v>
      </c>
      <c r="I69" s="6" t="s">
        <v>8</v>
      </c>
      <c r="J69" s="6" t="s">
        <v>10</v>
      </c>
    </row>
    <row r="70" spans="2:10">
      <c r="B70" s="5" t="s">
        <v>3</v>
      </c>
      <c r="C70" s="12">
        <v>0.90439999999999998</v>
      </c>
      <c r="D70" s="12">
        <v>8.9399999999999993E-2</v>
      </c>
      <c r="E70" s="12">
        <v>6.1999999999999998E-3</v>
      </c>
      <c r="F70" s="12">
        <v>0</v>
      </c>
      <c r="G70" s="12">
        <v>0</v>
      </c>
      <c r="H70" s="12">
        <v>0</v>
      </c>
      <c r="I70" s="12">
        <v>0</v>
      </c>
      <c r="J70" s="12">
        <f>1-SUM(C70:I70)</f>
        <v>0</v>
      </c>
    </row>
    <row r="71" spans="2:10">
      <c r="B71" s="5" t="s">
        <v>2</v>
      </c>
      <c r="C71" s="12">
        <v>1.03E-2</v>
      </c>
      <c r="D71" s="12">
        <v>0.90139999999999998</v>
      </c>
      <c r="E71" s="12">
        <v>8.43E-2</v>
      </c>
      <c r="F71" s="12">
        <v>4.0000000000000001E-3</v>
      </c>
      <c r="G71" s="12">
        <v>0</v>
      </c>
      <c r="H71" s="12">
        <v>0</v>
      </c>
      <c r="I71" s="12">
        <v>0</v>
      </c>
      <c r="J71" s="12">
        <f t="shared" ref="J71:J76" si="17">1-SUM(C71:I71)</f>
        <v>0</v>
      </c>
    </row>
    <row r="72" spans="2:10">
      <c r="B72" s="5" t="s">
        <v>4</v>
      </c>
      <c r="C72" s="12">
        <v>1E-3</v>
      </c>
      <c r="D72" s="12">
        <v>2.8000000000000001E-2</v>
      </c>
      <c r="E72" s="12">
        <v>0.90900000000000003</v>
      </c>
      <c r="F72" s="12">
        <v>5.5E-2</v>
      </c>
      <c r="G72" s="12">
        <v>5.0000000000000001E-3</v>
      </c>
      <c r="H72" s="12">
        <v>1E-3</v>
      </c>
      <c r="I72" s="12">
        <v>0</v>
      </c>
      <c r="J72" s="12">
        <f t="shared" si="17"/>
        <v>9.9999999999988987E-4</v>
      </c>
    </row>
    <row r="73" spans="2:10">
      <c r="B73" s="5" t="s">
        <v>5</v>
      </c>
      <c r="C73" s="12">
        <v>0</v>
      </c>
      <c r="D73" s="12">
        <v>2E-3</v>
      </c>
      <c r="E73" s="12">
        <v>4.8000000000000001E-2</v>
      </c>
      <c r="F73" s="12">
        <v>0.89400000000000002</v>
      </c>
      <c r="G73" s="12">
        <v>4.3999999999999997E-2</v>
      </c>
      <c r="H73" s="12">
        <v>8.0000000000000002E-3</v>
      </c>
      <c r="I73" s="12">
        <v>2E-3</v>
      </c>
      <c r="J73" s="12">
        <f t="shared" si="17"/>
        <v>1.9999999999998908E-3</v>
      </c>
    </row>
    <row r="74" spans="2:10">
      <c r="B74" s="5" t="s">
        <v>6</v>
      </c>
      <c r="C74" s="12">
        <v>0</v>
      </c>
      <c r="D74" s="12">
        <v>1E-3</v>
      </c>
      <c r="E74" s="12">
        <v>4.0000000000000001E-3</v>
      </c>
      <c r="F74" s="12">
        <v>6.2E-2</v>
      </c>
      <c r="G74" s="12">
        <v>0.83399999999999996</v>
      </c>
      <c r="H74" s="12">
        <v>0.08</v>
      </c>
      <c r="I74" s="12">
        <v>7.0000000000000001E-3</v>
      </c>
      <c r="J74" s="12">
        <f t="shared" si="17"/>
        <v>1.2000000000000011E-2</v>
      </c>
    </row>
    <row r="75" spans="2:10">
      <c r="B75" s="5" t="s">
        <v>7</v>
      </c>
      <c r="C75" s="12">
        <v>0</v>
      </c>
      <c r="D75" s="12">
        <v>0</v>
      </c>
      <c r="E75" s="12">
        <v>1E-3</v>
      </c>
      <c r="F75" s="12">
        <v>4.0000000000000001E-3</v>
      </c>
      <c r="G75" s="12">
        <v>5.3400000000000003E-2</v>
      </c>
      <c r="H75" s="12">
        <v>0.82240000000000002</v>
      </c>
      <c r="I75" s="12">
        <v>7.1999999999999995E-2</v>
      </c>
      <c r="J75" s="12">
        <f t="shared" si="17"/>
        <v>4.720000000000002E-2</v>
      </c>
    </row>
    <row r="76" spans="2:10">
      <c r="B76" s="5" t="s">
        <v>8</v>
      </c>
      <c r="C76" s="12">
        <v>0</v>
      </c>
      <c r="D76" s="12">
        <v>0</v>
      </c>
      <c r="E76" s="12">
        <v>0</v>
      </c>
      <c r="F76" s="12">
        <v>2E-3</v>
      </c>
      <c r="G76" s="12">
        <v>5.0000000000000001E-3</v>
      </c>
      <c r="H76" s="12">
        <v>9.4E-2</v>
      </c>
      <c r="I76" s="12">
        <v>0.73099999999999998</v>
      </c>
      <c r="J76" s="12">
        <f t="shared" si="17"/>
        <v>0.16800000000000004</v>
      </c>
    </row>
  </sheetData>
  <pageMargins left="0.75" right="0.75" top="1" bottom="1" header="0.5" footer="0.5"/>
  <pageSetup paperSize="9" orientation="portrait" r:id="rId1"/>
  <headerFooter alignWithMargins="0"/>
  <ignoredErrors>
    <ignoredError sqref="D2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Pre-GFC Average</vt:lpstr>
      <vt:lpstr>2008</vt:lpstr>
      <vt:lpstr>'2008'!freq</vt:lpstr>
      <vt:lpstr>'Pre-GFC Average'!freq</vt:lpstr>
      <vt:lpstr>'2008'!govrtn</vt:lpstr>
      <vt:lpstr>'Pre-GFC Average'!govrtn</vt:lpstr>
      <vt:lpstr>'2008'!hd</vt:lpstr>
      <vt:lpstr>'Pre-GFC Average'!hd</vt:lpstr>
      <vt:lpstr>'2008'!Horizon</vt:lpstr>
      <vt:lpstr>'Pre-GFC Average'!Horizon</vt:lpstr>
      <vt:lpstr>'2008'!mat</vt:lpstr>
      <vt:lpstr>'Pre-GFC Average'!mat</vt:lpstr>
      <vt:lpstr>'2008'!md</vt:lpstr>
      <vt:lpstr>'Pre-GFC Average'!md</vt:lpstr>
      <vt:lpstr>'2008'!pvec</vt:lpstr>
      <vt:lpstr>'Pre-GFC Average'!pvec</vt:lpstr>
      <vt:lpstr>'2008'!recovery</vt:lpstr>
      <vt:lpstr>'Pre-GFC Average'!recovery</vt:lpstr>
      <vt:lpstr>'2008'!sd</vt:lpstr>
      <vt:lpstr>'Pre-GFC Average'!sd</vt:lpstr>
      <vt:lpstr>'2008'!Tmat</vt:lpstr>
      <vt:lpstr>'Pre-GFC Average'!Tmat</vt:lpstr>
      <vt:lpstr>'2008'!yield</vt:lpstr>
      <vt:lpstr>'Pre-GFC Average'!yield</vt:lpstr>
    </vt:vector>
  </TitlesOfParts>
  <Company>J.P. 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</dc:creator>
  <cp:lastModifiedBy>Alan Cubbon</cp:lastModifiedBy>
  <dcterms:created xsi:type="dcterms:W3CDTF">2009-09-24T08:40:28Z</dcterms:created>
  <dcterms:modified xsi:type="dcterms:W3CDTF">2026-10-14T14:15:26Z</dcterms:modified>
</cp:coreProperties>
</file>